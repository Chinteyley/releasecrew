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RC Customers by plan" sheetId="1" r:id="rId1"/>
    <sheet name="RC Revenue &amp; billing by plan" sheetId="2" r:id="rId2"/>
    <sheet name="Model inputs" sheetId="3" r:id="rId3"/>
  </sheets>
  <calcPr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#,##0;(#,##0)"/>
    <numFmt numFmtId="165" formatCode="#,##0.0;(#,##0.0)"/>
    <numFmt numFmtId="166" formatCode="0%"/>
    <numFmt numFmtId="167" formatCode="&quot;$&quot;#,##0;(&quot;$&quot;#,##0)"/>
    <numFmt numFmtId="168" formatCode="&quot;$&quot;#,##0.00;(&quot;$&quot;#,##0.00)"/>
    <numFmt numFmtId="169" formatCode="0.0%"/>
  </numFmts>
  <fonts count="5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  <font>
      <sz val="10"/>
      <color rgb="FF817B73"/>
      <name val="Aptos"/>
    </font>
  </fonts>
  <fills count="7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E6E0D7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3" borderId="1" xfId="0" applyFill="1" applyFont="1" applyBorder="1" applyAlignment="1">
      <alignment vertical="center" horizontal="right"/>
    </xf>
    <xf numFmtId="0" fontId="3" fillId="4" borderId="1" xfId="0" applyFill="1" applyFont="1" applyBorder="1" applyAlignment="1">
      <alignment vertical="center" horizontal="right"/>
    </xf>
    <xf numFmtId="0" fontId="3" fillId="5" borderId="1" xfId="0" applyFill="1" applyFont="1" applyBorder="1" applyAlignment="1">
      <alignment vertical="center" horizontal="left"/>
    </xf>
    <xf numFmtId="164" fontId="3" fillId="5" borderId="1" xfId="0" applyNumberFormat="1" applyFill="1" applyFont="1" applyBorder="1" applyAlignment="1">
      <alignment vertical="center" horizontal="right"/>
    </xf>
    <xf numFmtId="165" fontId="3" fillId="5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 indent="1"/>
    </xf>
    <xf numFmtId="165" fontId="0" fillId="0" borderId="0" xfId="0" applyNumberFormat="1" applyAlignment="1">
      <alignment vertical="center" horizontal="right"/>
    </xf>
    <xf numFmtId="0" fontId="3" fillId="0" borderId="0" xfId="0" applyFont="1" applyAlignment="1">
      <alignment vertical="center" horizontal="left" indent="1"/>
    </xf>
    <xf numFmtId="165" fontId="3" fillId="0" borderId="0" xfId="0" applyNumberFormat="1" applyFont="1" applyAlignment="1">
      <alignment vertical="center" horizontal="right"/>
    </xf>
    <xf numFmtId="166" fontId="3" fillId="5" borderId="1" xfId="0" applyNumberFormat="1" applyFill="1" applyFont="1" applyBorder="1" applyAlignment="1">
      <alignment vertical="center" horizontal="right"/>
    </xf>
    <xf numFmtId="166" fontId="0" fillId="0" borderId="0" xfId="0" applyNumberFormat="1" applyAlignment="1">
      <alignment vertical="center" horizontal="right"/>
    </xf>
    <xf numFmtId="167" fontId="3" fillId="5" borderId="1" xfId="0" applyNumberFormat="1" applyFill="1" applyFont="1" applyBorder="1" applyAlignment="1">
      <alignment vertical="center" horizontal="right"/>
    </xf>
    <xf numFmtId="167" fontId="0" fillId="0" borderId="0" xfId="0" applyNumberFormat="1" applyAlignment="1">
      <alignment vertical="center" horizontal="right"/>
    </xf>
    <xf numFmtId="164" fontId="0" fillId="0" borderId="0" xfId="0" applyNumberFormat="1" applyAlignment="1">
      <alignment vertical="center" horizontal="right"/>
    </xf>
    <xf numFmtId="167" fontId="3" fillId="0" borderId="0" xfId="0" applyNumberFormat="1" applyFont="1" applyAlignment="1">
      <alignment vertical="center" horizontal="right"/>
    </xf>
    <xf numFmtId="0" fontId="3" fillId="5" borderId="1" xfId="0" applyFill="1" applyFont="1" applyBorder="1"/>
    <xf numFmtId="0" fontId="3" fillId="6" borderId="0" xfId="0" applyFill="1" applyFont="1" applyAlignment="1">
      <alignment vertical="center" horizontal="left"/>
    </xf>
    <xf numFmtId="0" fontId="0" fillId="6" borderId="0" xfId="0" applyFill="1" applyAlignment="1">
      <alignment vertical="center" horizontal="left" indent="1"/>
    </xf>
    <xf numFmtId="168" fontId="0" fillId="0" borderId="0" xfId="0" applyNumberFormat="1" applyAlignment="1">
      <alignment vertical="center" horizontal="right"/>
    </xf>
    <xf numFmtId="169" fontId="0" fillId="0" borderId="0" xfId="0" applyNumberFormat="1" applyAlignment="1">
      <alignment vertical="center" horizontal="right"/>
    </xf>
    <xf numFmtId="169" fontId="3" fillId="5" borderId="1" xfId="0" applyNumberFormat="1" applyFill="1" applyFont="1" applyBorder="1" applyAlignment="1">
      <alignment vertical="center" horizontal="right"/>
    </xf>
    <xf numFmtId="0" fontId="4" fillId="0" borderId="0" xfId="0" applyFont="1" applyAlignment="1">
      <alignment vertical="center" horizontal="lef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S33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</cols>
  <sheetData>
    <row r="1" ht="32" customHeight="1">
      <c r="A1" t="inlineStr" s="1">
        <is>
          <t xml:space="preserve">RC Customers by plan</t>
        </is>
      </c>
    </row>
    <row r="2" ht="20" customHeight="1">
      <c r="A2" t="inlineStr" s="2">
        <is>
          <t xml:space="preserve">RC Customers &amp; revenue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2026-11</t>
        </is>
      </c>
      <c r="C4" t="inlineStr" s="4">
        <is>
          <t xml:space="preserve">2026-12</t>
        </is>
      </c>
      <c r="D4" t="inlineStr" s="5">
        <is>
          <t xml:space="preserve">2027-01</t>
        </is>
      </c>
      <c r="E4" t="inlineStr" s="4">
        <is>
          <t xml:space="preserve">2027-02</t>
        </is>
      </c>
      <c r="F4" t="inlineStr" s="4">
        <is>
          <t xml:space="preserve">2027-03</t>
        </is>
      </c>
      <c r="G4" t="inlineStr" s="5">
        <is>
          <t xml:space="preserve">2027-04</t>
        </is>
      </c>
      <c r="H4" t="inlineStr" s="4">
        <is>
          <t xml:space="preserve">2027-05</t>
        </is>
      </c>
      <c r="I4" t="inlineStr" s="4">
        <is>
          <t xml:space="preserve">2027-06</t>
        </is>
      </c>
      <c r="J4" t="inlineStr" s="5">
        <is>
          <t xml:space="preserve">2027-07</t>
        </is>
      </c>
      <c r="K4" t="inlineStr" s="4">
        <is>
          <t xml:space="preserve">2027-08</t>
        </is>
      </c>
      <c r="L4" t="inlineStr" s="4">
        <is>
          <t xml:space="preserve">2027-09</t>
        </is>
      </c>
      <c r="M4" t="inlineStr" s="5">
        <is>
          <t xml:space="preserve">2027-10</t>
        </is>
      </c>
      <c r="N4" t="inlineStr" s="4">
        <is>
          <t xml:space="preserve">2027-11</t>
        </is>
      </c>
      <c r="O4" t="inlineStr" s="4">
        <is>
          <t xml:space="preserve">2027-12</t>
        </is>
      </c>
      <c r="P4" t="inlineStr" s="5">
        <is>
          <t xml:space="preserve">2028-01</t>
        </is>
      </c>
      <c r="Q4" t="inlineStr" s="4">
        <is>
          <t xml:space="preserve">2028-02</t>
        </is>
      </c>
      <c r="R4" t="inlineStr" s="4">
        <is>
          <t xml:space="preserve">2028-03</t>
        </is>
      </c>
      <c r="S4" t="inlineStr" s="5">
        <is>
          <t xml:space="preserve">2028-04</t>
        </is>
      </c>
    </row>
    <row r="5">
      <c r="A5" t="inlineStr" s="6">
        <is>
          <t xml:space="preserve">Model month</t>
        </is>
      </c>
      <c r="B5" s="7">
        <f>(YEAR(DATE(2026,11,1))-2026)*12+MONTH(DATE(2026,11,1))-11</f>
        <v>0</v>
      </c>
      <c r="C5" s="7">
        <f>(YEAR(DATE(2026,12,1))-2026)*12+MONTH(DATE(2026,12,1))-11</f>
        <v>1</v>
      </c>
      <c r="D5" s="7">
        <f>(YEAR(DATE(2027,1,1))-2026)*12+MONTH(DATE(2027,1,1))-11</f>
        <v>2</v>
      </c>
      <c r="E5" s="7">
        <f>(YEAR(DATE(2027,2,1))-2026)*12+MONTH(DATE(2027,2,1))-11</f>
        <v>3</v>
      </c>
      <c r="F5" s="7">
        <f>(YEAR(DATE(2027,3,1))-2026)*12+MONTH(DATE(2027,3,1))-11</f>
        <v>4</v>
      </c>
      <c r="G5" s="7">
        <f>(YEAR(DATE(2027,4,1))-2026)*12+MONTH(DATE(2027,4,1))-11</f>
        <v>5</v>
      </c>
      <c r="H5" s="7">
        <f>(YEAR(DATE(2027,5,1))-2026)*12+MONTH(DATE(2027,5,1))-11</f>
        <v>6</v>
      </c>
      <c r="I5" s="7">
        <f>(YEAR(DATE(2027,6,1))-2026)*12+MONTH(DATE(2027,6,1))-11</f>
        <v>7</v>
      </c>
      <c r="J5" s="7">
        <f>(YEAR(DATE(2027,7,1))-2026)*12+MONTH(DATE(2027,7,1))-11</f>
        <v>8</v>
      </c>
      <c r="K5" s="7">
        <f>(YEAR(DATE(2027,8,1))-2026)*12+MONTH(DATE(2027,8,1))-11</f>
        <v>9</v>
      </c>
      <c r="L5" s="7">
        <f>(YEAR(DATE(2027,9,1))-2026)*12+MONTH(DATE(2027,9,1))-11</f>
        <v>10</v>
      </c>
      <c r="M5" s="7">
        <f>(YEAR(DATE(2027,10,1))-2026)*12+MONTH(DATE(2027,10,1))-11</f>
        <v>11</v>
      </c>
      <c r="N5" s="7">
        <f>(YEAR(DATE(2027,11,1))-2026)*12+MONTH(DATE(2027,11,1))-11</f>
        <v>12</v>
      </c>
      <c r="O5" s="7">
        <f>(YEAR(DATE(2027,12,1))-2026)*12+MONTH(DATE(2027,12,1))-11</f>
        <v>13</v>
      </c>
      <c r="P5" s="7">
        <f>(YEAR(DATE(2028,1,1))-2026)*12+MONTH(DATE(2028,1,1))-11</f>
        <v>14</v>
      </c>
      <c r="Q5" s="7">
        <f>(YEAR(DATE(2028,2,1))-2026)*12+MONTH(DATE(2028,2,1))-11</f>
        <v>15</v>
      </c>
      <c r="R5" s="7">
        <f>(YEAR(DATE(2028,3,1))-2026)*12+MONTH(DATE(2028,3,1))-11</f>
        <v>16</v>
      </c>
      <c r="S5" s="7">
        <f>(YEAR(DATE(2028,4,1))-2026)*12+MONTH(DATE(2028,4,1))-11</f>
        <v>17</v>
      </c>
    </row>
    <row r="6">
      <c r="A6" t="inlineStr" s="6">
        <is>
          <t xml:space="preserve">Opening customers</t>
        </is>
      </c>
      <c r="B6" s="8">
        <f>SUM('RC Customers by plan'!B7,'RC Customers by plan'!B8,'RC Customers by plan'!B9)</f>
        <v>47</v>
      </c>
      <c r="C6" s="8">
        <f>SUM('RC Customers by plan'!C7,'RC Customers by plan'!C8,'RC Customers by plan'!C9)</f>
        <v>47</v>
      </c>
      <c r="D6" s="8">
        <f>SUM('RC Customers by plan'!D7,'RC Customers by plan'!D8,'RC Customers by plan'!D9)</f>
        <v>84.905</v>
      </c>
      <c r="E6" s="8">
        <f>SUM('RC Customers by plan'!E7,'RC Customers by plan'!E8,'RC Customers by plan'!E9)</f>
        <v>110.9505</v>
      </c>
      <c r="F6" s="8">
        <f>SUM('RC Customers by plan'!F7,'RC Customers by plan'!F8,'RC Customers by plan'!F9)</f>
        <v>138.05102827083334</v>
      </c>
      <c r="G6" s="8">
        <f>SUM('RC Customers by plan'!G7,'RC Customers by plan'!G8,'RC Customers by plan'!G9)</f>
        <v>166.3601248259896</v>
      </c>
      <c r="H6" s="8">
        <f>SUM('RC Customers by plan'!H7,'RC Customers by plan'!H8,'RC Customers by plan'!H9)</f>
        <v>196.04006505593594</v>
      </c>
      <c r="I6" s="8">
        <f>SUM('RC Customers by plan'!I7,'RC Customers by plan'!I8,'RC Customers by plan'!I9)</f>
        <v>227.2628736908502</v>
      </c>
      <c r="J6" s="8">
        <f>SUM('RC Customers by plan'!J7,'RC Customers by plan'!J8,'RC Customers by plan'!J9)</f>
        <v>260.21140757088153</v>
      </c>
      <c r="K6" s="8">
        <f>SUM('RC Customers by plan'!K7,'RC Customers by plan'!K8,'RC Customers by plan'!K9)</f>
        <v>295.08051439200136</v>
      </c>
      <c r="L6" s="8">
        <f>SUM('RC Customers by plan'!L7,'RC Customers by plan'!L8,'RC Customers by plan'!L9)</f>
        <v>330.0136817964602</v>
      </c>
      <c r="M6" s="8">
        <f>SUM('RC Customers by plan'!M7,'RC Customers by plan'!M8,'RC Customers by plan'!M9)</f>
        <v>365.0921444578123</v>
      </c>
      <c r="N6" s="8">
        <f>SUM('RC Customers by plan'!N7,'RC Customers by plan'!N8,'RC Customers by plan'!N9)</f>
        <v>400.3954360097452</v>
      </c>
      <c r="O6" s="8">
        <f>SUM('RC Customers by plan'!O7,'RC Customers by plan'!O8,'RC Customers by plan'!O9)</f>
        <v>436.0016417049511</v>
      </c>
      <c r="P6" s="8">
        <f>SUM('RC Customers by plan'!P7,'RC Customers by plan'!P8,'RC Customers by plan'!P9)</f>
        <v>471.98764010807395</v>
      </c>
      <c r="Q6" s="8">
        <f>SUM('RC Customers by plan'!Q7,'RC Customers by plan'!Q8,'RC Customers by plan'!Q9)</f>
        <v>508.42933477856207</v>
      </c>
      <c r="R6" s="8">
        <f>SUM('RC Customers by plan'!R7,'RC Customers by plan'!R8,'RC Customers by plan'!R9)</f>
        <v>545.4018768448782</v>
      </c>
      <c r="S6" s="8">
        <f>SUM('RC Customers by plan'!S7,'RC Customers by plan'!S8,'RC Customers by plan'!S9)</f>
        <v>582.979879321125</v>
      </c>
    </row>
    <row r="7" outlineLevel="1">
      <c r="A7" t="inlineStr" s="9">
        <is>
          <t xml:space="preserve">Indie</t>
        </is>
      </c>
      <c r="B7" s="10">
        <f>IF(IF(IF(ISERROR('RC Customers by plan'!B5=0),'RC Customers by plan'!B5=0,IF('RC Customers by plan'!B5="","",'RC Customers by plan'!B5=0))="",FALSE,IF(ISERROR('RC Customers by plan'!B5=0),'RC Customers by plan'!B5=0,IF('RC Customers by plan'!B5="","",'RC Customers by plan'!B5=0))),IF('Model inputs'!AG86="","",'Model inputs'!AG86),IF('Model inputs'!N38="","",'Model inputs'!N38))</f>
        <v>40</v>
      </c>
      <c r="C7" s="10">
        <f>IF(IF(IF(ISERROR('RC Customers by plan'!C5=0),'RC Customers by plan'!C5=0,IF('RC Customers by plan'!C5="","",'RC Customers by plan'!C5=0))="",FALSE,IF(ISERROR('RC Customers by plan'!C5=0),'RC Customers by plan'!C5=0,IF('RC Customers by plan'!C5="","",'RC Customers by plan'!C5=0))),IF('Model inputs'!AG86="","",'Model inputs'!AG86),IF('RC Customers by plan'!B31="","",'RC Customers by plan'!B31))</f>
        <v>40</v>
      </c>
      <c r="D7" s="10">
        <f>IF(IF(IF(ISERROR('RC Customers by plan'!D5=0),'RC Customers by plan'!D5=0,IF('RC Customers by plan'!D5="","",'RC Customers by plan'!D5=0))="",FALSE,IF(ISERROR('RC Customers by plan'!D5=0),'RC Customers by plan'!D5=0,IF('RC Customers by plan'!D5="","",'RC Customers by plan'!D5=0))),IF('Model inputs'!AG86="","",'Model inputs'!AG86),IF('RC Customers by plan'!C31="","",'RC Customers by plan'!C31))</f>
        <v>74.33333333333333</v>
      </c>
      <c r="E7" s="10">
        <f>IF(IF(IF(ISERROR('RC Customers by plan'!E5=0),'RC Customers by plan'!E5=0,IF('RC Customers by plan'!E5="","",'RC Customers by plan'!E5=0))="",FALSE,IF(ISERROR('RC Customers by plan'!E5=0),'RC Customers by plan'!E5=0,IF('RC Customers by plan'!E5="","",'RC Customers by plan'!E5=0))),IF('Model inputs'!AG86="","",'Model inputs'!AG86),IF('RC Customers by plan'!D31="","",'RC Customers by plan'!D31))</f>
        <v>96.37777777777778</v>
      </c>
      <c r="F7" s="10">
        <f>IF(IF(IF(ISERROR('RC Customers by plan'!F5=0),'RC Customers by plan'!F5=0,IF('RC Customers by plan'!F5="","",'RC Customers by plan'!F5=0))="",FALSE,IF(ISERROR('RC Customers by plan'!F5=0),'RC Customers by plan'!F5=0,IF('RC Customers by plan'!F5="","",'RC Customers by plan'!F5=0))),IF('Model inputs'!AG86="","",'Model inputs'!AG86),IF('RC Customers by plan'!E31="","",'RC Customers by plan'!E31))</f>
        <v>119.1125925925926</v>
      </c>
      <c r="G7" s="10">
        <f>IF(IF(IF(ISERROR('RC Customers by plan'!G5=0),'RC Customers by plan'!G5=0,IF('RC Customers by plan'!G5="","",'RC Customers by plan'!G5=0))="",FALSE,IF(ISERROR('RC Customers by plan'!G5=0),'RC Customers by plan'!G5=0,IF('RC Customers by plan'!G5="","",'RC Customers by plan'!G5=0))),IF('Model inputs'!AG86="","",'Model inputs'!AG86),IF('RC Customers by plan'!F31="","",'RC Customers by plan'!F31))</f>
        <v>142.66455308641977</v>
      </c>
      <c r="H7" s="10">
        <f>IF(IF(IF(ISERROR('RC Customers by plan'!H5=0),'RC Customers by plan'!H5=0,IF('RC Customers by plan'!H5="","",'RC Customers by plan'!H5=0))="",FALSE,IF(ISERROR('RC Customers by plan'!H5=0),'RC Customers by plan'!H5=0,IF('RC Customers by plan'!H5="","",'RC Customers by plan'!H5=0))),IF('Model inputs'!AG86="","",'Model inputs'!AG86),IF('RC Customers by plan'!G31="","",'RC Customers by plan'!G31))</f>
        <v>167.16580688065847</v>
      </c>
      <c r="I7" s="10">
        <f>IF(IF(IF(ISERROR('RC Customers by plan'!I5=0),'RC Customers by plan'!I5=0,IF('RC Customers by plan'!I5="","",'RC Customers by plan'!I5=0))="",FALSE,IF(ISERROR('RC Customers by plan'!I5=0),'RC Customers by plan'!I5=0,IF('RC Customers by plan'!I5="","",'RC Customers by plan'!I5=0))),IF('Model inputs'!AG86="","",'Model inputs'!AG86),IF('RC Customers by plan'!H31="","",'RC Customers by plan'!H31))</f>
        <v>192.75462167528124</v>
      </c>
      <c r="J7" s="10">
        <f>IF(IF(IF(ISERROR('RC Customers by plan'!J5=0),'RC Customers by plan'!J5=0,IF('RC Customers by plan'!J5="","",'RC Customers by plan'!J5=0))="",FALSE,IF(ISERROR('RC Customers by plan'!J5=0),'RC Customers by plan'!J5=0,IF('RC Customers by plan'!J5="","",'RC Customers by plan'!J5=0))),IF('Model inputs'!AG86="","",'Model inputs'!AG86),IF('RC Customers by plan'!I31="","",'RC Customers by plan'!I31))</f>
        <v>219.57617163719584</v>
      </c>
      <c r="K7" s="10">
        <f>IF(IF(IF(ISERROR('RC Customers by plan'!K5=0),'RC Customers by plan'!K5=0,IF('RC Customers by plan'!K5="","",'RC Customers by plan'!K5=0))="",FALSE,IF(ISERROR('RC Customers by plan'!K5=0),'RC Customers by plan'!K5=0,IF('RC Customers by plan'!K5="","",'RC Customers by plan'!K5=0))),IF('Model inputs'!AG86="","",'Model inputs'!AG86),IF('RC Customers by plan'!J31="","",'RC Customers by plan'!J31))</f>
        <v>247.78336691420412</v>
      </c>
      <c r="L7" s="10">
        <f>IF(IF(IF(ISERROR('RC Customers by plan'!L5=0),'RC Customers by plan'!L5=0,IF('RC Customers by plan'!L5="","",'RC Customers by plan'!L5=0))="",FALSE,IF(ISERROR('RC Customers by plan'!L5=0),'RC Customers by plan'!L5=0,IF('RC Customers by plan'!L5="","",'RC Customers by plan'!L5=0))),IF('Model inputs'!AG86="","",'Model inputs'!AG86),IF('RC Customers by plan'!K31="","",'RC Customers by plan'!K31))</f>
        <v>275.8239067748581</v>
      </c>
      <c r="M7" s="10">
        <f>IF(IF(IF(ISERROR('RC Customers by plan'!M5=0),'RC Customers by plan'!M5=0,IF('RC Customers by plan'!M5="","",'RC Customers by plan'!M5=0))="",FALSE,IF(ISERROR('RC Customers by plan'!M5=0),'RC Customers by plan'!M5=0,IF('RC Customers by plan'!M5="","",'RC Customers by plan'!M5=0))),IF('Model inputs'!AG86="","",'Model inputs'!AG86),IF('RC Customers by plan'!L31="","",'RC Customers by plan'!L31))</f>
        <v>303.77745455099915</v>
      </c>
      <c r="N7" s="10">
        <f>IF(IF(IF(ISERROR('RC Customers by plan'!N5=0),'RC Customers by plan'!N5=0,IF('RC Customers by plan'!N5="","",'RC Customers by plan'!N5=0))="",FALSE,IF(ISERROR('RC Customers by plan'!N5=0),'RC Customers by plan'!N5=0,IF('RC Customers by plan'!N5="","",'RC Customers by plan'!N5=0))),IF('Model inputs'!AG86="","",'Model inputs'!AG86),IF('RC Customers by plan'!M31="","",'RC Customers by plan'!M31))</f>
        <v>331.7211048045094</v>
      </c>
      <c r="O7" s="10">
        <f>IF(IF(IF(ISERROR('RC Customers by plan'!O5=0),'RC Customers by plan'!O5=0,IF('RC Customers by plan'!O5="","",'RC Customers by plan'!O5=0))="",FALSE,IF(ISERROR('RC Customers by plan'!O5=0),'RC Customers by plan'!O5=0,IF('RC Customers by plan'!O5="","",'RC Customers by plan'!O5=0))),IF('Model inputs'!AG86="","",'Model inputs'!AG86),IF('RC Customers by plan'!N31="","",'RC Customers by plan'!N31))</f>
        <v>359.72966426339536</v>
      </c>
      <c r="P7" s="10">
        <f>IF(IF(IF(ISERROR('RC Customers by plan'!P5=0),'RC Customers by plan'!P5=0,IF('RC Customers by plan'!P5="","",'RC Customers by plan'!P5=0))="",FALSE,IF(ISERROR('RC Customers by plan'!P5=0),'RC Customers by plan'!P5=0,IF('RC Customers by plan'!P5="","",'RC Customers by plan'!P5=0))),IF('Model inputs'!AG86="","",'Model inputs'!AG86),IF('RC Customers by plan'!O31="","",'RC Customers by plan'!O31))</f>
        <v>387.87591841618973</v>
      </c>
      <c r="Q7" s="10">
        <f>IF(IF(IF(ISERROR('RC Customers by plan'!Q5=0),'RC Customers by plan'!Q5=0,IF('RC Customers by plan'!Q5="","",'RC Customers by plan'!Q5=0))="",FALSE,IF(ISERROR('RC Customers by plan'!Q5=0),'RC Customers by plan'!Q5=0,IF('RC Customers by plan'!Q5="","",'RC Customers by plan'!Q5=0))),IF('Model inputs'!AG86="","",'Model inputs'!AG86),IF('RC Customers by plan'!P31="","",'RC Customers by plan'!P31))</f>
        <v>416.23088489627867</v>
      </c>
      <c r="R7" s="10">
        <f>IF(IF(IF(ISERROR('RC Customers by plan'!R5=0),'RC Customers by plan'!R5=0,IF('RC Customers by plan'!R5="","",'RC Customers by plan'!R5=0))="",FALSE,IF(ISERROR('RC Customers by plan'!R5=0),'RC Customers by plan'!R5=0,IF('RC Customers by plan'!R5="","",'RC Customers by plan'!R5=0))),IF('Model inputs'!AG86="","",'Model inputs'!AG86),IF('RC Customers by plan'!Q31="","",'RC Customers by plan'!Q31))</f>
        <v>444.8640547193417</v>
      </c>
      <c r="S7" s="10">
        <f>IF(IF(IF(ISERROR('RC Customers by plan'!S5=0),'RC Customers by plan'!S5=0,IF('RC Customers by plan'!S5="","",'RC Customers by plan'!S5=0))="",FALSE,IF(ISERROR('RC Customers by plan'!S5=0),'RC Customers by plan'!S5=0,IF('RC Customers by plan'!S5="","",'RC Customers by plan'!S5=0))),IF('Model inputs'!AG86="","",'Model inputs'!AG86),IF('RC Customers by plan'!R31="","",'RC Customers by plan'!R31))</f>
        <v>473.8436223735132</v>
      </c>
    </row>
    <row r="8" outlineLevel="1">
      <c r="A8" t="inlineStr" s="9">
        <is>
          <t xml:space="preserve">Launch</t>
        </is>
      </c>
      <c r="B8" s="10">
        <f>IF(IF(IF(ISERROR('RC Customers by plan'!B5=0),'RC Customers by plan'!B5=0,IF('RC Customers by plan'!B5="","",'RC Customers by plan'!B5=0))="",FALSE,IF(ISERROR('RC Customers by plan'!B5=0),'RC Customers by plan'!B5=0,IF('RC Customers by plan'!B5="","",'RC Customers by plan'!B5=0))),IF('Model inputs'!AG87="","",'Model inputs'!AG87),IF('Model inputs'!N39="","",'Model inputs'!N39))</f>
        <v>1</v>
      </c>
      <c r="C8" s="10">
        <f>IF(IF(IF(ISERROR('RC Customers by plan'!C5=0),'RC Customers by plan'!C5=0,IF('RC Customers by plan'!C5="","",'RC Customers by plan'!C5=0))="",FALSE,IF(ISERROR('RC Customers by plan'!C5=0),'RC Customers by plan'!C5=0,IF('RC Customers by plan'!C5="","",'RC Customers by plan'!C5=0))),IF('Model inputs'!AG87="","",'Model inputs'!AG87),IF('RC Customers by plan'!B32="","",'RC Customers by plan'!B32))</f>
        <v>1</v>
      </c>
      <c r="D8" s="10">
        <f>IF(IF(IF(ISERROR('RC Customers by plan'!D5=0),'RC Customers by plan'!D5=0,IF('RC Customers by plan'!D5="","",'RC Customers by plan'!D5=0))="",FALSE,IF(ISERROR('RC Customers by plan'!D5=0),'RC Customers by plan'!D5=0,IF('RC Customers by plan'!D5="","",'RC Customers by plan'!D5=0))),IF('Model inputs'!AG87="","",'Model inputs'!AG87),IF('RC Customers by plan'!C32="","",'RC Customers by plan'!C32))</f>
        <v>1.51</v>
      </c>
      <c r="E8" s="10">
        <f>IF(IF(IF(ISERROR('RC Customers by plan'!E5=0),'RC Customers by plan'!E5=0,IF('RC Customers by plan'!E5="","",'RC Customers by plan'!E5=0))="",FALSE,IF(ISERROR('RC Customers by plan'!E5=0),'RC Customers by plan'!E5=0,IF('RC Customers by plan'!E5="","",'RC Customers by plan'!E5=0))),IF('Model inputs'!AG87="","",'Model inputs'!AG87),IF('RC Customers by plan'!D32="","",'RC Customers by plan'!D32))</f>
        <v>2.025106944444444</v>
      </c>
      <c r="F8" s="10">
        <f>IF(IF(IF(ISERROR('RC Customers by plan'!F5=0),'RC Customers by plan'!F5=0,IF('RC Customers by plan'!F5="","",'RC Customers by plan'!F5=0))="",FALSE,IF(ISERROR('RC Customers by plan'!F5=0),'RC Customers by plan'!F5=0,IF('RC Customers by plan'!F5="","",'RC Customers by plan'!F5=0))),IF('Model inputs'!AG87="","",'Model inputs'!AG87),IF('RC Customers by plan'!E32="","",'RC Customers by plan'!E32))</f>
        <v>2.547012070601851</v>
      </c>
      <c r="G8" s="10">
        <f>IF(IF(IF(ISERROR('RC Customers by plan'!G5=0),'RC Customers by plan'!G5=0,IF('RC Customers by plan'!G5="","",'RC Customers by plan'!G5=0))="",FALSE,IF(ISERROR('RC Customers by plan'!G5=0),'RC Customers by plan'!G5=0,IF('RC Customers by plan'!G5="","",'RC Customers by plan'!G5=0))),IF('Model inputs'!AG87="","",'Model inputs'!AG87),IF('RC Customers by plan'!F32="","",'RC Customers by plan'!F32))</f>
        <v>3.0771044879079854</v>
      </c>
      <c r="H8" s="10">
        <f>IF(IF(IF(ISERROR('RC Customers by plan'!H5=0),'RC Customers by plan'!H5=0,IF('RC Customers by plan'!H5="","",'RC Customers by plan'!H5=0))="",FALSE,IF(ISERROR('RC Customers by plan'!H5=0),'RC Customers by plan'!H5=0,IF('RC Customers by plan'!H5="","",'RC Customers by plan'!H5=0))),IF('Model inputs'!AG87="","",'Model inputs'!AG87),IF('RC Customers by plan'!G32="","",'RC Customers by plan'!G32))</f>
        <v>3.6168582008046233</v>
      </c>
      <c r="I8" s="10">
        <f>IF(IF(IF(ISERROR('RC Customers by plan'!I5=0),'RC Customers by plan'!I5=0,IF('RC Customers by plan'!I5="","",'RC Customers by plan'!I5=0))="",FALSE,IF(ISERROR('RC Customers by plan'!I5=0),'RC Customers by plan'!I5=0,IF('RC Customers by plan'!I5="","",'RC Customers by plan'!I5=0))),IF('Model inputs'!AG87="","",'Model inputs'!AG87),IF('RC Customers by plan'!H32="","",'RC Customers by plan'!H32))</f>
        <v>4.167844494352857</v>
      </c>
      <c r="J8" s="10">
        <f>IF(IF(IF(ISERROR('RC Customers by plan'!J5=0),'RC Customers by plan'!J5=0,IF('RC Customers by plan'!J5="","",'RC Customers by plan'!J5=0))="",FALSE,IF(ISERROR('RC Customers by plan'!J5=0),'RC Customers by plan'!J5=0,IF('RC Customers by plan'!J5="","",'RC Customers by plan'!J5=0))),IF('Model inputs'!AG87="","",'Model inputs'!AG87),IF('RC Customers by plan'!I32="","",'RC Customers by plan'!I32))</f>
        <v>4.731745191609298</v>
      </c>
      <c r="K8" s="10">
        <f>IF(IF(IF(ISERROR('RC Customers by plan'!K5=0),'RC Customers by plan'!K5=0,IF('RC Customers by plan'!K5="","",'RC Customers by plan'!K5=0))="",FALSE,IF(ISERROR('RC Customers by plan'!K5=0),'RC Customers by plan'!K5=0,IF('RC Customers by plan'!K5="","",'RC Customers by plan'!K5=0))),IF('Model inputs'!AG87="","",'Model inputs'!AG87),IF('RC Customers by plan'!J32="","",'RC Customers by plan'!J32))</f>
        <v>5.310366891827144</v>
      </c>
      <c r="L8" s="10">
        <f>IF(IF(IF(ISERROR('RC Customers by plan'!L5=0),'RC Customers by plan'!L5=0,IF('RC Customers by plan'!L5="","",'RC Customers by plan'!L5=0))="",FALSE,IF(ISERROR('RC Customers by plan'!L5=0),'RC Customers by plan'!L5=0,IF('RC Customers by plan'!L5="","",'RC Customers by plan'!L5=0))),IF('Model inputs'!AG87="","",'Model inputs'!AG87),IF('RC Customers by plan'!K32="","",'RC Customers by plan'!K32))</f>
        <v>5.905656307557946</v>
      </c>
      <c r="M8" s="10">
        <f>IF(IF(IF(ISERROR('RC Customers by plan'!M5=0),'RC Customers by plan'!M5=0,IF('RC Customers by plan'!M5="","",'RC Customers by plan'!M5=0))="",FALSE,IF(ISERROR('RC Customers by plan'!M5=0),'RC Customers by plan'!M5=0,IF('RC Customers by plan'!M5="","",'RC Customers by plan'!M5=0))),IF('Model inputs'!AG87="","",'Model inputs'!AG87),IF('RC Customers by plan'!L32="","",'RC Customers by plan'!L32))</f>
        <v>6.51825529091976</v>
      </c>
      <c r="N8" s="10">
        <f>IF(IF(IF(ISERROR('RC Customers by plan'!N5=0),'RC Customers by plan'!N5=0,IF('RC Customers by plan'!N5="","",'RC Customers by plan'!N5=0))="",FALSE,IF(ISERROR('RC Customers by plan'!N5=0),'RC Customers by plan'!N5=0,IF('RC Customers by plan'!N5="","",'RC Customers by plan'!N5=0))),IF('Model inputs'!AG87="","",'Model inputs'!AG87),IF('RC Customers by plan'!M32="","",'RC Customers by plan'!M32))</f>
        <v>7.148799939122187</v>
      </c>
      <c r="O8" s="10">
        <f>IF(IF(IF(ISERROR('RC Customers by plan'!O5=0),'RC Customers by plan'!O5=0,IF('RC Customers by plan'!O5="","",'RC Customers by plan'!O5=0))="",FALSE,IF(ISERROR('RC Customers by plan'!O5=0),'RC Customers by plan'!O5=0,IF('RC Customers by plan'!O5="","",'RC Customers by plan'!O5=0))),IF('Model inputs'!AG87="","",'Model inputs'!AG87),IF('RC Customers by plan'!N32="","",'RC Customers by plan'!N32))</f>
        <v>7.797924320310828</v>
      </c>
      <c r="P8" s="10">
        <f>IF(IF(IF(ISERROR('RC Customers by plan'!P5=0),'RC Customers by plan'!P5=0,IF('RC Customers by plan'!P5="","",'RC Customers by plan'!P5=0))="",FALSE,IF(ISERROR('RC Customers by plan'!P5=0),'RC Customers by plan'!P5=0,IF('RC Customers by plan'!P5="","",'RC Customers by plan'!P5=0))),IF('Model inputs'!AG87="","",'Model inputs'!AG87),IF('RC Customers by plan'!O32="","",'RC Customers by plan'!O32))</f>
        <v>8.466264010178019</v>
      </c>
      <c r="Q8" s="10">
        <f>IF(IF(IF(ISERROR('RC Customers by plan'!Q5=0),'RC Customers by plan'!Q5=0,IF('RC Customers by plan'!Q5="","",'RC Customers by plan'!Q5=0))="",FALSE,IF(ISERROR('RC Customers by plan'!Q5=0),'RC Customers by plan'!Q5=0,IF('RC Customers by plan'!Q5="","",'RC Customers by plan'!Q5=0))),IF('Model inputs'!AG87="","",'Model inputs'!AG87),IF('RC Customers by plan'!P32="","",'RC Customers by plan'!P32))</f>
        <v>9.154459457032457</v>
      </c>
      <c r="R8" s="10">
        <f>IF(IF(IF(ISERROR('RC Customers by plan'!R5=0),'RC Customers by plan'!R5=0,IF('RC Customers by plan'!R5="","",'RC Customers by plan'!R5=0))="",FALSE,IF(ISERROR('RC Customers by plan'!R5=0),'RC Customers by plan'!R5=0,IF('RC Customers by plan'!R5="","",'RC Customers by plan'!R5=0))),IF('Model inputs'!AG87="","",'Model inputs'!AG87),IF('RC Customers by plan'!Q32="","",'RC Customers by plan'!Q32))</f>
        <v>9.86315919194885</v>
      </c>
      <c r="S8" s="10">
        <f>IF(IF(IF(ISERROR('RC Customers by plan'!S5=0),'RC Customers by plan'!S5=0,IF('RC Customers by plan'!S5="","",'RC Customers by plan'!S5=0))="",FALSE,IF(ISERROR('RC Customers by plan'!S5=0),'RC Customers by plan'!S5=0,IF('RC Customers by plan'!S5="","",'RC Customers by plan'!S5=0))),IF('Model inputs'!AG87="","",'Model inputs'!AG87),IF('RC Customers by plan'!R32="","",'RC Customers by plan'!R32))</f>
        <v>10.59302289962623</v>
      </c>
    </row>
    <row r="9" outlineLevel="1">
      <c r="A9" t="inlineStr" s="9">
        <is>
          <t xml:space="preserve">Team</t>
        </is>
      </c>
      <c r="B9" s="10">
        <f>IF(IF(IF(ISERROR('RC Customers by plan'!B5=0),'RC Customers by plan'!B5=0,IF('RC Customers by plan'!B5="","",'RC Customers by plan'!B5=0))="",FALSE,IF(ISERROR('RC Customers by plan'!B5=0),'RC Customers by plan'!B5=0,IF('RC Customers by plan'!B5="","",'RC Customers by plan'!B5=0))),IF('Model inputs'!AG88="","",'Model inputs'!AG88),IF('Model inputs'!N40="","",'Model inputs'!N40))</f>
        <v>6</v>
      </c>
      <c r="C9" s="10">
        <f>IF(IF(IF(ISERROR('RC Customers by plan'!C5=0),'RC Customers by plan'!C5=0,IF('RC Customers by plan'!C5="","",'RC Customers by plan'!C5=0))="",FALSE,IF(ISERROR('RC Customers by plan'!C5=0),'RC Customers by plan'!C5=0,IF('RC Customers by plan'!C5="","",'RC Customers by plan'!C5=0))),IF('Model inputs'!AG88="","",'Model inputs'!AG88),IF('RC Customers by plan'!B33="","",'RC Customers by plan'!B33))</f>
        <v>6</v>
      </c>
      <c r="D9" s="10">
        <f>IF(IF(IF(ISERROR('RC Customers by plan'!D5=0),'RC Customers by plan'!D5=0,IF('RC Customers by plan'!D5="","",'RC Customers by plan'!D5=0))="",FALSE,IF(ISERROR('RC Customers by plan'!D5=0),'RC Customers by plan'!D5=0,IF('RC Customers by plan'!D5="","",'RC Customers by plan'!D5=0))),IF('Model inputs'!AG88="","",'Model inputs'!AG88),IF('RC Customers by plan'!C33="","",'RC Customers by plan'!C33))</f>
        <v>9.061666666666667</v>
      </c>
      <c r="E9" s="10">
        <f>IF(IF(IF(ISERROR('RC Customers by plan'!E5=0),'RC Customers by plan'!E5=0,IF('RC Customers by plan'!E5="","",'RC Customers by plan'!E5=0))="",FALSE,IF(ISERROR('RC Customers by plan'!E5=0),'RC Customers by plan'!E5=0,IF('RC Customers by plan'!E5="","",'RC Customers by plan'!E5=0))),IF('Model inputs'!AG88="","",'Model inputs'!AG88),IF('RC Customers by plan'!D33="","",'RC Customers by plan'!D33))</f>
        <v>12.547615277777778</v>
      </c>
      <c r="F9" s="10">
        <f>IF(IF(IF(ISERROR('RC Customers by plan'!F5=0),'RC Customers by plan'!F5=0,IF('RC Customers by plan'!F5="","",'RC Customers by plan'!F5=0))="",FALSE,IF(ISERROR('RC Customers by plan'!F5=0),'RC Customers by plan'!F5=0,IF('RC Customers by plan'!F5="","",'RC Customers by plan'!F5=0))),IF('Model inputs'!AG88="","",'Model inputs'!AG88),IF('RC Customers by plan'!E33="","",'RC Customers by plan'!E33))</f>
        <v>16.391423607638888</v>
      </c>
      <c r="G9" s="10">
        <f>IF(IF(IF(ISERROR('RC Customers by plan'!G5=0),'RC Customers by plan'!G5=0,IF('RC Customers by plan'!G5="","",'RC Customers by plan'!G5=0))="",FALSE,IF(ISERROR('RC Customers by plan'!G5=0),'RC Customers by plan'!G5=0,IF('RC Customers by plan'!G5="","",'RC Customers by plan'!G5=0))),IF('Model inputs'!AG88="","",'Model inputs'!AG88),IF('RC Customers by plan'!F33="","",'RC Customers by plan'!F33))</f>
        <v>20.618467251661844</v>
      </c>
      <c r="H9" s="10">
        <f>IF(IF(IF(ISERROR('RC Customers by plan'!H5=0),'RC Customers by plan'!H5=0,IF('RC Customers by plan'!H5="","",'RC Customers by plan'!H5=0))="",FALSE,IF(ISERROR('RC Customers by plan'!H5=0),'RC Customers by plan'!H5=0,IF('RC Customers by plan'!H5="","",'RC Customers by plan'!H5=0))),IF('Model inputs'!AG88="","",'Model inputs'!AG88),IF('RC Customers by plan'!G33="","",'RC Customers by plan'!G33))</f>
        <v>25.257399974472865</v>
      </c>
      <c r="I9" s="10">
        <f>IF(IF(IF(ISERROR('RC Customers by plan'!I5=0),'RC Customers by plan'!I5=0,IF('RC Customers by plan'!I5="","",'RC Customers by plan'!I5=0))="",FALSE,IF(ISERROR('RC Customers by plan'!I5=0),'RC Customers by plan'!I5=0,IF('RC Customers by plan'!I5="","",'RC Customers by plan'!I5=0))),IF('Model inputs'!AG88="","",'Model inputs'!AG88),IF('RC Customers by plan'!H33="","",'RC Customers by plan'!H33))</f>
        <v>30.3404075212161</v>
      </c>
      <c r="J9" s="10">
        <f>IF(IF(IF(ISERROR('RC Customers by plan'!J5=0),'RC Customers by plan'!J5=0,IF('RC Customers by plan'!J5="","",'RC Customers by plan'!J5=0))="",FALSE,IF(ISERROR('RC Customers by plan'!J5=0),'RC Customers by plan'!J5=0,IF('RC Customers by plan'!J5="","",'RC Customers by plan'!J5=0))),IF('Model inputs'!AG88="","",'Model inputs'!AG88),IF('RC Customers by plan'!I33="","",'RC Customers by plan'!I33))</f>
        <v>35.90349074207642</v>
      </c>
      <c r="K9" s="10">
        <f>IF(IF(IF(ISERROR('RC Customers by plan'!K5=0),'RC Customers by plan'!K5=0,IF('RC Customers by plan'!K5="","",'RC Customers by plan'!K5=0))="",FALSE,IF(ISERROR('RC Customers by plan'!K5=0),'RC Customers by plan'!K5=0,IF('RC Customers by plan'!K5="","",'RC Customers by plan'!K5=0))),IF('Model inputs'!AG88="","",'Model inputs'!AG88),IF('RC Customers by plan'!J33="","",'RC Customers by plan'!J33))</f>
        <v>41.986780585970116</v>
      </c>
      <c r="L9" s="10">
        <f>IF(IF(IF(ISERROR('RC Customers by plan'!L5=0),'RC Customers by plan'!L5=0,IF('RC Customers by plan'!L5="","",'RC Customers by plan'!L5=0))="",FALSE,IF(ISERROR('RC Customers by plan'!L5=0),'RC Customers by plan'!L5=0,IF('RC Customers by plan'!L5="","",'RC Customers by plan'!L5=0))),IF('Model inputs'!AG88="","",'Model inputs'!AG88),IF('RC Customers by plan'!K33="","",'RC Customers by plan'!K33))</f>
        <v>48.284118714044176</v>
      </c>
      <c r="M9" s="10">
        <f>IF(IF(IF(ISERROR('RC Customers by plan'!M5=0),'RC Customers by plan'!M5=0,IF('RC Customers by plan'!M5="","",'RC Customers by plan'!M5=0))="",FALSE,IF(ISERROR('RC Customers by plan'!M5=0),'RC Customers by plan'!M5=0,IF('RC Customers by plan'!M5="","",'RC Customers by plan'!M5=0))),IF('Model inputs'!AG88="","",'Model inputs'!AG88),IF('RC Customers by plan'!L33="","",'RC Customers by plan'!L33))</f>
        <v>54.79643461589339</v>
      </c>
      <c r="N9" s="10">
        <f>IF(IF(IF(ISERROR('RC Customers by plan'!N5=0),'RC Customers by plan'!N5=0,IF('RC Customers by plan'!N5="","",'RC Customers by plan'!N5=0))="",FALSE,IF(ISERROR('RC Customers by plan'!N5=0),'RC Customers by plan'!N5=0,IF('RC Customers by plan'!N5="","",'RC Customers by plan'!N5=0))),IF('Model inputs'!AG88="","",'Model inputs'!AG88),IF('RC Customers by plan'!M33="","",'RC Customers by plan'!M33))</f>
        <v>61.52553126611357</v>
      </c>
      <c r="O9" s="10">
        <f>IF(IF(IF(ISERROR('RC Customers by plan'!O5=0),'RC Customers by plan'!O5=0,IF('RC Customers by plan'!O5="","",'RC Customers by plan'!O5=0))="",FALSE,IF(ISERROR('RC Customers by plan'!O5=0),'RC Customers by plan'!O5=0,IF('RC Customers by plan'!O5="","",'RC Customers by plan'!O5=0))),IF('Model inputs'!AG88="","",'Model inputs'!AG88),IF('RC Customers by plan'!N33="","",'RC Customers by plan'!N33))</f>
        <v>68.47405312124489</v>
      </c>
      <c r="P9" s="10">
        <f>IF(IF(IF(ISERROR('RC Customers by plan'!P5=0),'RC Customers by plan'!P5=0,IF('RC Customers by plan'!P5="","",'RC Customers by plan'!P5=0))="",FALSE,IF(ISERROR('RC Customers by plan'!P5=0),'RC Customers by plan'!P5=0,IF('RC Customers by plan'!P5="","",'RC Customers by plan'!P5=0))),IF('Model inputs'!AG88="","",'Model inputs'!AG88),IF('RC Customers by plan'!O33="","",'RC Customers by plan'!O33))</f>
        <v>75.64545768170619</v>
      </c>
      <c r="Q9" s="10">
        <f>IF(IF(IF(ISERROR('RC Customers by plan'!Q5=0),'RC Customers by plan'!Q5=0,IF('RC Customers by plan'!Q5="","",'RC Customers by plan'!Q5=0))="",FALSE,IF(ISERROR('RC Customers by plan'!Q5=0),'RC Customers by plan'!Q5=0,IF('RC Customers by plan'!Q5="","",'RC Customers by plan'!Q5=0))),IF('Model inputs'!AG88="","",'Model inputs'!AG88),IF('RC Customers by plan'!P33="","",'RC Customers by plan'!P33))</f>
        <v>83.04399042525094</v>
      </c>
      <c r="R9" s="10">
        <f>IF(IF(IF(ISERROR('RC Customers by plan'!R5=0),'RC Customers by plan'!R5=0,IF('RC Customers by plan'!R5="","",'RC Customers by plan'!R5=0))="",FALSE,IF(ISERROR('RC Customers by plan'!R5=0),'RC Customers by plan'!R5=0,IF('RC Customers by plan'!R5="","",'RC Customers by plan'!R5=0))),IF('Model inputs'!AG88="","",'Model inputs'!AG88),IF('RC Customers by plan'!Q33="","",'RC Customers by plan'!Q33))</f>
        <v>90.67466293358764</v>
      </c>
      <c r="S9" s="10">
        <f>IF(IF(IF(ISERROR('RC Customers by plan'!S5=0),'RC Customers by plan'!S5=0,IF('RC Customers by plan'!S5="","",'RC Customers by plan'!S5=0))="",FALSE,IF(ISERROR('RC Customers by plan'!S5=0),'RC Customers by plan'!S5=0,IF('RC Customers by plan'!S5="","",'RC Customers by plan'!S5=0))),IF('Model inputs'!AG88="","",'Model inputs'!AG88),IF('RC Customers by plan'!R33="","",'RC Customers by plan'!R33))</f>
        <v>98.54323404798558</v>
      </c>
    </row>
    <row r="10">
      <c r="A10" t="inlineStr" s="6">
        <is>
          <t xml:space="preserve">Organic new logos</t>
        </is>
      </c>
      <c r="B10" s="8">
        <f>SUM('RC Customers by plan'!B11,'RC Customers by plan'!B12,'RC Customers by plan'!B13)</f>
        <v>0</v>
      </c>
      <c r="C10" s="8">
        <f>SUM('RC Customers by plan'!C11,'RC Customers by plan'!C12,'RC Customers by plan'!C13)</f>
        <v>28.5</v>
      </c>
      <c r="D10" s="8">
        <f>SUM('RC Customers by plan'!D11,'RC Customers by plan'!D12,'RC Customers by plan'!D13)</f>
        <v>30.8</v>
      </c>
      <c r="E10" s="8">
        <f>SUM('RC Customers by plan'!E11,'RC Customers by plan'!E12,'RC Customers by plan'!E13)</f>
        <v>33.290000000000006</v>
      </c>
      <c r="F10" s="8">
        <f>SUM('RC Customers by plan'!F11,'RC Customers by plan'!F12,'RC Customers by plan'!F13)</f>
        <v>35.985800000000005</v>
      </c>
      <c r="G10" s="8">
        <f>SUM('RC Customers by plan'!G11,'RC Customers by plan'!G12,'RC Customers by plan'!G13)</f>
        <v>38.90452400000001</v>
      </c>
      <c r="H10" s="8">
        <f>SUM('RC Customers by plan'!H11,'RC Customers by plan'!H12,'RC Customers by plan'!H13)</f>
        <v>42.064731920000014</v>
      </c>
      <c r="I10" s="8">
        <f>SUM('RC Customers by plan'!I11,'RC Customers by plan'!I12,'RC Customers by plan'!I13)</f>
        <v>45.486541073600016</v>
      </c>
      <c r="J10" s="8">
        <f>SUM('RC Customers by plan'!J11,'RC Customers by plan'!J12,'RC Customers by plan'!J13)</f>
        <v>49.19175801948802</v>
      </c>
      <c r="K10" s="8">
        <f>SUM('RC Customers by plan'!K11,'RC Customers by plan'!K12,'RC Customers by plan'!K13)</f>
        <v>51.13942834026755</v>
      </c>
      <c r="L10" s="8">
        <f>SUM('RC Customers by plan'!L11,'RC Customers by plan'!L12,'RC Customers by plan'!L13)</f>
        <v>53.16500547387825</v>
      </c>
      <c r="M10" s="8">
        <f>SUM('RC Customers by plan'!M11,'RC Customers by plan'!M12,'RC Customers by plan'!M13)</f>
        <v>55.27160569283338</v>
      </c>
      <c r="N10" s="8">
        <f>SUM('RC Customers by plan'!N11,'RC Customers by plan'!N12,'RC Customers by plan'!N13)</f>
        <v>57.462469920546724</v>
      </c>
      <c r="O10" s="8">
        <f>SUM('RC Customers by plan'!O11,'RC Customers by plan'!O12,'RC Customers by plan'!O13)</f>
        <v>59.740968717368595</v>
      </c>
      <c r="P10" s="8">
        <f>SUM('RC Customers by plan'!P11,'RC Customers by plan'!P12,'RC Customers by plan'!P13)</f>
        <v>62.11060746606334</v>
      </c>
      <c r="Q10" s="8">
        <f>SUM('RC Customers by plan'!Q11,'RC Customers by plan'!Q12,'RC Customers by plan'!Q13)</f>
        <v>64.57503176470587</v>
      </c>
      <c r="R10" s="8">
        <f>SUM('RC Customers by plan'!R11,'RC Customers by plan'!R12,'RC Customers by plan'!R13)</f>
        <v>67.13803303529411</v>
      </c>
      <c r="S10" s="8">
        <f>SUM('RC Customers by plan'!S11,'RC Customers by plan'!S12,'RC Customers by plan'!S13)</f>
        <v>69.80355435670587</v>
      </c>
    </row>
    <row r="11" outlineLevel="1">
      <c r="A11" t="inlineStr" s="9">
        <is>
          <t xml:space="preserve">Indie</t>
        </is>
      </c>
      <c r="B11" s="10">
        <f>IF(IF(IF(ISERROR('RC Customers by plan'!B5&lt;1),'RC Customers by plan'!B5&lt;1,IF('RC Customers by plan'!B5="","",'RC Customers by plan'!B5&lt;1))="",FALSE,IF(ISERROR('RC Customers by plan'!B5&lt;1),'RC Customers by plan'!B5&lt;1,IF('RC Customers by plan'!B5="","",'RC Customers by plan'!B5&lt;1))),0,IF(IF(IF(ISERROR('RC Customers by plan'!B5=1),'RC Customers by plan'!B5=1,IF('RC Customers by plan'!B5="","",'RC Customers by plan'!B5=1))="",FALSE,IF(ISERROR('RC Customers by plan'!B5=1),'RC Customers by plan'!B5=1,IF('RC Customers by plan'!B5="","",'RC Customers by plan'!B5=1))),IF('Model inputs'!AG69="","",'Model inputs'!AG69),'Model inputs'!N77*(1+IF(IF(IF(IF(ISERROR('RC Customers by plan'!B5&lt;=8),'RC Customers by plan'!B5&lt;=8,IF('RC Customers by plan'!B5="","",'RC Customers by plan'!B5&lt;=8))="",FALSE,IF(ISERROR('RC Customers by plan'!B5&lt;=8),'RC Customers by plan'!B5&lt;=8,IF('RC Customers by plan'!B5="","",'RC Customers by plan'!B5&lt;=8))),IF('Model inputs'!AG50="","",'Model inputs'!AG50),IF('Model inputs'!AG46="","",'Model inputs'!AG46))="",0,IF(IF(IF(ISERROR('RC Customers by plan'!B5&lt;=8),'RC Customers by plan'!B5&lt;=8,IF('RC Customers by plan'!B5="","",'RC Customers by plan'!B5&lt;=8))="",FALSE,IF(ISERROR('RC Customers by plan'!B5&lt;=8),'RC Customers by plan'!B5&lt;=8,IF('RC Customers by plan'!B5="","",'RC Customers by plan'!B5&lt;=8))),IF('Model inputs'!AG50="","",'Model inputs'!AG50),IF('Model inputs'!AG46="","",'Model inputs'!AG46))))))</f>
        <v>0</v>
      </c>
      <c r="C11" s="10">
        <f>IF(IF(IF(ISERROR('RC Customers by plan'!C5&lt;1),'RC Customers by plan'!C5&lt;1,IF('RC Customers by plan'!C5="","",'RC Customers by plan'!C5&lt;1))="",FALSE,IF(ISERROR('RC Customers by plan'!C5&lt;1),'RC Customers by plan'!C5&lt;1,IF('RC Customers by plan'!C5="","",'RC Customers by plan'!C5&lt;1))),0,IF(IF(IF(ISERROR('RC Customers by plan'!C5=1),'RC Customers by plan'!C5=1,IF('RC Customers by plan'!C5="","",'RC Customers by plan'!C5=1))="",FALSE,IF(ISERROR('RC Customers by plan'!C5=1),'RC Customers by plan'!C5=1,IF('RC Customers by plan'!C5="","",'RC Customers by plan'!C5=1))),IF('Model inputs'!AG69="","",'Model inputs'!AG69),'RC Customers by plan'!B11*(1+IF(IF(IF(IF(ISERROR('RC Customers by plan'!C5&lt;=8),'RC Customers by plan'!C5&lt;=8,IF('RC Customers by plan'!C5="","",'RC Customers by plan'!C5&lt;=8))="",FALSE,IF(ISERROR('RC Customers by plan'!C5&lt;=8),'RC Customers by plan'!C5&lt;=8,IF('RC Customers by plan'!C5="","",'RC Customers by plan'!C5&lt;=8))),IF('Model inputs'!AG50="","",'Model inputs'!AG50),IF('Model inputs'!AG46="","",'Model inputs'!AG46))="",0,IF(IF(IF(ISERROR('RC Customers by plan'!C5&lt;=8),'RC Customers by plan'!C5&lt;=8,IF('RC Customers by plan'!C5="","",'RC Customers by plan'!C5&lt;=8))="",FALSE,IF(ISERROR('RC Customers by plan'!C5&lt;=8),'RC Customers by plan'!C5&lt;=8,IF('RC Customers by plan'!C5="","",'RC Customers by plan'!C5&lt;=8))),IF('Model inputs'!AG50="","",'Model inputs'!AG50),IF('Model inputs'!AG46="","",'Model inputs'!AG46))))))</f>
        <v>25</v>
      </c>
      <c r="D11" s="10">
        <f>IF(IF(IF(ISERROR('RC Customers by plan'!D5&lt;1),'RC Customers by plan'!D5&lt;1,IF('RC Customers by plan'!D5="","",'RC Customers by plan'!D5&lt;1))="",FALSE,IF(ISERROR('RC Customers by plan'!D5&lt;1),'RC Customers by plan'!D5&lt;1,IF('RC Customers by plan'!D5="","",'RC Customers by plan'!D5&lt;1))),0,IF(IF(IF(ISERROR('RC Customers by plan'!D5=1),'RC Customers by plan'!D5=1,IF('RC Customers by plan'!D5="","",'RC Customers by plan'!D5=1))="",FALSE,IF(ISERROR('RC Customers by plan'!D5=1),'RC Customers by plan'!D5=1,IF('RC Customers by plan'!D5="","",'RC Customers by plan'!D5=1))),IF('Model inputs'!AG69="","",'Model inputs'!AG69),'RC Customers by plan'!C11*(1+IF(IF(IF(IF(ISERROR('RC Customers by plan'!D5&lt;=8),'RC Customers by plan'!D5&lt;=8,IF('RC Customers by plan'!D5="","",'RC Customers by plan'!D5&lt;=8))="",FALSE,IF(ISERROR('RC Customers by plan'!D5&lt;=8),'RC Customers by plan'!D5&lt;=8,IF('RC Customers by plan'!D5="","",'RC Customers by plan'!D5&lt;=8))),IF('Model inputs'!AG50="","",'Model inputs'!AG50),IF('Model inputs'!AG46="","",'Model inputs'!AG46))="",0,IF(IF(IF(ISERROR('RC Customers by plan'!D5&lt;=8),'RC Customers by plan'!D5&lt;=8,IF('RC Customers by plan'!D5="","",'RC Customers by plan'!D5&lt;=8))="",FALSE,IF(ISERROR('RC Customers by plan'!D5&lt;=8),'RC Customers by plan'!D5&lt;=8,IF('RC Customers by plan'!D5="","",'RC Customers by plan'!D5&lt;=8))),IF('Model inputs'!AG50="","",'Model inputs'!AG50),IF('Model inputs'!AG46="","",'Model inputs'!AG46))))))</f>
        <v>27</v>
      </c>
      <c r="E11" s="10">
        <f>IF(IF(IF(ISERROR('RC Customers by plan'!E5&lt;1),'RC Customers by plan'!E5&lt;1,IF('RC Customers by plan'!E5="","",'RC Customers by plan'!E5&lt;1))="",FALSE,IF(ISERROR('RC Customers by plan'!E5&lt;1),'RC Customers by plan'!E5&lt;1,IF('RC Customers by plan'!E5="","",'RC Customers by plan'!E5&lt;1))),0,IF(IF(IF(ISERROR('RC Customers by plan'!E5=1),'RC Customers by plan'!E5=1,IF('RC Customers by plan'!E5="","",'RC Customers by plan'!E5=1))="",FALSE,IF(ISERROR('RC Customers by plan'!E5=1),'RC Customers by plan'!E5=1,IF('RC Customers by plan'!E5="","",'RC Customers by plan'!E5=1))),IF('Model inputs'!AG69="","",'Model inputs'!AG69),'RC Customers by plan'!D11*(1+IF(IF(IF(IF(ISERROR('RC Customers by plan'!E5&lt;=8),'RC Customers by plan'!E5&lt;=8,IF('RC Customers by plan'!E5="","",'RC Customers by plan'!E5&lt;=8))="",FALSE,IF(ISERROR('RC Customers by plan'!E5&lt;=8),'RC Customers by plan'!E5&lt;=8,IF('RC Customers by plan'!E5="","",'RC Customers by plan'!E5&lt;=8))),IF('Model inputs'!AG50="","",'Model inputs'!AG50),IF('Model inputs'!AG46="","",'Model inputs'!AG46))="",0,IF(IF(IF(ISERROR('RC Customers by plan'!E5&lt;=8),'RC Customers by plan'!E5&lt;=8,IF('RC Customers by plan'!E5="","",'RC Customers by plan'!E5&lt;=8))="",FALSE,IF(ISERROR('RC Customers by plan'!E5&lt;=8),'RC Customers by plan'!E5&lt;=8,IF('RC Customers by plan'!E5="","",'RC Customers by plan'!E5&lt;=8))),IF('Model inputs'!AG50="","",'Model inputs'!AG50),IF('Model inputs'!AG46="","",'Model inputs'!AG46))))))</f>
        <v>29.160000000000004</v>
      </c>
      <c r="F11" s="10">
        <f>IF(IF(IF(ISERROR('RC Customers by plan'!F5&lt;1),'RC Customers by plan'!F5&lt;1,IF('RC Customers by plan'!F5="","",'RC Customers by plan'!F5&lt;1))="",FALSE,IF(ISERROR('RC Customers by plan'!F5&lt;1),'RC Customers by plan'!F5&lt;1,IF('RC Customers by plan'!F5="","",'RC Customers by plan'!F5&lt;1))),0,IF(IF(IF(ISERROR('RC Customers by plan'!F5=1),'RC Customers by plan'!F5=1,IF('RC Customers by plan'!F5="","",'RC Customers by plan'!F5=1))="",FALSE,IF(ISERROR('RC Customers by plan'!F5=1),'RC Customers by plan'!F5=1,IF('RC Customers by plan'!F5="","",'RC Customers by plan'!F5=1))),IF('Model inputs'!AG69="","",'Model inputs'!AG69),'RC Customers by plan'!E11*(1+IF(IF(IF(IF(ISERROR('RC Customers by plan'!F5&lt;=8),'RC Customers by plan'!F5&lt;=8,IF('RC Customers by plan'!F5="","",'RC Customers by plan'!F5&lt;=8))="",FALSE,IF(ISERROR('RC Customers by plan'!F5&lt;=8),'RC Customers by plan'!F5&lt;=8,IF('RC Customers by plan'!F5="","",'RC Customers by plan'!F5&lt;=8))),IF('Model inputs'!AG50="","",'Model inputs'!AG50),IF('Model inputs'!AG46="","",'Model inputs'!AG46))="",0,IF(IF(IF(ISERROR('RC Customers by plan'!F5&lt;=8),'RC Customers by plan'!F5&lt;=8,IF('RC Customers by plan'!F5="","",'RC Customers by plan'!F5&lt;=8))="",FALSE,IF(ISERROR('RC Customers by plan'!F5&lt;=8),'RC Customers by plan'!F5&lt;=8,IF('RC Customers by plan'!F5="","",'RC Customers by plan'!F5&lt;=8))),IF('Model inputs'!AG50="","",'Model inputs'!AG50),IF('Model inputs'!AG46="","",'Model inputs'!AG46))))))</f>
        <v>31.492800000000006</v>
      </c>
      <c r="G11" s="10">
        <f>IF(IF(IF(ISERROR('RC Customers by plan'!G5&lt;1),'RC Customers by plan'!G5&lt;1,IF('RC Customers by plan'!G5="","",'RC Customers by plan'!G5&lt;1))="",FALSE,IF(ISERROR('RC Customers by plan'!G5&lt;1),'RC Customers by plan'!G5&lt;1,IF('RC Customers by plan'!G5="","",'RC Customers by plan'!G5&lt;1))),0,IF(IF(IF(ISERROR('RC Customers by plan'!G5=1),'RC Customers by plan'!G5=1,IF('RC Customers by plan'!G5="","",'RC Customers by plan'!G5=1))="",FALSE,IF(ISERROR('RC Customers by plan'!G5=1),'RC Customers by plan'!G5=1,IF('RC Customers by plan'!G5="","",'RC Customers by plan'!G5=1))),IF('Model inputs'!AG69="","",'Model inputs'!AG69),'RC Customers by plan'!F11*(1+IF(IF(IF(IF(ISERROR('RC Customers by plan'!G5&lt;=8),'RC Customers by plan'!G5&lt;=8,IF('RC Customers by plan'!G5="","",'RC Customers by plan'!G5&lt;=8))="",FALSE,IF(ISERROR('RC Customers by plan'!G5&lt;=8),'RC Customers by plan'!G5&lt;=8,IF('RC Customers by plan'!G5="","",'RC Customers by plan'!G5&lt;=8))),IF('Model inputs'!AG50="","",'Model inputs'!AG50),IF('Model inputs'!AG46="","",'Model inputs'!AG46))="",0,IF(IF(IF(ISERROR('RC Customers by plan'!G5&lt;=8),'RC Customers by plan'!G5&lt;=8,IF('RC Customers by plan'!G5="","",'RC Customers by plan'!G5&lt;=8))="",FALSE,IF(ISERROR('RC Customers by plan'!G5&lt;=8),'RC Customers by plan'!G5&lt;=8,IF('RC Customers by plan'!G5="","",'RC Customers by plan'!G5&lt;=8))),IF('Model inputs'!AG50="","",'Model inputs'!AG50),IF('Model inputs'!AG46="","",'Model inputs'!AG46))))))</f>
        <v>34.01222400000001</v>
      </c>
      <c r="H11" s="10">
        <f>IF(IF(IF(ISERROR('RC Customers by plan'!H5&lt;1),'RC Customers by plan'!H5&lt;1,IF('RC Customers by plan'!H5="","",'RC Customers by plan'!H5&lt;1))="",FALSE,IF(ISERROR('RC Customers by plan'!H5&lt;1),'RC Customers by plan'!H5&lt;1,IF('RC Customers by plan'!H5="","",'RC Customers by plan'!H5&lt;1))),0,IF(IF(IF(ISERROR('RC Customers by plan'!H5=1),'RC Customers by plan'!H5=1,IF('RC Customers by plan'!H5="","",'RC Customers by plan'!H5=1))="",FALSE,IF(ISERROR('RC Customers by plan'!H5=1),'RC Customers by plan'!H5=1,IF('RC Customers by plan'!H5="","",'RC Customers by plan'!H5=1))),IF('Model inputs'!AG69="","",'Model inputs'!AG69),'RC Customers by plan'!G11*(1+IF(IF(IF(IF(ISERROR('RC Customers by plan'!H5&lt;=8),'RC Customers by plan'!H5&lt;=8,IF('RC Customers by plan'!H5="","",'RC Customers by plan'!H5&lt;=8))="",FALSE,IF(ISERROR('RC Customers by plan'!H5&lt;=8),'RC Customers by plan'!H5&lt;=8,IF('RC Customers by plan'!H5="","",'RC Customers by plan'!H5&lt;=8))),IF('Model inputs'!AG50="","",'Model inputs'!AG50),IF('Model inputs'!AG46="","",'Model inputs'!AG46))="",0,IF(IF(IF(ISERROR('RC Customers by plan'!H5&lt;=8),'RC Customers by plan'!H5&lt;=8,IF('RC Customers by plan'!H5="","",'RC Customers by plan'!H5&lt;=8))="",FALSE,IF(ISERROR('RC Customers by plan'!H5&lt;=8),'RC Customers by plan'!H5&lt;=8,IF('RC Customers by plan'!H5="","",'RC Customers by plan'!H5&lt;=8))),IF('Model inputs'!AG50="","",'Model inputs'!AG50),IF('Model inputs'!AG46="","",'Model inputs'!AG46))))))</f>
        <v>36.73320192000001</v>
      </c>
      <c r="I11" s="10">
        <f>IF(IF(IF(ISERROR('RC Customers by plan'!I5&lt;1),'RC Customers by plan'!I5&lt;1,IF('RC Customers by plan'!I5="","",'RC Customers by plan'!I5&lt;1))="",FALSE,IF(ISERROR('RC Customers by plan'!I5&lt;1),'RC Customers by plan'!I5&lt;1,IF('RC Customers by plan'!I5="","",'RC Customers by plan'!I5&lt;1))),0,IF(IF(IF(ISERROR('RC Customers by plan'!I5=1),'RC Customers by plan'!I5=1,IF('RC Customers by plan'!I5="","",'RC Customers by plan'!I5=1))="",FALSE,IF(ISERROR('RC Customers by plan'!I5=1),'RC Customers by plan'!I5=1,IF('RC Customers by plan'!I5="","",'RC Customers by plan'!I5=1))),IF('Model inputs'!AG69="","",'Model inputs'!AG69),'RC Customers by plan'!H11*(1+IF(IF(IF(IF(ISERROR('RC Customers by plan'!I5&lt;=8),'RC Customers by plan'!I5&lt;=8,IF('RC Customers by plan'!I5="","",'RC Customers by plan'!I5&lt;=8))="",FALSE,IF(ISERROR('RC Customers by plan'!I5&lt;=8),'RC Customers by plan'!I5&lt;=8,IF('RC Customers by plan'!I5="","",'RC Customers by plan'!I5&lt;=8))),IF('Model inputs'!AG50="","",'Model inputs'!AG50),IF('Model inputs'!AG46="","",'Model inputs'!AG46))="",0,IF(IF(IF(ISERROR('RC Customers by plan'!I5&lt;=8),'RC Customers by plan'!I5&lt;=8,IF('RC Customers by plan'!I5="","",'RC Customers by plan'!I5&lt;=8))="",FALSE,IF(ISERROR('RC Customers by plan'!I5&lt;=8),'RC Customers by plan'!I5&lt;=8,IF('RC Customers by plan'!I5="","",'RC Customers by plan'!I5&lt;=8))),IF('Model inputs'!AG50="","",'Model inputs'!AG50),IF('Model inputs'!AG46="","",'Model inputs'!AG46))))))</f>
        <v>39.67185807360001</v>
      </c>
      <c r="J11" s="10">
        <f>IF(IF(IF(ISERROR('RC Customers by plan'!J5&lt;1),'RC Customers by plan'!J5&lt;1,IF('RC Customers by plan'!J5="","",'RC Customers by plan'!J5&lt;1))="",FALSE,IF(ISERROR('RC Customers by plan'!J5&lt;1),'RC Customers by plan'!J5&lt;1,IF('RC Customers by plan'!J5="","",'RC Customers by plan'!J5&lt;1))),0,IF(IF(IF(ISERROR('RC Customers by plan'!J5=1),'RC Customers by plan'!J5=1,IF('RC Customers by plan'!J5="","",'RC Customers by plan'!J5=1))="",FALSE,IF(ISERROR('RC Customers by plan'!J5=1),'RC Customers by plan'!J5=1,IF('RC Customers by plan'!J5="","",'RC Customers by plan'!J5=1))),IF('Model inputs'!AG69="","",'Model inputs'!AG69),'RC Customers by plan'!I11*(1+IF(IF(IF(IF(ISERROR('RC Customers by plan'!J5&lt;=8),'RC Customers by plan'!J5&lt;=8,IF('RC Customers by plan'!J5="","",'RC Customers by plan'!J5&lt;=8))="",FALSE,IF(ISERROR('RC Customers by plan'!J5&lt;=8),'RC Customers by plan'!J5&lt;=8,IF('RC Customers by plan'!J5="","",'RC Customers by plan'!J5&lt;=8))),IF('Model inputs'!AG50="","",'Model inputs'!AG50),IF('Model inputs'!AG46="","",'Model inputs'!AG46))="",0,IF(IF(IF(ISERROR('RC Customers by plan'!J5&lt;=8),'RC Customers by plan'!J5&lt;=8,IF('RC Customers by plan'!J5="","",'RC Customers by plan'!J5&lt;=8))="",FALSE,IF(ISERROR('RC Customers by plan'!J5&lt;=8),'RC Customers by plan'!J5&lt;=8,IF('RC Customers by plan'!J5="","",'RC Customers by plan'!J5&lt;=8))),IF('Model inputs'!AG50="","",'Model inputs'!AG50),IF('Model inputs'!AG46="","",'Model inputs'!AG46))))))</f>
        <v>42.84560671948802</v>
      </c>
      <c r="K11" s="10">
        <f>IF(IF(IF(ISERROR('RC Customers by plan'!K5&lt;1),'RC Customers by plan'!K5&lt;1,IF('RC Customers by plan'!K5="","",'RC Customers by plan'!K5&lt;1))="",FALSE,IF(ISERROR('RC Customers by plan'!K5&lt;1),'RC Customers by plan'!K5&lt;1,IF('RC Customers by plan'!K5="","",'RC Customers by plan'!K5&lt;1))),0,IF(IF(IF(ISERROR('RC Customers by plan'!K5=1),'RC Customers by plan'!K5=1,IF('RC Customers by plan'!K5="","",'RC Customers by plan'!K5=1))="",FALSE,IF(ISERROR('RC Customers by plan'!K5=1),'RC Customers by plan'!K5=1,IF('RC Customers by plan'!K5="","",'RC Customers by plan'!K5=1))),IF('Model inputs'!AG69="","",'Model inputs'!AG69),'RC Customers by plan'!J11*(1+IF(IF(IF(IF(ISERROR('RC Customers by plan'!K5&lt;=8),'RC Customers by plan'!K5&lt;=8,IF('RC Customers by plan'!K5="","",'RC Customers by plan'!K5&lt;=8))="",FALSE,IF(ISERROR('RC Customers by plan'!K5&lt;=8),'RC Customers by plan'!K5&lt;=8,IF('RC Customers by plan'!K5="","",'RC Customers by plan'!K5&lt;=8))),IF('Model inputs'!AG50="","",'Model inputs'!AG50),IF('Model inputs'!AG46="","",'Model inputs'!AG46))="",0,IF(IF(IF(ISERROR('RC Customers by plan'!K5&lt;=8),'RC Customers by plan'!K5&lt;=8,IF('RC Customers by plan'!K5="","",'RC Customers by plan'!K5&lt;=8))="",FALSE,IF(ISERROR('RC Customers by plan'!K5&lt;=8),'RC Customers by plan'!K5&lt;=8,IF('RC Customers by plan'!K5="","",'RC Customers by plan'!K5&lt;=8))),IF('Model inputs'!AG50="","",'Model inputs'!AG50),IF('Model inputs'!AG46="","",'Model inputs'!AG46))))))</f>
        <v>44.55943098826754</v>
      </c>
      <c r="L11" s="10">
        <f>IF(IF(IF(ISERROR('RC Customers by plan'!L5&lt;1),'RC Customers by plan'!L5&lt;1,IF('RC Customers by plan'!L5="","",'RC Customers by plan'!L5&lt;1))="",FALSE,IF(ISERROR('RC Customers by plan'!L5&lt;1),'RC Customers by plan'!L5&lt;1,IF('RC Customers by plan'!L5="","",'RC Customers by plan'!L5&lt;1))),0,IF(IF(IF(ISERROR('RC Customers by plan'!L5=1),'RC Customers by plan'!L5=1,IF('RC Customers by plan'!L5="","",'RC Customers by plan'!L5=1))="",FALSE,IF(ISERROR('RC Customers by plan'!L5=1),'RC Customers by plan'!L5=1,IF('RC Customers by plan'!L5="","",'RC Customers by plan'!L5=1))),IF('Model inputs'!AG69="","",'Model inputs'!AG69),'RC Customers by plan'!K11*(1+IF(IF(IF(IF(ISERROR('RC Customers by plan'!L5&lt;=8),'RC Customers by plan'!L5&lt;=8,IF('RC Customers by plan'!L5="","",'RC Customers by plan'!L5&lt;=8))="",FALSE,IF(ISERROR('RC Customers by plan'!L5&lt;=8),'RC Customers by plan'!L5&lt;=8,IF('RC Customers by plan'!L5="","",'RC Customers by plan'!L5&lt;=8))),IF('Model inputs'!AG50="","",'Model inputs'!AG50),IF('Model inputs'!AG46="","",'Model inputs'!AG46))="",0,IF(IF(IF(ISERROR('RC Customers by plan'!L5&lt;=8),'RC Customers by plan'!L5&lt;=8,IF('RC Customers by plan'!L5="","",'RC Customers by plan'!L5&lt;=8))="",FALSE,IF(ISERROR('RC Customers by plan'!L5&lt;=8),'RC Customers by plan'!L5&lt;=8,IF('RC Customers by plan'!L5="","",'RC Customers by plan'!L5&lt;=8))),IF('Model inputs'!AG50="","",'Model inputs'!AG50),IF('Model inputs'!AG46="","",'Model inputs'!AG46))))))</f>
        <v>46.341808227798246</v>
      </c>
      <c r="M11" s="10">
        <f>IF(IF(IF(ISERROR('RC Customers by plan'!M5&lt;1),'RC Customers by plan'!M5&lt;1,IF('RC Customers by plan'!M5="","",'RC Customers by plan'!M5&lt;1))="",FALSE,IF(ISERROR('RC Customers by plan'!M5&lt;1),'RC Customers by plan'!M5&lt;1,IF('RC Customers by plan'!M5="","",'RC Customers by plan'!M5&lt;1))),0,IF(IF(IF(ISERROR('RC Customers by plan'!M5=1),'RC Customers by plan'!M5=1,IF('RC Customers by plan'!M5="","",'RC Customers by plan'!M5=1))="",FALSE,IF(ISERROR('RC Customers by plan'!M5=1),'RC Customers by plan'!M5=1,IF('RC Customers by plan'!M5="","",'RC Customers by plan'!M5=1))),IF('Model inputs'!AG69="","",'Model inputs'!AG69),'RC Customers by plan'!L11*(1+IF(IF(IF(IF(ISERROR('RC Customers by plan'!M5&lt;=8),'RC Customers by plan'!M5&lt;=8,IF('RC Customers by plan'!M5="","",'RC Customers by plan'!M5&lt;=8))="",FALSE,IF(ISERROR('RC Customers by plan'!M5&lt;=8),'RC Customers by plan'!M5&lt;=8,IF('RC Customers by plan'!M5="","",'RC Customers by plan'!M5&lt;=8))),IF('Model inputs'!AG50="","",'Model inputs'!AG50),IF('Model inputs'!AG46="","",'Model inputs'!AG46))="",0,IF(IF(IF(ISERROR('RC Customers by plan'!M5&lt;=8),'RC Customers by plan'!M5&lt;=8,IF('RC Customers by plan'!M5="","",'RC Customers by plan'!M5&lt;=8))="",FALSE,IF(ISERROR('RC Customers by plan'!M5&lt;=8),'RC Customers by plan'!M5&lt;=8,IF('RC Customers by plan'!M5="","",'RC Customers by plan'!M5&lt;=8))),IF('Model inputs'!AG50="","",'Model inputs'!AG50),IF('Model inputs'!AG46="","",'Model inputs'!AG46))))))</f>
        <v>48.19548055691018</v>
      </c>
      <c r="N11" s="10">
        <f>IF(IF(IF(ISERROR('RC Customers by plan'!N5&lt;1),'RC Customers by plan'!N5&lt;1,IF('RC Customers by plan'!N5="","",'RC Customers by plan'!N5&lt;1))="",FALSE,IF(ISERROR('RC Customers by plan'!N5&lt;1),'RC Customers by plan'!N5&lt;1,IF('RC Customers by plan'!N5="","",'RC Customers by plan'!N5&lt;1))),0,IF(IF(IF(ISERROR('RC Customers by plan'!N5=1),'RC Customers by plan'!N5=1,IF('RC Customers by plan'!N5="","",'RC Customers by plan'!N5=1))="",FALSE,IF(ISERROR('RC Customers by plan'!N5=1),'RC Customers by plan'!N5=1,IF('RC Customers by plan'!N5="","",'RC Customers by plan'!N5=1))),IF('Model inputs'!AG69="","",'Model inputs'!AG69),'RC Customers by plan'!M11*(1+IF(IF(IF(IF(ISERROR('RC Customers by plan'!N5&lt;=8),'RC Customers by plan'!N5&lt;=8,IF('RC Customers by plan'!N5="","",'RC Customers by plan'!N5&lt;=8))="",FALSE,IF(ISERROR('RC Customers by plan'!N5&lt;=8),'RC Customers by plan'!N5&lt;=8,IF('RC Customers by plan'!N5="","",'RC Customers by plan'!N5&lt;=8))),IF('Model inputs'!AG50="","",'Model inputs'!AG50),IF('Model inputs'!AG46="","",'Model inputs'!AG46))="",0,IF(IF(IF(ISERROR('RC Customers by plan'!N5&lt;=8),'RC Customers by plan'!N5&lt;=8,IF('RC Customers by plan'!N5="","",'RC Customers by plan'!N5&lt;=8))="",FALSE,IF(ISERROR('RC Customers by plan'!N5&lt;=8),'RC Customers by plan'!N5&lt;=8,IF('RC Customers by plan'!N5="","",'RC Customers by plan'!N5&lt;=8))),IF('Model inputs'!AG50="","",'Model inputs'!AG50),IF('Model inputs'!AG46="","",'Model inputs'!AG46))))))</f>
        <v>50.12329977918659</v>
      </c>
      <c r="O11" s="10">
        <f>IF(IF(IF(ISERROR('RC Customers by plan'!O5&lt;1),'RC Customers by plan'!O5&lt;1,IF('RC Customers by plan'!O5="","",'RC Customers by plan'!O5&lt;1))="",FALSE,IF(ISERROR('RC Customers by plan'!O5&lt;1),'RC Customers by plan'!O5&lt;1,IF('RC Customers by plan'!O5="","",'RC Customers by plan'!O5&lt;1))),0,IF(IF(IF(ISERROR('RC Customers by plan'!O5=1),'RC Customers by plan'!O5=1,IF('RC Customers by plan'!O5="","",'RC Customers by plan'!O5=1))="",FALSE,IF(ISERROR('RC Customers by plan'!O5=1),'RC Customers by plan'!O5=1,IF('RC Customers by plan'!O5="","",'RC Customers by plan'!O5=1))),IF('Model inputs'!AG69="","",'Model inputs'!AG69),'RC Customers by plan'!N11*(1+IF(IF(IF(IF(ISERROR('RC Customers by plan'!O5&lt;=8),'RC Customers by plan'!O5&lt;=8,IF('RC Customers by plan'!O5="","",'RC Customers by plan'!O5&lt;=8))="",FALSE,IF(ISERROR('RC Customers by plan'!O5&lt;=8),'RC Customers by plan'!O5&lt;=8,IF('RC Customers by plan'!O5="","",'RC Customers by plan'!O5&lt;=8))),IF('Model inputs'!AG50="","",'Model inputs'!AG50),IF('Model inputs'!AG46="","",'Model inputs'!AG46))="",0,IF(IF(IF(ISERROR('RC Customers by plan'!O5&lt;=8),'RC Customers by plan'!O5&lt;=8,IF('RC Customers by plan'!O5="","",'RC Customers by plan'!O5&lt;=8))="",FALSE,IF(ISERROR('RC Customers by plan'!O5&lt;=8),'RC Customers by plan'!O5&lt;=8,IF('RC Customers by plan'!O5="","",'RC Customers by plan'!O5&lt;=8))),IF('Model inputs'!AG50="","",'Model inputs'!AG50),IF('Model inputs'!AG46="","",'Model inputs'!AG46))))))</f>
        <v>52.128231770354056</v>
      </c>
      <c r="P11" s="10">
        <f>IF(IF(IF(ISERROR('RC Customers by plan'!P5&lt;1),'RC Customers by plan'!P5&lt;1,IF('RC Customers by plan'!P5="","",'RC Customers by plan'!P5&lt;1))="",FALSE,IF(ISERROR('RC Customers by plan'!P5&lt;1),'RC Customers by plan'!P5&lt;1,IF('RC Customers by plan'!P5="","",'RC Customers by plan'!P5&lt;1))),0,IF(IF(IF(ISERROR('RC Customers by plan'!P5=1),'RC Customers by plan'!P5=1,IF('RC Customers by plan'!P5="","",'RC Customers by plan'!P5=1))="",FALSE,IF(ISERROR('RC Customers by plan'!P5=1),'RC Customers by plan'!P5=1,IF('RC Customers by plan'!P5="","",'RC Customers by plan'!P5=1))),IF('Model inputs'!AG69="","",'Model inputs'!AG69),'RC Customers by plan'!O11*(1+IF(IF(IF(IF(ISERROR('RC Customers by plan'!P5&lt;=8),'RC Customers by plan'!P5&lt;=8,IF('RC Customers by plan'!P5="","",'RC Customers by plan'!P5&lt;=8))="",FALSE,IF(ISERROR('RC Customers by plan'!P5&lt;=8),'RC Customers by plan'!P5&lt;=8,IF('RC Customers by plan'!P5="","",'RC Customers by plan'!P5&lt;=8))),IF('Model inputs'!AG50="","",'Model inputs'!AG50),IF('Model inputs'!AG46="","",'Model inputs'!AG46))="",0,IF(IF(IF(ISERROR('RC Customers by plan'!P5&lt;=8),'RC Customers by plan'!P5&lt;=8,IF('RC Customers by plan'!P5="","",'RC Customers by plan'!P5&lt;=8))="",FALSE,IF(ISERROR('RC Customers by plan'!P5&lt;=8),'RC Customers by plan'!P5&lt;=8,IF('RC Customers by plan'!P5="","",'RC Customers by plan'!P5&lt;=8))),IF('Model inputs'!AG50="","",'Model inputs'!AG50),IF('Model inputs'!AG46="","",'Model inputs'!AG46))))))</f>
        <v>54.21336104116822</v>
      </c>
      <c r="Q11" s="10">
        <f>IF(IF(IF(ISERROR('RC Customers by plan'!Q5&lt;1),'RC Customers by plan'!Q5&lt;1,IF('RC Customers by plan'!Q5="","",'RC Customers by plan'!Q5&lt;1))="",FALSE,IF(ISERROR('RC Customers by plan'!Q5&lt;1),'RC Customers by plan'!Q5&lt;1,IF('RC Customers by plan'!Q5="","",'RC Customers by plan'!Q5&lt;1))),0,IF(IF(IF(ISERROR('RC Customers by plan'!Q5=1),'RC Customers by plan'!Q5=1,IF('RC Customers by plan'!Q5="","",'RC Customers by plan'!Q5=1))="",FALSE,IF(ISERROR('RC Customers by plan'!Q5=1),'RC Customers by plan'!Q5=1,IF('RC Customers by plan'!Q5="","",'RC Customers by plan'!Q5=1))),IF('Model inputs'!AG69="","",'Model inputs'!AG69),'RC Customers by plan'!P11*(1+IF(IF(IF(IF(ISERROR('RC Customers by plan'!Q5&lt;=8),'RC Customers by plan'!Q5&lt;=8,IF('RC Customers by plan'!Q5="","",'RC Customers by plan'!Q5&lt;=8))="",FALSE,IF(ISERROR('RC Customers by plan'!Q5&lt;=8),'RC Customers by plan'!Q5&lt;=8,IF('RC Customers by plan'!Q5="","",'RC Customers by plan'!Q5&lt;=8))),IF('Model inputs'!AG50="","",'Model inputs'!AG50),IF('Model inputs'!AG46="","",'Model inputs'!AG46))="",0,IF(IF(IF(ISERROR('RC Customers by plan'!Q5&lt;=8),'RC Customers by plan'!Q5&lt;=8,IF('RC Customers by plan'!Q5="","",'RC Customers by plan'!Q5&lt;=8))="",FALSE,IF(ISERROR('RC Customers by plan'!Q5&lt;=8),'RC Customers by plan'!Q5&lt;=8,IF('RC Customers by plan'!Q5="","",'RC Customers by plan'!Q5&lt;=8))),IF('Model inputs'!AG50="","",'Model inputs'!AG50),IF('Model inputs'!AG46="","",'Model inputs'!AG46))))))</f>
        <v>56.38189548281495</v>
      </c>
      <c r="R11" s="10">
        <f>IF(IF(IF(ISERROR('RC Customers by plan'!R5&lt;1),'RC Customers by plan'!R5&lt;1,IF('RC Customers by plan'!R5="","",'RC Customers by plan'!R5&lt;1))="",FALSE,IF(ISERROR('RC Customers by plan'!R5&lt;1),'RC Customers by plan'!R5&lt;1,IF('RC Customers by plan'!R5="","",'RC Customers by plan'!R5&lt;1))),0,IF(IF(IF(ISERROR('RC Customers by plan'!R5=1),'RC Customers by plan'!R5=1,IF('RC Customers by plan'!R5="","",'RC Customers by plan'!R5=1))="",FALSE,IF(ISERROR('RC Customers by plan'!R5=1),'RC Customers by plan'!R5=1,IF('RC Customers by plan'!R5="","",'RC Customers by plan'!R5=1))),IF('Model inputs'!AG69="","",'Model inputs'!AG69),'RC Customers by plan'!Q11*(1+IF(IF(IF(IF(ISERROR('RC Customers by plan'!R5&lt;=8),'RC Customers by plan'!R5&lt;=8,IF('RC Customers by plan'!R5="","",'RC Customers by plan'!R5&lt;=8))="",FALSE,IF(ISERROR('RC Customers by plan'!R5&lt;=8),'RC Customers by plan'!R5&lt;=8,IF('RC Customers by plan'!R5="","",'RC Customers by plan'!R5&lt;=8))),IF('Model inputs'!AG50="","",'Model inputs'!AG50),IF('Model inputs'!AG46="","",'Model inputs'!AG46))="",0,IF(IF(IF(ISERROR('RC Customers by plan'!R5&lt;=8),'RC Customers by plan'!R5&lt;=8,IF('RC Customers by plan'!R5="","",'RC Customers by plan'!R5&lt;=8))="",FALSE,IF(ISERROR('RC Customers by plan'!R5&lt;=8),'RC Customers by plan'!R5&lt;=8,IF('RC Customers by plan'!R5="","",'RC Customers by plan'!R5&lt;=8))),IF('Model inputs'!AG50="","",'Model inputs'!AG50),IF('Model inputs'!AG46="","",'Model inputs'!AG46))))))</f>
        <v>58.63717130212755</v>
      </c>
      <c r="S11" s="10">
        <f>IF(IF(IF(ISERROR('RC Customers by plan'!S5&lt;1),'RC Customers by plan'!S5&lt;1,IF('RC Customers by plan'!S5="","",'RC Customers by plan'!S5&lt;1))="",FALSE,IF(ISERROR('RC Customers by plan'!S5&lt;1),'RC Customers by plan'!S5&lt;1,IF('RC Customers by plan'!S5="","",'RC Customers by plan'!S5&lt;1))),0,IF(IF(IF(ISERROR('RC Customers by plan'!S5=1),'RC Customers by plan'!S5=1,IF('RC Customers by plan'!S5="","",'RC Customers by plan'!S5=1))="",FALSE,IF(ISERROR('RC Customers by plan'!S5=1),'RC Customers by plan'!S5=1,IF('RC Customers by plan'!S5="","",'RC Customers by plan'!S5=1))),IF('Model inputs'!AG69="","",'Model inputs'!AG69),'RC Customers by plan'!R11*(1+IF(IF(IF(IF(ISERROR('RC Customers by plan'!S5&lt;=8),'RC Customers by plan'!S5&lt;=8,IF('RC Customers by plan'!S5="","",'RC Customers by plan'!S5&lt;=8))="",FALSE,IF(ISERROR('RC Customers by plan'!S5&lt;=8),'RC Customers by plan'!S5&lt;=8,IF('RC Customers by plan'!S5="","",'RC Customers by plan'!S5&lt;=8))),IF('Model inputs'!AG50="","",'Model inputs'!AG50),IF('Model inputs'!AG46="","",'Model inputs'!AG46))="",0,IF(IF(IF(ISERROR('RC Customers by plan'!S5&lt;=8),'RC Customers by plan'!S5&lt;=8,IF('RC Customers by plan'!S5="","",'RC Customers by plan'!S5&lt;=8))="",FALSE,IF(ISERROR('RC Customers by plan'!S5&lt;=8),'RC Customers by plan'!S5&lt;=8,IF('RC Customers by plan'!S5="","",'RC Customers by plan'!S5&lt;=8))),IF('Model inputs'!AG50="","",'Model inputs'!AG50),IF('Model inputs'!AG46="","",'Model inputs'!AG46))))))</f>
        <v>60.98265815421265</v>
      </c>
    </row>
    <row r="12" outlineLevel="1">
      <c r="A12" t="inlineStr" s="9">
        <is>
          <t xml:space="preserve">Launch</t>
        </is>
      </c>
      <c r="B12" s="10">
        <f>IF(IF(IF(ISERROR('RC Customers by plan'!B5&lt;1),'RC Customers by plan'!B5&lt;1,IF('RC Customers by plan'!B5="","",'RC Customers by plan'!B5&lt;1))="",FALSE,IF(ISERROR('RC Customers by plan'!B5&lt;1),'RC Customers by plan'!B5&lt;1,IF('RC Customers by plan'!B5="","",'RC Customers by plan'!B5&lt;1))),0,IF(IF(IF(ISERROR('RC Customers by plan'!B5=1),'RC Customers by plan'!B5=1,IF('RC Customers by plan'!B5="","",'RC Customers by plan'!B5=1))="",FALSE,IF(ISERROR('RC Customers by plan'!B5=1),'RC Customers by plan'!B5=1,IF('RC Customers by plan'!B5="","",'RC Customers by plan'!B5=1))),IF('Model inputs'!AG70="","",'Model inputs'!AG70),'Model inputs'!N78*(1+IF(IF(IF(IF(ISERROR('RC Customers by plan'!B5&lt;=8),'RC Customers by plan'!B5&lt;=8,IF('RC Customers by plan'!B5="","",'RC Customers by plan'!B5&lt;=8))="",FALSE,IF(ISERROR('RC Customers by plan'!B5&lt;=8),'RC Customers by plan'!B5&lt;=8,IF('RC Customers by plan'!B5="","",'RC Customers by plan'!B5&lt;=8))),IF('Model inputs'!AG51="","",'Model inputs'!AG51),IF('Model inputs'!AG47="","",'Model inputs'!AG47))="",0,IF(IF(IF(ISERROR('RC Customers by plan'!B5&lt;=8),'RC Customers by plan'!B5&lt;=8,IF('RC Customers by plan'!B5="","",'RC Customers by plan'!B5&lt;=8))="",FALSE,IF(ISERROR('RC Customers by plan'!B5&lt;=8),'RC Customers by plan'!B5&lt;=8,IF('RC Customers by plan'!B5="","",'RC Customers by plan'!B5&lt;=8))),IF('Model inputs'!AG51="","",'Model inputs'!AG51),IF('Model inputs'!AG47="","",'Model inputs'!AG47))))))</f>
        <v>0</v>
      </c>
      <c r="C12" s="10">
        <f>IF(IF(IF(ISERROR('RC Customers by plan'!C5&lt;1),'RC Customers by plan'!C5&lt;1,IF('RC Customers by plan'!C5="","",'RC Customers by plan'!C5&lt;1))="",FALSE,IF(ISERROR('RC Customers by plan'!C5&lt;1),'RC Customers by plan'!C5&lt;1,IF('RC Customers by plan'!C5="","",'RC Customers by plan'!C5&lt;1))),0,IF(IF(IF(ISERROR('RC Customers by plan'!C5=1),'RC Customers by plan'!C5=1,IF('RC Customers by plan'!C5="","",'RC Customers by plan'!C5=1))="",FALSE,IF(ISERROR('RC Customers by plan'!C5=1),'RC Customers by plan'!C5=1,IF('RC Customers by plan'!C5="","",'RC Customers by plan'!C5=1))),IF('Model inputs'!AG70="","",'Model inputs'!AG70),'RC Customers by plan'!B12*(1+IF(IF(IF(IF(ISERROR('RC Customers by plan'!C5&lt;=8),'RC Customers by plan'!C5&lt;=8,IF('RC Customers by plan'!C5="","",'RC Customers by plan'!C5&lt;=8))="",FALSE,IF(ISERROR('RC Customers by plan'!C5&lt;=8),'RC Customers by plan'!C5&lt;=8,IF('RC Customers by plan'!C5="","",'RC Customers by plan'!C5&lt;=8))),IF('Model inputs'!AG51="","",'Model inputs'!AG51),IF('Model inputs'!AG47="","",'Model inputs'!AG47))="",0,IF(IF(IF(ISERROR('RC Customers by plan'!C5&lt;=8),'RC Customers by plan'!C5&lt;=8,IF('RC Customers by plan'!C5="","",'RC Customers by plan'!C5&lt;=8))="",FALSE,IF(ISERROR('RC Customers by plan'!C5&lt;=8),'RC Customers by plan'!C5&lt;=8,IF('RC Customers by plan'!C5="","",'RC Customers by plan'!C5&lt;=8))),IF('Model inputs'!AG51="","",'Model inputs'!AG51),IF('Model inputs'!AG47="","",'Model inputs'!AG47))))))</f>
        <v>0.5</v>
      </c>
      <c r="D12" s="10">
        <f>IF(IF(IF(ISERROR('RC Customers by plan'!D5&lt;1),'RC Customers by plan'!D5&lt;1,IF('RC Customers by plan'!D5="","",'RC Customers by plan'!D5&lt;1))="",FALSE,IF(ISERROR('RC Customers by plan'!D5&lt;1),'RC Customers by plan'!D5&lt;1,IF('RC Customers by plan'!D5="","",'RC Customers by plan'!D5&lt;1))),0,IF(IF(IF(ISERROR('RC Customers by plan'!D5=1),'RC Customers by plan'!D5=1,IF('RC Customers by plan'!D5="","",'RC Customers by plan'!D5=1))="",FALSE,IF(ISERROR('RC Customers by plan'!D5=1),'RC Customers by plan'!D5=1,IF('RC Customers by plan'!D5="","",'RC Customers by plan'!D5=1))),IF('Model inputs'!AG70="","",'Model inputs'!AG70),'RC Customers by plan'!C12*(1+IF(IF(IF(IF(ISERROR('RC Customers by plan'!D5&lt;=8),'RC Customers by plan'!D5&lt;=8,IF('RC Customers by plan'!D5="","",'RC Customers by plan'!D5&lt;=8))="",FALSE,IF(ISERROR('RC Customers by plan'!D5&lt;=8),'RC Customers by plan'!D5&lt;=8,IF('RC Customers by plan'!D5="","",'RC Customers by plan'!D5&lt;=8))),IF('Model inputs'!AG51="","",'Model inputs'!AG51),IF('Model inputs'!AG47="","",'Model inputs'!AG47))="",0,IF(IF(IF(ISERROR('RC Customers by plan'!D5&lt;=8),'RC Customers by plan'!D5&lt;=8,IF('RC Customers by plan'!D5="","",'RC Customers by plan'!D5&lt;=8))="",FALSE,IF(ISERROR('RC Customers by plan'!D5&lt;=8),'RC Customers by plan'!D5&lt;=8,IF('RC Customers by plan'!D5="","",'RC Customers by plan'!D5&lt;=8))),IF('Model inputs'!AG51="","",'Model inputs'!AG51),IF('Model inputs'!AG47="","",'Model inputs'!AG47))))))</f>
        <v>0.5</v>
      </c>
      <c r="E12" s="10">
        <f>IF(IF(IF(ISERROR('RC Customers by plan'!E5&lt;1),'RC Customers by plan'!E5&lt;1,IF('RC Customers by plan'!E5="","",'RC Customers by plan'!E5&lt;1))="",FALSE,IF(ISERROR('RC Customers by plan'!E5&lt;1),'RC Customers by plan'!E5&lt;1,IF('RC Customers by plan'!E5="","",'RC Customers by plan'!E5&lt;1))),0,IF(IF(IF(ISERROR('RC Customers by plan'!E5=1),'RC Customers by plan'!E5=1,IF('RC Customers by plan'!E5="","",'RC Customers by plan'!E5=1))="",FALSE,IF(ISERROR('RC Customers by plan'!E5=1),'RC Customers by plan'!E5=1,IF('RC Customers by plan'!E5="","",'RC Customers by plan'!E5=1))),IF('Model inputs'!AG70="","",'Model inputs'!AG70),'RC Customers by plan'!D12*(1+IF(IF(IF(IF(ISERROR('RC Customers by plan'!E5&lt;=8),'RC Customers by plan'!E5&lt;=8,IF('RC Customers by plan'!E5="","",'RC Customers by plan'!E5&lt;=8))="",FALSE,IF(ISERROR('RC Customers by plan'!E5&lt;=8),'RC Customers by plan'!E5&lt;=8,IF('RC Customers by plan'!E5="","",'RC Customers by plan'!E5&lt;=8))),IF('Model inputs'!AG51="","",'Model inputs'!AG51),IF('Model inputs'!AG47="","",'Model inputs'!AG47))="",0,IF(IF(IF(ISERROR('RC Customers by plan'!E5&lt;=8),'RC Customers by plan'!E5&lt;=8,IF('RC Customers by plan'!E5="","",'RC Customers by plan'!E5&lt;=8))="",FALSE,IF(ISERROR('RC Customers by plan'!E5&lt;=8),'RC Customers by plan'!E5&lt;=8,IF('RC Customers by plan'!E5="","",'RC Customers by plan'!E5&lt;=8))),IF('Model inputs'!AG51="","",'Model inputs'!AG51),IF('Model inputs'!AG47="","",'Model inputs'!AG47))))))</f>
        <v>0.5</v>
      </c>
      <c r="F12" s="10">
        <f>IF(IF(IF(ISERROR('RC Customers by plan'!F5&lt;1),'RC Customers by plan'!F5&lt;1,IF('RC Customers by plan'!F5="","",'RC Customers by plan'!F5&lt;1))="",FALSE,IF(ISERROR('RC Customers by plan'!F5&lt;1),'RC Customers by plan'!F5&lt;1,IF('RC Customers by plan'!F5="","",'RC Customers by plan'!F5&lt;1))),0,IF(IF(IF(ISERROR('RC Customers by plan'!F5=1),'RC Customers by plan'!F5=1,IF('RC Customers by plan'!F5="","",'RC Customers by plan'!F5=1))="",FALSE,IF(ISERROR('RC Customers by plan'!F5=1),'RC Customers by plan'!F5=1,IF('RC Customers by plan'!F5="","",'RC Customers by plan'!F5=1))),IF('Model inputs'!AG70="","",'Model inputs'!AG70),'RC Customers by plan'!E12*(1+IF(IF(IF(IF(ISERROR('RC Customers by plan'!F5&lt;=8),'RC Customers by plan'!F5&lt;=8,IF('RC Customers by plan'!F5="","",'RC Customers by plan'!F5&lt;=8))="",FALSE,IF(ISERROR('RC Customers by plan'!F5&lt;=8),'RC Customers by plan'!F5&lt;=8,IF('RC Customers by plan'!F5="","",'RC Customers by plan'!F5&lt;=8))),IF('Model inputs'!AG51="","",'Model inputs'!AG51),IF('Model inputs'!AG47="","",'Model inputs'!AG47))="",0,IF(IF(IF(ISERROR('RC Customers by plan'!F5&lt;=8),'RC Customers by plan'!F5&lt;=8,IF('RC Customers by plan'!F5="","",'RC Customers by plan'!F5&lt;=8))="",FALSE,IF(ISERROR('RC Customers by plan'!F5&lt;=8),'RC Customers by plan'!F5&lt;=8,IF('RC Customers by plan'!F5="","",'RC Customers by plan'!F5&lt;=8))),IF('Model inputs'!AG51="","",'Model inputs'!AG51),IF('Model inputs'!AG47="","",'Model inputs'!AG47))))))</f>
        <v>0.5</v>
      </c>
      <c r="G12" s="10">
        <f>IF(IF(IF(ISERROR('RC Customers by plan'!G5&lt;1),'RC Customers by plan'!G5&lt;1,IF('RC Customers by plan'!G5="","",'RC Customers by plan'!G5&lt;1))="",FALSE,IF(ISERROR('RC Customers by plan'!G5&lt;1),'RC Customers by plan'!G5&lt;1,IF('RC Customers by plan'!G5="","",'RC Customers by plan'!G5&lt;1))),0,IF(IF(IF(ISERROR('RC Customers by plan'!G5=1),'RC Customers by plan'!G5=1,IF('RC Customers by plan'!G5="","",'RC Customers by plan'!G5=1))="",FALSE,IF(ISERROR('RC Customers by plan'!G5=1),'RC Customers by plan'!G5=1,IF('RC Customers by plan'!G5="","",'RC Customers by plan'!G5=1))),IF('Model inputs'!AG70="","",'Model inputs'!AG70),'RC Customers by plan'!F12*(1+IF(IF(IF(IF(ISERROR('RC Customers by plan'!G5&lt;=8),'RC Customers by plan'!G5&lt;=8,IF('RC Customers by plan'!G5="","",'RC Customers by plan'!G5&lt;=8))="",FALSE,IF(ISERROR('RC Customers by plan'!G5&lt;=8),'RC Customers by plan'!G5&lt;=8,IF('RC Customers by plan'!G5="","",'RC Customers by plan'!G5&lt;=8))),IF('Model inputs'!AG51="","",'Model inputs'!AG51),IF('Model inputs'!AG47="","",'Model inputs'!AG47))="",0,IF(IF(IF(ISERROR('RC Customers by plan'!G5&lt;=8),'RC Customers by plan'!G5&lt;=8,IF('RC Customers by plan'!G5="","",'RC Customers by plan'!G5&lt;=8))="",FALSE,IF(ISERROR('RC Customers by plan'!G5&lt;=8),'RC Customers by plan'!G5&lt;=8,IF('RC Customers by plan'!G5="","",'RC Customers by plan'!G5&lt;=8))),IF('Model inputs'!AG51="","",'Model inputs'!AG51),IF('Model inputs'!AG47="","",'Model inputs'!AG47))))))</f>
        <v>0.5</v>
      </c>
      <c r="H12" s="10">
        <f>IF(IF(IF(ISERROR('RC Customers by plan'!H5&lt;1),'RC Customers by plan'!H5&lt;1,IF('RC Customers by plan'!H5="","",'RC Customers by plan'!H5&lt;1))="",FALSE,IF(ISERROR('RC Customers by plan'!H5&lt;1),'RC Customers by plan'!H5&lt;1,IF('RC Customers by plan'!H5="","",'RC Customers by plan'!H5&lt;1))),0,IF(IF(IF(ISERROR('RC Customers by plan'!H5=1),'RC Customers by plan'!H5=1,IF('RC Customers by plan'!H5="","",'RC Customers by plan'!H5=1))="",FALSE,IF(ISERROR('RC Customers by plan'!H5=1),'RC Customers by plan'!H5=1,IF('RC Customers by plan'!H5="","",'RC Customers by plan'!H5=1))),IF('Model inputs'!AG70="","",'Model inputs'!AG70),'RC Customers by plan'!G12*(1+IF(IF(IF(IF(ISERROR('RC Customers by plan'!H5&lt;=8),'RC Customers by plan'!H5&lt;=8,IF('RC Customers by plan'!H5="","",'RC Customers by plan'!H5&lt;=8))="",FALSE,IF(ISERROR('RC Customers by plan'!H5&lt;=8),'RC Customers by plan'!H5&lt;=8,IF('RC Customers by plan'!H5="","",'RC Customers by plan'!H5&lt;=8))),IF('Model inputs'!AG51="","",'Model inputs'!AG51),IF('Model inputs'!AG47="","",'Model inputs'!AG47))="",0,IF(IF(IF(ISERROR('RC Customers by plan'!H5&lt;=8),'RC Customers by plan'!H5&lt;=8,IF('RC Customers by plan'!H5="","",'RC Customers by plan'!H5&lt;=8))="",FALSE,IF(ISERROR('RC Customers by plan'!H5&lt;=8),'RC Customers by plan'!H5&lt;=8,IF('RC Customers by plan'!H5="","",'RC Customers by plan'!H5&lt;=8))),IF('Model inputs'!AG51="","",'Model inputs'!AG51),IF('Model inputs'!AG47="","",'Model inputs'!AG47))))))</f>
        <v>0.5</v>
      </c>
      <c r="I12" s="10">
        <f>IF(IF(IF(ISERROR('RC Customers by plan'!I5&lt;1),'RC Customers by plan'!I5&lt;1,IF('RC Customers by plan'!I5="","",'RC Customers by plan'!I5&lt;1))="",FALSE,IF(ISERROR('RC Customers by plan'!I5&lt;1),'RC Customers by plan'!I5&lt;1,IF('RC Customers by plan'!I5="","",'RC Customers by plan'!I5&lt;1))),0,IF(IF(IF(ISERROR('RC Customers by plan'!I5=1),'RC Customers by plan'!I5=1,IF('RC Customers by plan'!I5="","",'RC Customers by plan'!I5=1))="",FALSE,IF(ISERROR('RC Customers by plan'!I5=1),'RC Customers by plan'!I5=1,IF('RC Customers by plan'!I5="","",'RC Customers by plan'!I5=1))),IF('Model inputs'!AG70="","",'Model inputs'!AG70),'RC Customers by plan'!H12*(1+IF(IF(IF(IF(ISERROR('RC Customers by plan'!I5&lt;=8),'RC Customers by plan'!I5&lt;=8,IF('RC Customers by plan'!I5="","",'RC Customers by plan'!I5&lt;=8))="",FALSE,IF(ISERROR('RC Customers by plan'!I5&lt;=8),'RC Customers by plan'!I5&lt;=8,IF('RC Customers by plan'!I5="","",'RC Customers by plan'!I5&lt;=8))),IF('Model inputs'!AG51="","",'Model inputs'!AG51),IF('Model inputs'!AG47="","",'Model inputs'!AG47))="",0,IF(IF(IF(ISERROR('RC Customers by plan'!I5&lt;=8),'RC Customers by plan'!I5&lt;=8,IF('RC Customers by plan'!I5="","",'RC Customers by plan'!I5&lt;=8))="",FALSE,IF(ISERROR('RC Customers by plan'!I5&lt;=8),'RC Customers by plan'!I5&lt;=8,IF('RC Customers by plan'!I5="","",'RC Customers by plan'!I5&lt;=8))),IF('Model inputs'!AG51="","",'Model inputs'!AG51),IF('Model inputs'!AG47="","",'Model inputs'!AG47))))))</f>
        <v>0.5</v>
      </c>
      <c r="J12" s="10">
        <f>IF(IF(IF(ISERROR('RC Customers by plan'!J5&lt;1),'RC Customers by plan'!J5&lt;1,IF('RC Customers by plan'!J5="","",'RC Customers by plan'!J5&lt;1))="",FALSE,IF(ISERROR('RC Customers by plan'!J5&lt;1),'RC Customers by plan'!J5&lt;1,IF('RC Customers by plan'!J5="","",'RC Customers by plan'!J5&lt;1))),0,IF(IF(IF(ISERROR('RC Customers by plan'!J5=1),'RC Customers by plan'!J5=1,IF('RC Customers by plan'!J5="","",'RC Customers by plan'!J5=1))="",FALSE,IF(ISERROR('RC Customers by plan'!J5=1),'RC Customers by plan'!J5=1,IF('RC Customers by plan'!J5="","",'RC Customers by plan'!J5=1))),IF('Model inputs'!AG70="","",'Model inputs'!AG70),'RC Customers by plan'!I12*(1+IF(IF(IF(IF(ISERROR('RC Customers by plan'!J5&lt;=8),'RC Customers by plan'!J5&lt;=8,IF('RC Customers by plan'!J5="","",'RC Customers by plan'!J5&lt;=8))="",FALSE,IF(ISERROR('RC Customers by plan'!J5&lt;=8),'RC Customers by plan'!J5&lt;=8,IF('RC Customers by plan'!J5="","",'RC Customers by plan'!J5&lt;=8))),IF('Model inputs'!AG51="","",'Model inputs'!AG51),IF('Model inputs'!AG47="","",'Model inputs'!AG47))="",0,IF(IF(IF(ISERROR('RC Customers by plan'!J5&lt;=8),'RC Customers by plan'!J5&lt;=8,IF('RC Customers by plan'!J5="","",'RC Customers by plan'!J5&lt;=8))="",FALSE,IF(ISERROR('RC Customers by plan'!J5&lt;=8),'RC Customers by plan'!J5&lt;=8,IF('RC Customers by plan'!J5="","",'RC Customers by plan'!J5&lt;=8))),IF('Model inputs'!AG51="","",'Model inputs'!AG51),IF('Model inputs'!AG47="","",'Model inputs'!AG47))))))</f>
        <v>0.5</v>
      </c>
      <c r="K12" s="10">
        <f>IF(IF(IF(ISERROR('RC Customers by plan'!K5&lt;1),'RC Customers by plan'!K5&lt;1,IF('RC Customers by plan'!K5="","",'RC Customers by plan'!K5&lt;1))="",FALSE,IF(ISERROR('RC Customers by plan'!K5&lt;1),'RC Customers by plan'!K5&lt;1,IF('RC Customers by plan'!K5="","",'RC Customers by plan'!K5&lt;1))),0,IF(IF(IF(ISERROR('RC Customers by plan'!K5=1),'RC Customers by plan'!K5=1,IF('RC Customers by plan'!K5="","",'RC Customers by plan'!K5=1))="",FALSE,IF(ISERROR('RC Customers by plan'!K5=1),'RC Customers by plan'!K5=1,IF('RC Customers by plan'!K5="","",'RC Customers by plan'!K5=1))),IF('Model inputs'!AG70="","",'Model inputs'!AG70),'RC Customers by plan'!J12*(1+IF(IF(IF(IF(ISERROR('RC Customers by plan'!K5&lt;=8),'RC Customers by plan'!K5&lt;=8,IF('RC Customers by plan'!K5="","",'RC Customers by plan'!K5&lt;=8))="",FALSE,IF(ISERROR('RC Customers by plan'!K5&lt;=8),'RC Customers by plan'!K5&lt;=8,IF('RC Customers by plan'!K5="","",'RC Customers by plan'!K5&lt;=8))),IF('Model inputs'!AG51="","",'Model inputs'!AG51),IF('Model inputs'!AG47="","",'Model inputs'!AG47))="",0,IF(IF(IF(ISERROR('RC Customers by plan'!K5&lt;=8),'RC Customers by plan'!K5&lt;=8,IF('RC Customers by plan'!K5="","",'RC Customers by plan'!K5&lt;=8))="",FALSE,IF(ISERROR('RC Customers by plan'!K5&lt;=8),'RC Customers by plan'!K5&lt;=8,IF('RC Customers by plan'!K5="","",'RC Customers by plan'!K5&lt;=8))),IF('Model inputs'!AG51="","",'Model inputs'!AG51),IF('Model inputs'!AG47="","",'Model inputs'!AG47))))))</f>
        <v>0.5</v>
      </c>
      <c r="L12" s="10">
        <f>IF(IF(IF(ISERROR('RC Customers by plan'!L5&lt;1),'RC Customers by plan'!L5&lt;1,IF('RC Customers by plan'!L5="","",'RC Customers by plan'!L5&lt;1))="",FALSE,IF(ISERROR('RC Customers by plan'!L5&lt;1),'RC Customers by plan'!L5&lt;1,IF('RC Customers by plan'!L5="","",'RC Customers by plan'!L5&lt;1))),0,IF(IF(IF(ISERROR('RC Customers by plan'!L5=1),'RC Customers by plan'!L5=1,IF('RC Customers by plan'!L5="","",'RC Customers by plan'!L5=1))="",FALSE,IF(ISERROR('RC Customers by plan'!L5=1),'RC Customers by plan'!L5=1,IF('RC Customers by plan'!L5="","",'RC Customers by plan'!L5=1))),IF('Model inputs'!AG70="","",'Model inputs'!AG70),'RC Customers by plan'!K12*(1+IF(IF(IF(IF(ISERROR('RC Customers by plan'!L5&lt;=8),'RC Customers by plan'!L5&lt;=8,IF('RC Customers by plan'!L5="","",'RC Customers by plan'!L5&lt;=8))="",FALSE,IF(ISERROR('RC Customers by plan'!L5&lt;=8),'RC Customers by plan'!L5&lt;=8,IF('RC Customers by plan'!L5="","",'RC Customers by plan'!L5&lt;=8))),IF('Model inputs'!AG51="","",'Model inputs'!AG51),IF('Model inputs'!AG47="","",'Model inputs'!AG47))="",0,IF(IF(IF(ISERROR('RC Customers by plan'!L5&lt;=8),'RC Customers by plan'!L5&lt;=8,IF('RC Customers by plan'!L5="","",'RC Customers by plan'!L5&lt;=8))="",FALSE,IF(ISERROR('RC Customers by plan'!L5&lt;=8),'RC Customers by plan'!L5&lt;=8,IF('RC Customers by plan'!L5="","",'RC Customers by plan'!L5&lt;=8))),IF('Model inputs'!AG51="","",'Model inputs'!AG51),IF('Model inputs'!AG47="","",'Model inputs'!AG47))))))</f>
        <v>0.5</v>
      </c>
      <c r="M12" s="10">
        <f>IF(IF(IF(ISERROR('RC Customers by plan'!M5&lt;1),'RC Customers by plan'!M5&lt;1,IF('RC Customers by plan'!M5="","",'RC Customers by plan'!M5&lt;1))="",FALSE,IF(ISERROR('RC Customers by plan'!M5&lt;1),'RC Customers by plan'!M5&lt;1,IF('RC Customers by plan'!M5="","",'RC Customers by plan'!M5&lt;1))),0,IF(IF(IF(ISERROR('RC Customers by plan'!M5=1),'RC Customers by plan'!M5=1,IF('RC Customers by plan'!M5="","",'RC Customers by plan'!M5=1))="",FALSE,IF(ISERROR('RC Customers by plan'!M5=1),'RC Customers by plan'!M5=1,IF('RC Customers by plan'!M5="","",'RC Customers by plan'!M5=1))),IF('Model inputs'!AG70="","",'Model inputs'!AG70),'RC Customers by plan'!L12*(1+IF(IF(IF(IF(ISERROR('RC Customers by plan'!M5&lt;=8),'RC Customers by plan'!M5&lt;=8,IF('RC Customers by plan'!M5="","",'RC Customers by plan'!M5&lt;=8))="",FALSE,IF(ISERROR('RC Customers by plan'!M5&lt;=8),'RC Customers by plan'!M5&lt;=8,IF('RC Customers by plan'!M5="","",'RC Customers by plan'!M5&lt;=8))),IF('Model inputs'!AG51="","",'Model inputs'!AG51),IF('Model inputs'!AG47="","",'Model inputs'!AG47))="",0,IF(IF(IF(ISERROR('RC Customers by plan'!M5&lt;=8),'RC Customers by plan'!M5&lt;=8,IF('RC Customers by plan'!M5="","",'RC Customers by plan'!M5&lt;=8))="",FALSE,IF(ISERROR('RC Customers by plan'!M5&lt;=8),'RC Customers by plan'!M5&lt;=8,IF('RC Customers by plan'!M5="","",'RC Customers by plan'!M5&lt;=8))),IF('Model inputs'!AG51="","",'Model inputs'!AG51),IF('Model inputs'!AG47="","",'Model inputs'!AG47))))))</f>
        <v>0.5</v>
      </c>
      <c r="N12" s="10">
        <f>IF(IF(IF(ISERROR('RC Customers by plan'!N5&lt;1),'RC Customers by plan'!N5&lt;1,IF('RC Customers by plan'!N5="","",'RC Customers by plan'!N5&lt;1))="",FALSE,IF(ISERROR('RC Customers by plan'!N5&lt;1),'RC Customers by plan'!N5&lt;1,IF('RC Customers by plan'!N5="","",'RC Customers by plan'!N5&lt;1))),0,IF(IF(IF(ISERROR('RC Customers by plan'!N5=1),'RC Customers by plan'!N5=1,IF('RC Customers by plan'!N5="","",'RC Customers by plan'!N5=1))="",FALSE,IF(ISERROR('RC Customers by plan'!N5=1),'RC Customers by plan'!N5=1,IF('RC Customers by plan'!N5="","",'RC Customers by plan'!N5=1))),IF('Model inputs'!AG70="","",'Model inputs'!AG70),'RC Customers by plan'!M12*(1+IF(IF(IF(IF(ISERROR('RC Customers by plan'!N5&lt;=8),'RC Customers by plan'!N5&lt;=8,IF('RC Customers by plan'!N5="","",'RC Customers by plan'!N5&lt;=8))="",FALSE,IF(ISERROR('RC Customers by plan'!N5&lt;=8),'RC Customers by plan'!N5&lt;=8,IF('RC Customers by plan'!N5="","",'RC Customers by plan'!N5&lt;=8))),IF('Model inputs'!AG51="","",'Model inputs'!AG51),IF('Model inputs'!AG47="","",'Model inputs'!AG47))="",0,IF(IF(IF(ISERROR('RC Customers by plan'!N5&lt;=8),'RC Customers by plan'!N5&lt;=8,IF('RC Customers by plan'!N5="","",'RC Customers by plan'!N5&lt;=8))="",FALSE,IF(ISERROR('RC Customers by plan'!N5&lt;=8),'RC Customers by plan'!N5&lt;=8,IF('RC Customers by plan'!N5="","",'RC Customers by plan'!N5&lt;=8))),IF('Model inputs'!AG51="","",'Model inputs'!AG51),IF('Model inputs'!AG47="","",'Model inputs'!AG47))))))</f>
        <v>0.5</v>
      </c>
      <c r="O12" s="10">
        <f>IF(IF(IF(ISERROR('RC Customers by plan'!O5&lt;1),'RC Customers by plan'!O5&lt;1,IF('RC Customers by plan'!O5="","",'RC Customers by plan'!O5&lt;1))="",FALSE,IF(ISERROR('RC Customers by plan'!O5&lt;1),'RC Customers by plan'!O5&lt;1,IF('RC Customers by plan'!O5="","",'RC Customers by plan'!O5&lt;1))),0,IF(IF(IF(ISERROR('RC Customers by plan'!O5=1),'RC Customers by plan'!O5=1,IF('RC Customers by plan'!O5="","",'RC Customers by plan'!O5=1))="",FALSE,IF(ISERROR('RC Customers by plan'!O5=1),'RC Customers by plan'!O5=1,IF('RC Customers by plan'!O5="","",'RC Customers by plan'!O5=1))),IF('Model inputs'!AG70="","",'Model inputs'!AG70),'RC Customers by plan'!N12*(1+IF(IF(IF(IF(ISERROR('RC Customers by plan'!O5&lt;=8),'RC Customers by plan'!O5&lt;=8,IF('RC Customers by plan'!O5="","",'RC Customers by plan'!O5&lt;=8))="",FALSE,IF(ISERROR('RC Customers by plan'!O5&lt;=8),'RC Customers by plan'!O5&lt;=8,IF('RC Customers by plan'!O5="","",'RC Customers by plan'!O5&lt;=8))),IF('Model inputs'!AG51="","",'Model inputs'!AG51),IF('Model inputs'!AG47="","",'Model inputs'!AG47))="",0,IF(IF(IF(ISERROR('RC Customers by plan'!O5&lt;=8),'RC Customers by plan'!O5&lt;=8,IF('RC Customers by plan'!O5="","",'RC Customers by plan'!O5&lt;=8))="",FALSE,IF(ISERROR('RC Customers by plan'!O5&lt;=8),'RC Customers by plan'!O5&lt;=8,IF('RC Customers by plan'!O5="","",'RC Customers by plan'!O5&lt;=8))),IF('Model inputs'!AG51="","",'Model inputs'!AG51),IF('Model inputs'!AG47="","",'Model inputs'!AG47))))))</f>
        <v>0.5</v>
      </c>
      <c r="P12" s="10">
        <f>IF(IF(IF(ISERROR('RC Customers by plan'!P5&lt;1),'RC Customers by plan'!P5&lt;1,IF('RC Customers by plan'!P5="","",'RC Customers by plan'!P5&lt;1))="",FALSE,IF(ISERROR('RC Customers by plan'!P5&lt;1),'RC Customers by plan'!P5&lt;1,IF('RC Customers by plan'!P5="","",'RC Customers by plan'!P5&lt;1))),0,IF(IF(IF(ISERROR('RC Customers by plan'!P5=1),'RC Customers by plan'!P5=1,IF('RC Customers by plan'!P5="","",'RC Customers by plan'!P5=1))="",FALSE,IF(ISERROR('RC Customers by plan'!P5=1),'RC Customers by plan'!P5=1,IF('RC Customers by plan'!P5="","",'RC Customers by plan'!P5=1))),IF('Model inputs'!AG70="","",'Model inputs'!AG70),'RC Customers by plan'!O12*(1+IF(IF(IF(IF(ISERROR('RC Customers by plan'!P5&lt;=8),'RC Customers by plan'!P5&lt;=8,IF('RC Customers by plan'!P5="","",'RC Customers by plan'!P5&lt;=8))="",FALSE,IF(ISERROR('RC Customers by plan'!P5&lt;=8),'RC Customers by plan'!P5&lt;=8,IF('RC Customers by plan'!P5="","",'RC Customers by plan'!P5&lt;=8))),IF('Model inputs'!AG51="","",'Model inputs'!AG51),IF('Model inputs'!AG47="","",'Model inputs'!AG47))="",0,IF(IF(IF(ISERROR('RC Customers by plan'!P5&lt;=8),'RC Customers by plan'!P5&lt;=8,IF('RC Customers by plan'!P5="","",'RC Customers by plan'!P5&lt;=8))="",FALSE,IF(ISERROR('RC Customers by plan'!P5&lt;=8),'RC Customers by plan'!P5&lt;=8,IF('RC Customers by plan'!P5="","",'RC Customers by plan'!P5&lt;=8))),IF('Model inputs'!AG51="","",'Model inputs'!AG51),IF('Model inputs'!AG47="","",'Model inputs'!AG47))))))</f>
        <v>0.5</v>
      </c>
      <c r="Q12" s="10">
        <f>IF(IF(IF(ISERROR('RC Customers by plan'!Q5&lt;1),'RC Customers by plan'!Q5&lt;1,IF('RC Customers by plan'!Q5="","",'RC Customers by plan'!Q5&lt;1))="",FALSE,IF(ISERROR('RC Customers by plan'!Q5&lt;1),'RC Customers by plan'!Q5&lt;1,IF('RC Customers by plan'!Q5="","",'RC Customers by plan'!Q5&lt;1))),0,IF(IF(IF(ISERROR('RC Customers by plan'!Q5=1),'RC Customers by plan'!Q5=1,IF('RC Customers by plan'!Q5="","",'RC Customers by plan'!Q5=1))="",FALSE,IF(ISERROR('RC Customers by plan'!Q5=1),'RC Customers by plan'!Q5=1,IF('RC Customers by plan'!Q5="","",'RC Customers by plan'!Q5=1))),IF('Model inputs'!AG70="","",'Model inputs'!AG70),'RC Customers by plan'!P12*(1+IF(IF(IF(IF(ISERROR('RC Customers by plan'!Q5&lt;=8),'RC Customers by plan'!Q5&lt;=8,IF('RC Customers by plan'!Q5="","",'RC Customers by plan'!Q5&lt;=8))="",FALSE,IF(ISERROR('RC Customers by plan'!Q5&lt;=8),'RC Customers by plan'!Q5&lt;=8,IF('RC Customers by plan'!Q5="","",'RC Customers by plan'!Q5&lt;=8))),IF('Model inputs'!AG51="","",'Model inputs'!AG51),IF('Model inputs'!AG47="","",'Model inputs'!AG47))="",0,IF(IF(IF(ISERROR('RC Customers by plan'!Q5&lt;=8),'RC Customers by plan'!Q5&lt;=8,IF('RC Customers by plan'!Q5="","",'RC Customers by plan'!Q5&lt;=8))="",FALSE,IF(ISERROR('RC Customers by plan'!Q5&lt;=8),'RC Customers by plan'!Q5&lt;=8,IF('RC Customers by plan'!Q5="","",'RC Customers by plan'!Q5&lt;=8))),IF('Model inputs'!AG51="","",'Model inputs'!AG51),IF('Model inputs'!AG47="","",'Model inputs'!AG47))))))</f>
        <v>0.5</v>
      </c>
      <c r="R12" s="10">
        <f>IF(IF(IF(ISERROR('RC Customers by plan'!R5&lt;1),'RC Customers by plan'!R5&lt;1,IF('RC Customers by plan'!R5="","",'RC Customers by plan'!R5&lt;1))="",FALSE,IF(ISERROR('RC Customers by plan'!R5&lt;1),'RC Customers by plan'!R5&lt;1,IF('RC Customers by plan'!R5="","",'RC Customers by plan'!R5&lt;1))),0,IF(IF(IF(ISERROR('RC Customers by plan'!R5=1),'RC Customers by plan'!R5=1,IF('RC Customers by plan'!R5="","",'RC Customers by plan'!R5=1))="",FALSE,IF(ISERROR('RC Customers by plan'!R5=1),'RC Customers by plan'!R5=1,IF('RC Customers by plan'!R5="","",'RC Customers by plan'!R5=1))),IF('Model inputs'!AG70="","",'Model inputs'!AG70),'RC Customers by plan'!Q12*(1+IF(IF(IF(IF(ISERROR('RC Customers by plan'!R5&lt;=8),'RC Customers by plan'!R5&lt;=8,IF('RC Customers by plan'!R5="","",'RC Customers by plan'!R5&lt;=8))="",FALSE,IF(ISERROR('RC Customers by plan'!R5&lt;=8),'RC Customers by plan'!R5&lt;=8,IF('RC Customers by plan'!R5="","",'RC Customers by plan'!R5&lt;=8))),IF('Model inputs'!AG51="","",'Model inputs'!AG51),IF('Model inputs'!AG47="","",'Model inputs'!AG47))="",0,IF(IF(IF(ISERROR('RC Customers by plan'!R5&lt;=8),'RC Customers by plan'!R5&lt;=8,IF('RC Customers by plan'!R5="","",'RC Customers by plan'!R5&lt;=8))="",FALSE,IF(ISERROR('RC Customers by plan'!R5&lt;=8),'RC Customers by plan'!R5&lt;=8,IF('RC Customers by plan'!R5="","",'RC Customers by plan'!R5&lt;=8))),IF('Model inputs'!AG51="","",'Model inputs'!AG51),IF('Model inputs'!AG47="","",'Model inputs'!AG47))))))</f>
        <v>0.5</v>
      </c>
      <c r="S12" s="10">
        <f>IF(IF(IF(ISERROR('RC Customers by plan'!S5&lt;1),'RC Customers by plan'!S5&lt;1,IF('RC Customers by plan'!S5="","",'RC Customers by plan'!S5&lt;1))="",FALSE,IF(ISERROR('RC Customers by plan'!S5&lt;1),'RC Customers by plan'!S5&lt;1,IF('RC Customers by plan'!S5="","",'RC Customers by plan'!S5&lt;1))),0,IF(IF(IF(ISERROR('RC Customers by plan'!S5=1),'RC Customers by plan'!S5=1,IF('RC Customers by plan'!S5="","",'RC Customers by plan'!S5=1))="",FALSE,IF(ISERROR('RC Customers by plan'!S5=1),'RC Customers by plan'!S5=1,IF('RC Customers by plan'!S5="","",'RC Customers by plan'!S5=1))),IF('Model inputs'!AG70="","",'Model inputs'!AG70),'RC Customers by plan'!R12*(1+IF(IF(IF(IF(ISERROR('RC Customers by plan'!S5&lt;=8),'RC Customers by plan'!S5&lt;=8,IF('RC Customers by plan'!S5="","",'RC Customers by plan'!S5&lt;=8))="",FALSE,IF(ISERROR('RC Customers by plan'!S5&lt;=8),'RC Customers by plan'!S5&lt;=8,IF('RC Customers by plan'!S5="","",'RC Customers by plan'!S5&lt;=8))),IF('Model inputs'!AG51="","",'Model inputs'!AG51),IF('Model inputs'!AG47="","",'Model inputs'!AG47))="",0,IF(IF(IF(ISERROR('RC Customers by plan'!S5&lt;=8),'RC Customers by plan'!S5&lt;=8,IF('RC Customers by plan'!S5="","",'RC Customers by plan'!S5&lt;=8))="",FALSE,IF(ISERROR('RC Customers by plan'!S5&lt;=8),'RC Customers by plan'!S5&lt;=8,IF('RC Customers by plan'!S5="","",'RC Customers by plan'!S5&lt;=8))),IF('Model inputs'!AG51="","",'Model inputs'!AG51),IF('Model inputs'!AG47="","",'Model inputs'!AG47))))))</f>
        <v>0.5</v>
      </c>
    </row>
    <row r="13" outlineLevel="1">
      <c r="A13" t="inlineStr" s="9">
        <is>
          <t xml:space="preserve">Team</t>
        </is>
      </c>
      <c r="B13" s="10">
        <f>IF(IF(IF(ISERROR('RC Customers by plan'!B5&lt;1),'RC Customers by plan'!B5&lt;1,IF('RC Customers by plan'!B5="","",'RC Customers by plan'!B5&lt;1))="",FALSE,IF(ISERROR('RC Customers by plan'!B5&lt;1),'RC Customers by plan'!B5&lt;1,IF('RC Customers by plan'!B5="","",'RC Customers by plan'!B5&lt;1))),0,IF(IF(IF(ISERROR('RC Customers by plan'!B5=1),'RC Customers by plan'!B5=1,IF('RC Customers by plan'!B5="","",'RC Customers by plan'!B5=1))="",FALSE,IF(ISERROR('RC Customers by plan'!B5=1),'RC Customers by plan'!B5=1,IF('RC Customers by plan'!B5="","",'RC Customers by plan'!B5=1))),IF('Model inputs'!AG71="","",'Model inputs'!AG71),'Model inputs'!N79*(1+IF(IF(IF(IF(ISERROR('RC Customers by plan'!B5&lt;=8),'RC Customers by plan'!B5&lt;=8,IF('RC Customers by plan'!B5="","",'RC Customers by plan'!B5&lt;=8))="",FALSE,IF(ISERROR('RC Customers by plan'!B5&lt;=8),'RC Customers by plan'!B5&lt;=8,IF('RC Customers by plan'!B5="","",'RC Customers by plan'!B5&lt;=8))),IF('Model inputs'!AG52="","",'Model inputs'!AG52),IF('Model inputs'!AG48="","",'Model inputs'!AG48))="",0,IF(IF(IF(ISERROR('RC Customers by plan'!B5&lt;=8),'RC Customers by plan'!B5&lt;=8,IF('RC Customers by plan'!B5="","",'RC Customers by plan'!B5&lt;=8))="",FALSE,IF(ISERROR('RC Customers by plan'!B5&lt;=8),'RC Customers by plan'!B5&lt;=8,IF('RC Customers by plan'!B5="","",'RC Customers by plan'!B5&lt;=8))),IF('Model inputs'!AG52="","",'Model inputs'!AG52),IF('Model inputs'!AG48="","",'Model inputs'!AG48))))))</f>
        <v>0</v>
      </c>
      <c r="C13" s="10">
        <f>IF(IF(IF(ISERROR('RC Customers by plan'!C5&lt;1),'RC Customers by plan'!C5&lt;1,IF('RC Customers by plan'!C5="","",'RC Customers by plan'!C5&lt;1))="",FALSE,IF(ISERROR('RC Customers by plan'!C5&lt;1),'RC Customers by plan'!C5&lt;1,IF('RC Customers by plan'!C5="","",'RC Customers by plan'!C5&lt;1))),0,IF(IF(IF(ISERROR('RC Customers by plan'!C5=1),'RC Customers by plan'!C5=1,IF('RC Customers by plan'!C5="","",'RC Customers by plan'!C5=1))="",FALSE,IF(ISERROR('RC Customers by plan'!C5=1),'RC Customers by plan'!C5=1,IF('RC Customers by plan'!C5="","",'RC Customers by plan'!C5=1))),IF('Model inputs'!AG71="","",'Model inputs'!AG71),'RC Customers by plan'!B13*(1+IF(IF(IF(IF(ISERROR('RC Customers by plan'!C5&lt;=8),'RC Customers by plan'!C5&lt;=8,IF('RC Customers by plan'!C5="","",'RC Customers by plan'!C5&lt;=8))="",FALSE,IF(ISERROR('RC Customers by plan'!C5&lt;=8),'RC Customers by plan'!C5&lt;=8,IF('RC Customers by plan'!C5="","",'RC Customers by plan'!C5&lt;=8))),IF('Model inputs'!AG52="","",'Model inputs'!AG52),IF('Model inputs'!AG48="","",'Model inputs'!AG48))="",0,IF(IF(IF(ISERROR('RC Customers by plan'!C5&lt;=8),'RC Customers by plan'!C5&lt;=8,IF('RC Customers by plan'!C5="","",'RC Customers by plan'!C5&lt;=8))="",FALSE,IF(ISERROR('RC Customers by plan'!C5&lt;=8),'RC Customers by plan'!C5&lt;=8,IF('RC Customers by plan'!C5="","",'RC Customers by plan'!C5&lt;=8))),IF('Model inputs'!AG52="","",'Model inputs'!AG52),IF('Model inputs'!AG48="","",'Model inputs'!AG48))))))</f>
        <v>3</v>
      </c>
      <c r="D13" s="10">
        <f>IF(IF(IF(ISERROR('RC Customers by plan'!D5&lt;1),'RC Customers by plan'!D5&lt;1,IF('RC Customers by plan'!D5="","",'RC Customers by plan'!D5&lt;1))="",FALSE,IF(ISERROR('RC Customers by plan'!D5&lt;1),'RC Customers by plan'!D5&lt;1,IF('RC Customers by plan'!D5="","",'RC Customers by plan'!D5&lt;1))),0,IF(IF(IF(ISERROR('RC Customers by plan'!D5=1),'RC Customers by plan'!D5=1,IF('RC Customers by plan'!D5="","",'RC Customers by plan'!D5=1))="",FALSE,IF(ISERROR('RC Customers by plan'!D5=1),'RC Customers by plan'!D5=1,IF('RC Customers by plan'!D5="","",'RC Customers by plan'!D5=1))),IF('Model inputs'!AG71="","",'Model inputs'!AG71),'RC Customers by plan'!C13*(1+IF(IF(IF(IF(ISERROR('RC Customers by plan'!D5&lt;=8),'RC Customers by plan'!D5&lt;=8,IF('RC Customers by plan'!D5="","",'RC Customers by plan'!D5&lt;=8))="",FALSE,IF(ISERROR('RC Customers by plan'!D5&lt;=8),'RC Customers by plan'!D5&lt;=8,IF('RC Customers by plan'!D5="","",'RC Customers by plan'!D5&lt;=8))),IF('Model inputs'!AG52="","",'Model inputs'!AG52),IF('Model inputs'!AG48="","",'Model inputs'!AG48))="",0,IF(IF(IF(ISERROR('RC Customers by plan'!D5&lt;=8),'RC Customers by plan'!D5&lt;=8,IF('RC Customers by plan'!D5="","",'RC Customers by plan'!D5&lt;=8))="",FALSE,IF(ISERROR('RC Customers by plan'!D5&lt;=8),'RC Customers by plan'!D5&lt;=8,IF('RC Customers by plan'!D5="","",'RC Customers by plan'!D5&lt;=8))),IF('Model inputs'!AG52="","",'Model inputs'!AG52),IF('Model inputs'!AG48="","",'Model inputs'!AG48))))))</f>
        <v>3.3000000000000003</v>
      </c>
      <c r="E13" s="10">
        <f>IF(IF(IF(ISERROR('RC Customers by plan'!E5&lt;1),'RC Customers by plan'!E5&lt;1,IF('RC Customers by plan'!E5="","",'RC Customers by plan'!E5&lt;1))="",FALSE,IF(ISERROR('RC Customers by plan'!E5&lt;1),'RC Customers by plan'!E5&lt;1,IF('RC Customers by plan'!E5="","",'RC Customers by plan'!E5&lt;1))),0,IF(IF(IF(ISERROR('RC Customers by plan'!E5=1),'RC Customers by plan'!E5=1,IF('RC Customers by plan'!E5="","",'RC Customers by plan'!E5=1))="",FALSE,IF(ISERROR('RC Customers by plan'!E5=1),'RC Customers by plan'!E5=1,IF('RC Customers by plan'!E5="","",'RC Customers by plan'!E5=1))),IF('Model inputs'!AG71="","",'Model inputs'!AG71),'RC Customers by plan'!D13*(1+IF(IF(IF(IF(ISERROR('RC Customers by plan'!E5&lt;=8),'RC Customers by plan'!E5&lt;=8,IF('RC Customers by plan'!E5="","",'RC Customers by plan'!E5&lt;=8))="",FALSE,IF(ISERROR('RC Customers by plan'!E5&lt;=8),'RC Customers by plan'!E5&lt;=8,IF('RC Customers by plan'!E5="","",'RC Customers by plan'!E5&lt;=8))),IF('Model inputs'!AG52="","",'Model inputs'!AG52),IF('Model inputs'!AG48="","",'Model inputs'!AG48))="",0,IF(IF(IF(ISERROR('RC Customers by plan'!E5&lt;=8),'RC Customers by plan'!E5&lt;=8,IF('RC Customers by plan'!E5="","",'RC Customers by plan'!E5&lt;=8))="",FALSE,IF(ISERROR('RC Customers by plan'!E5&lt;=8),'RC Customers by plan'!E5&lt;=8,IF('RC Customers by plan'!E5="","",'RC Customers by plan'!E5&lt;=8))),IF('Model inputs'!AG52="","",'Model inputs'!AG52),IF('Model inputs'!AG48="","",'Model inputs'!AG48))))))</f>
        <v>3.630000000000001</v>
      </c>
      <c r="F13" s="10">
        <f>IF(IF(IF(ISERROR('RC Customers by plan'!F5&lt;1),'RC Customers by plan'!F5&lt;1,IF('RC Customers by plan'!F5="","",'RC Customers by plan'!F5&lt;1))="",FALSE,IF(ISERROR('RC Customers by plan'!F5&lt;1),'RC Customers by plan'!F5&lt;1,IF('RC Customers by plan'!F5="","",'RC Customers by plan'!F5&lt;1))),0,IF(IF(IF(ISERROR('RC Customers by plan'!F5=1),'RC Customers by plan'!F5=1,IF('RC Customers by plan'!F5="","",'RC Customers by plan'!F5=1))="",FALSE,IF(ISERROR('RC Customers by plan'!F5=1),'RC Customers by plan'!F5=1,IF('RC Customers by plan'!F5="","",'RC Customers by plan'!F5=1))),IF('Model inputs'!AG71="","",'Model inputs'!AG71),'RC Customers by plan'!E13*(1+IF(IF(IF(IF(ISERROR('RC Customers by plan'!F5&lt;=8),'RC Customers by plan'!F5&lt;=8,IF('RC Customers by plan'!F5="","",'RC Customers by plan'!F5&lt;=8))="",FALSE,IF(ISERROR('RC Customers by plan'!F5&lt;=8),'RC Customers by plan'!F5&lt;=8,IF('RC Customers by plan'!F5="","",'RC Customers by plan'!F5&lt;=8))),IF('Model inputs'!AG52="","",'Model inputs'!AG52),IF('Model inputs'!AG48="","",'Model inputs'!AG48))="",0,IF(IF(IF(ISERROR('RC Customers by plan'!F5&lt;=8),'RC Customers by plan'!F5&lt;=8,IF('RC Customers by plan'!F5="","",'RC Customers by plan'!F5&lt;=8))="",FALSE,IF(ISERROR('RC Customers by plan'!F5&lt;=8),'RC Customers by plan'!F5&lt;=8,IF('RC Customers by plan'!F5="","",'RC Customers by plan'!F5&lt;=8))),IF('Model inputs'!AG52="","",'Model inputs'!AG52),IF('Model inputs'!AG48="","",'Model inputs'!AG48))))))</f>
        <v>3.993000000000001</v>
      </c>
      <c r="G13" s="10">
        <f>IF(IF(IF(ISERROR('RC Customers by plan'!G5&lt;1),'RC Customers by plan'!G5&lt;1,IF('RC Customers by plan'!G5="","",'RC Customers by plan'!G5&lt;1))="",FALSE,IF(ISERROR('RC Customers by plan'!G5&lt;1),'RC Customers by plan'!G5&lt;1,IF('RC Customers by plan'!G5="","",'RC Customers by plan'!G5&lt;1))),0,IF(IF(IF(ISERROR('RC Customers by plan'!G5=1),'RC Customers by plan'!G5=1,IF('RC Customers by plan'!G5="","",'RC Customers by plan'!G5=1))="",FALSE,IF(ISERROR('RC Customers by plan'!G5=1),'RC Customers by plan'!G5=1,IF('RC Customers by plan'!G5="","",'RC Customers by plan'!G5=1))),IF('Model inputs'!AG71="","",'Model inputs'!AG71),'RC Customers by plan'!F13*(1+IF(IF(IF(IF(ISERROR('RC Customers by plan'!G5&lt;=8),'RC Customers by plan'!G5&lt;=8,IF('RC Customers by plan'!G5="","",'RC Customers by plan'!G5&lt;=8))="",FALSE,IF(ISERROR('RC Customers by plan'!G5&lt;=8),'RC Customers by plan'!G5&lt;=8,IF('RC Customers by plan'!G5="","",'RC Customers by plan'!G5&lt;=8))),IF('Model inputs'!AG52="","",'Model inputs'!AG52),IF('Model inputs'!AG48="","",'Model inputs'!AG48))="",0,IF(IF(IF(ISERROR('RC Customers by plan'!G5&lt;=8),'RC Customers by plan'!G5&lt;=8,IF('RC Customers by plan'!G5="","",'RC Customers by plan'!G5&lt;=8))="",FALSE,IF(ISERROR('RC Customers by plan'!G5&lt;=8),'RC Customers by plan'!G5&lt;=8,IF('RC Customers by plan'!G5="","",'RC Customers by plan'!G5&lt;=8))),IF('Model inputs'!AG52="","",'Model inputs'!AG52),IF('Model inputs'!AG48="","",'Model inputs'!AG48))))))</f>
        <v>4.392300000000001</v>
      </c>
      <c r="H13" s="10">
        <f>IF(IF(IF(ISERROR('RC Customers by plan'!H5&lt;1),'RC Customers by plan'!H5&lt;1,IF('RC Customers by plan'!H5="","",'RC Customers by plan'!H5&lt;1))="",FALSE,IF(ISERROR('RC Customers by plan'!H5&lt;1),'RC Customers by plan'!H5&lt;1,IF('RC Customers by plan'!H5="","",'RC Customers by plan'!H5&lt;1))),0,IF(IF(IF(ISERROR('RC Customers by plan'!H5=1),'RC Customers by plan'!H5=1,IF('RC Customers by plan'!H5="","",'RC Customers by plan'!H5=1))="",FALSE,IF(ISERROR('RC Customers by plan'!H5=1),'RC Customers by plan'!H5=1,IF('RC Customers by plan'!H5="","",'RC Customers by plan'!H5=1))),IF('Model inputs'!AG71="","",'Model inputs'!AG71),'RC Customers by plan'!G13*(1+IF(IF(IF(IF(ISERROR('RC Customers by plan'!H5&lt;=8),'RC Customers by plan'!H5&lt;=8,IF('RC Customers by plan'!H5="","",'RC Customers by plan'!H5&lt;=8))="",FALSE,IF(ISERROR('RC Customers by plan'!H5&lt;=8),'RC Customers by plan'!H5&lt;=8,IF('RC Customers by plan'!H5="","",'RC Customers by plan'!H5&lt;=8))),IF('Model inputs'!AG52="","",'Model inputs'!AG52),IF('Model inputs'!AG48="","",'Model inputs'!AG48))="",0,IF(IF(IF(ISERROR('RC Customers by plan'!H5&lt;=8),'RC Customers by plan'!H5&lt;=8,IF('RC Customers by plan'!H5="","",'RC Customers by plan'!H5&lt;=8))="",FALSE,IF(ISERROR('RC Customers by plan'!H5&lt;=8),'RC Customers by plan'!H5&lt;=8,IF('RC Customers by plan'!H5="","",'RC Customers by plan'!H5&lt;=8))),IF('Model inputs'!AG52="","",'Model inputs'!AG52),IF('Model inputs'!AG48="","",'Model inputs'!AG48))))))</f>
        <v>4.831530000000002</v>
      </c>
      <c r="I13" s="10">
        <f>IF(IF(IF(ISERROR('RC Customers by plan'!I5&lt;1),'RC Customers by plan'!I5&lt;1,IF('RC Customers by plan'!I5="","",'RC Customers by plan'!I5&lt;1))="",FALSE,IF(ISERROR('RC Customers by plan'!I5&lt;1),'RC Customers by plan'!I5&lt;1,IF('RC Customers by plan'!I5="","",'RC Customers by plan'!I5&lt;1))),0,IF(IF(IF(ISERROR('RC Customers by plan'!I5=1),'RC Customers by plan'!I5=1,IF('RC Customers by plan'!I5="","",'RC Customers by plan'!I5=1))="",FALSE,IF(ISERROR('RC Customers by plan'!I5=1),'RC Customers by plan'!I5=1,IF('RC Customers by plan'!I5="","",'RC Customers by plan'!I5=1))),IF('Model inputs'!AG71="","",'Model inputs'!AG71),'RC Customers by plan'!H13*(1+IF(IF(IF(IF(ISERROR('RC Customers by plan'!I5&lt;=8),'RC Customers by plan'!I5&lt;=8,IF('RC Customers by plan'!I5="","",'RC Customers by plan'!I5&lt;=8))="",FALSE,IF(ISERROR('RC Customers by plan'!I5&lt;=8),'RC Customers by plan'!I5&lt;=8,IF('RC Customers by plan'!I5="","",'RC Customers by plan'!I5&lt;=8))),IF('Model inputs'!AG52="","",'Model inputs'!AG52),IF('Model inputs'!AG48="","",'Model inputs'!AG48))="",0,IF(IF(IF(ISERROR('RC Customers by plan'!I5&lt;=8),'RC Customers by plan'!I5&lt;=8,IF('RC Customers by plan'!I5="","",'RC Customers by plan'!I5&lt;=8))="",FALSE,IF(ISERROR('RC Customers by plan'!I5&lt;=8),'RC Customers by plan'!I5&lt;=8,IF('RC Customers by plan'!I5="","",'RC Customers by plan'!I5&lt;=8))),IF('Model inputs'!AG52="","",'Model inputs'!AG52),IF('Model inputs'!AG48="","",'Model inputs'!AG48))))))</f>
        <v>5.314683000000002</v>
      </c>
      <c r="J13" s="10">
        <f>IF(IF(IF(ISERROR('RC Customers by plan'!J5&lt;1),'RC Customers by plan'!J5&lt;1,IF('RC Customers by plan'!J5="","",'RC Customers by plan'!J5&lt;1))="",FALSE,IF(ISERROR('RC Customers by plan'!J5&lt;1),'RC Customers by plan'!J5&lt;1,IF('RC Customers by plan'!J5="","",'RC Customers by plan'!J5&lt;1))),0,IF(IF(IF(ISERROR('RC Customers by plan'!J5=1),'RC Customers by plan'!J5=1,IF('RC Customers by plan'!J5="","",'RC Customers by plan'!J5=1))="",FALSE,IF(ISERROR('RC Customers by plan'!J5=1),'RC Customers by plan'!J5=1,IF('RC Customers by plan'!J5="","",'RC Customers by plan'!J5=1))),IF('Model inputs'!AG71="","",'Model inputs'!AG71),'RC Customers by plan'!I13*(1+IF(IF(IF(IF(ISERROR('RC Customers by plan'!J5&lt;=8),'RC Customers by plan'!J5&lt;=8,IF('RC Customers by plan'!J5="","",'RC Customers by plan'!J5&lt;=8))="",FALSE,IF(ISERROR('RC Customers by plan'!J5&lt;=8),'RC Customers by plan'!J5&lt;=8,IF('RC Customers by plan'!J5="","",'RC Customers by plan'!J5&lt;=8))),IF('Model inputs'!AG52="","",'Model inputs'!AG52),IF('Model inputs'!AG48="","",'Model inputs'!AG48))="",0,IF(IF(IF(ISERROR('RC Customers by plan'!J5&lt;=8),'RC Customers by plan'!J5&lt;=8,IF('RC Customers by plan'!J5="","",'RC Customers by plan'!J5&lt;=8))="",FALSE,IF(ISERROR('RC Customers by plan'!J5&lt;=8),'RC Customers by plan'!J5&lt;=8,IF('RC Customers by plan'!J5="","",'RC Customers by plan'!J5&lt;=8))),IF('Model inputs'!AG52="","",'Model inputs'!AG52),IF('Model inputs'!AG48="","",'Model inputs'!AG48))))))</f>
        <v>5.846151300000003</v>
      </c>
      <c r="K13" s="10">
        <f>IF(IF(IF(ISERROR('RC Customers by plan'!K5&lt;1),'RC Customers by plan'!K5&lt;1,IF('RC Customers by plan'!K5="","",'RC Customers by plan'!K5&lt;1))="",FALSE,IF(ISERROR('RC Customers by plan'!K5&lt;1),'RC Customers by plan'!K5&lt;1,IF('RC Customers by plan'!K5="","",'RC Customers by plan'!K5&lt;1))),0,IF(IF(IF(ISERROR('RC Customers by plan'!K5=1),'RC Customers by plan'!K5=1,IF('RC Customers by plan'!K5="","",'RC Customers by plan'!K5=1))="",FALSE,IF(ISERROR('RC Customers by plan'!K5=1),'RC Customers by plan'!K5=1,IF('RC Customers by plan'!K5="","",'RC Customers by plan'!K5=1))),IF('Model inputs'!AG71="","",'Model inputs'!AG71),'RC Customers by plan'!J13*(1+IF(IF(IF(IF(ISERROR('RC Customers by plan'!K5&lt;=8),'RC Customers by plan'!K5&lt;=8,IF('RC Customers by plan'!K5="","",'RC Customers by plan'!K5&lt;=8))="",FALSE,IF(ISERROR('RC Customers by plan'!K5&lt;=8),'RC Customers by plan'!K5&lt;=8,IF('RC Customers by plan'!K5="","",'RC Customers by plan'!K5&lt;=8))),IF('Model inputs'!AG52="","",'Model inputs'!AG52),IF('Model inputs'!AG48="","",'Model inputs'!AG48))="",0,IF(IF(IF(ISERROR('RC Customers by plan'!K5&lt;=8),'RC Customers by plan'!K5&lt;=8,IF('RC Customers by plan'!K5="","",'RC Customers by plan'!K5&lt;=8))="",FALSE,IF(ISERROR('RC Customers by plan'!K5&lt;=8),'RC Customers by plan'!K5&lt;=8,IF('RC Customers by plan'!K5="","",'RC Customers by plan'!K5&lt;=8))),IF('Model inputs'!AG52="","",'Model inputs'!AG52),IF('Model inputs'!AG48="","",'Model inputs'!AG48))))))</f>
        <v>6.079997352000004</v>
      </c>
      <c r="L13" s="10">
        <f>IF(IF(IF(ISERROR('RC Customers by plan'!L5&lt;1),'RC Customers by plan'!L5&lt;1,IF('RC Customers by plan'!L5="","",'RC Customers by plan'!L5&lt;1))="",FALSE,IF(ISERROR('RC Customers by plan'!L5&lt;1),'RC Customers by plan'!L5&lt;1,IF('RC Customers by plan'!L5="","",'RC Customers by plan'!L5&lt;1))),0,IF(IF(IF(ISERROR('RC Customers by plan'!L5=1),'RC Customers by plan'!L5=1,IF('RC Customers by plan'!L5="","",'RC Customers by plan'!L5=1))="",FALSE,IF(ISERROR('RC Customers by plan'!L5=1),'RC Customers by plan'!L5=1,IF('RC Customers by plan'!L5="","",'RC Customers by plan'!L5=1))),IF('Model inputs'!AG71="","",'Model inputs'!AG71),'RC Customers by plan'!K13*(1+IF(IF(IF(IF(ISERROR('RC Customers by plan'!L5&lt;=8),'RC Customers by plan'!L5&lt;=8,IF('RC Customers by plan'!L5="","",'RC Customers by plan'!L5&lt;=8))="",FALSE,IF(ISERROR('RC Customers by plan'!L5&lt;=8),'RC Customers by plan'!L5&lt;=8,IF('RC Customers by plan'!L5="","",'RC Customers by plan'!L5&lt;=8))),IF('Model inputs'!AG52="","",'Model inputs'!AG52),IF('Model inputs'!AG48="","",'Model inputs'!AG48))="",0,IF(IF(IF(ISERROR('RC Customers by plan'!L5&lt;=8),'RC Customers by plan'!L5&lt;=8,IF('RC Customers by plan'!L5="","",'RC Customers by plan'!L5&lt;=8))="",FALSE,IF(ISERROR('RC Customers by plan'!L5&lt;=8),'RC Customers by plan'!L5&lt;=8,IF('RC Customers by plan'!L5="","",'RC Customers by plan'!L5&lt;=8))),IF('Model inputs'!AG52="","",'Model inputs'!AG52),IF('Model inputs'!AG48="","",'Model inputs'!AG48))))))</f>
        <v>6.323197246080004</v>
      </c>
      <c r="M13" s="10">
        <f>IF(IF(IF(ISERROR('RC Customers by plan'!M5&lt;1),'RC Customers by plan'!M5&lt;1,IF('RC Customers by plan'!M5="","",'RC Customers by plan'!M5&lt;1))="",FALSE,IF(ISERROR('RC Customers by plan'!M5&lt;1),'RC Customers by plan'!M5&lt;1,IF('RC Customers by plan'!M5="","",'RC Customers by plan'!M5&lt;1))),0,IF(IF(IF(ISERROR('RC Customers by plan'!M5=1),'RC Customers by plan'!M5=1,IF('RC Customers by plan'!M5="","",'RC Customers by plan'!M5=1))="",FALSE,IF(ISERROR('RC Customers by plan'!M5=1),'RC Customers by plan'!M5=1,IF('RC Customers by plan'!M5="","",'RC Customers by plan'!M5=1))),IF('Model inputs'!AG71="","",'Model inputs'!AG71),'RC Customers by plan'!L13*(1+IF(IF(IF(IF(ISERROR('RC Customers by plan'!M5&lt;=8),'RC Customers by plan'!M5&lt;=8,IF('RC Customers by plan'!M5="","",'RC Customers by plan'!M5&lt;=8))="",FALSE,IF(ISERROR('RC Customers by plan'!M5&lt;=8),'RC Customers by plan'!M5&lt;=8,IF('RC Customers by plan'!M5="","",'RC Customers by plan'!M5&lt;=8))),IF('Model inputs'!AG52="","",'Model inputs'!AG52),IF('Model inputs'!AG48="","",'Model inputs'!AG48))="",0,IF(IF(IF(ISERROR('RC Customers by plan'!M5&lt;=8),'RC Customers by plan'!M5&lt;=8,IF('RC Customers by plan'!M5="","",'RC Customers by plan'!M5&lt;=8))="",FALSE,IF(ISERROR('RC Customers by plan'!M5&lt;=8),'RC Customers by plan'!M5&lt;=8,IF('RC Customers by plan'!M5="","",'RC Customers by plan'!M5&lt;=8))),IF('Model inputs'!AG52="","",'Model inputs'!AG52),IF('Model inputs'!AG48="","",'Model inputs'!AG48))))))</f>
        <v>6.5761251359232045</v>
      </c>
      <c r="N13" s="10">
        <f>IF(IF(IF(ISERROR('RC Customers by plan'!N5&lt;1),'RC Customers by plan'!N5&lt;1,IF('RC Customers by plan'!N5="","",'RC Customers by plan'!N5&lt;1))="",FALSE,IF(ISERROR('RC Customers by plan'!N5&lt;1),'RC Customers by plan'!N5&lt;1,IF('RC Customers by plan'!N5="","",'RC Customers by plan'!N5&lt;1))),0,IF(IF(IF(ISERROR('RC Customers by plan'!N5=1),'RC Customers by plan'!N5=1,IF('RC Customers by plan'!N5="","",'RC Customers by plan'!N5=1))="",FALSE,IF(ISERROR('RC Customers by plan'!N5=1),'RC Customers by plan'!N5=1,IF('RC Customers by plan'!N5="","",'RC Customers by plan'!N5=1))),IF('Model inputs'!AG71="","",'Model inputs'!AG71),'RC Customers by plan'!M13*(1+IF(IF(IF(IF(ISERROR('RC Customers by plan'!N5&lt;=8),'RC Customers by plan'!N5&lt;=8,IF('RC Customers by plan'!N5="","",'RC Customers by plan'!N5&lt;=8))="",FALSE,IF(ISERROR('RC Customers by plan'!N5&lt;=8),'RC Customers by plan'!N5&lt;=8,IF('RC Customers by plan'!N5="","",'RC Customers by plan'!N5&lt;=8))),IF('Model inputs'!AG52="","",'Model inputs'!AG52),IF('Model inputs'!AG48="","",'Model inputs'!AG48))="",0,IF(IF(IF(ISERROR('RC Customers by plan'!N5&lt;=8),'RC Customers by plan'!N5&lt;=8,IF('RC Customers by plan'!N5="","",'RC Customers by plan'!N5&lt;=8))="",FALSE,IF(ISERROR('RC Customers by plan'!N5&lt;=8),'RC Customers by plan'!N5&lt;=8,IF('RC Customers by plan'!N5="","",'RC Customers by plan'!N5&lt;=8))),IF('Model inputs'!AG52="","",'Model inputs'!AG52),IF('Model inputs'!AG48="","",'Model inputs'!AG48))))))</f>
        <v>6.839170141360133</v>
      </c>
      <c r="O13" s="10">
        <f>IF(IF(IF(ISERROR('RC Customers by plan'!O5&lt;1),'RC Customers by plan'!O5&lt;1,IF('RC Customers by plan'!O5="","",'RC Customers by plan'!O5&lt;1))="",FALSE,IF(ISERROR('RC Customers by plan'!O5&lt;1),'RC Customers by plan'!O5&lt;1,IF('RC Customers by plan'!O5="","",'RC Customers by plan'!O5&lt;1))),0,IF(IF(IF(ISERROR('RC Customers by plan'!O5=1),'RC Customers by plan'!O5=1,IF('RC Customers by plan'!O5="","",'RC Customers by plan'!O5=1))="",FALSE,IF(ISERROR('RC Customers by plan'!O5=1),'RC Customers by plan'!O5=1,IF('RC Customers by plan'!O5="","",'RC Customers by plan'!O5=1))),IF('Model inputs'!AG71="","",'Model inputs'!AG71),'RC Customers by plan'!N13*(1+IF(IF(IF(IF(ISERROR('RC Customers by plan'!O5&lt;=8),'RC Customers by plan'!O5&lt;=8,IF('RC Customers by plan'!O5="","",'RC Customers by plan'!O5&lt;=8))="",FALSE,IF(ISERROR('RC Customers by plan'!O5&lt;=8),'RC Customers by plan'!O5&lt;=8,IF('RC Customers by plan'!O5="","",'RC Customers by plan'!O5&lt;=8))),IF('Model inputs'!AG52="","",'Model inputs'!AG52),IF('Model inputs'!AG48="","",'Model inputs'!AG48))="",0,IF(IF(IF(ISERROR('RC Customers by plan'!O5&lt;=8),'RC Customers by plan'!O5&lt;=8,IF('RC Customers by plan'!O5="","",'RC Customers by plan'!O5&lt;=8))="",FALSE,IF(ISERROR('RC Customers by plan'!O5&lt;=8),'RC Customers by plan'!O5&lt;=8,IF('RC Customers by plan'!O5="","",'RC Customers by plan'!O5&lt;=8))),IF('Model inputs'!AG52="","",'Model inputs'!AG52),IF('Model inputs'!AG48="","",'Model inputs'!AG48))))))</f>
        <v>7.112736947014538</v>
      </c>
      <c r="P13" s="10">
        <f>IF(IF(IF(ISERROR('RC Customers by plan'!P5&lt;1),'RC Customers by plan'!P5&lt;1,IF('RC Customers by plan'!P5="","",'RC Customers by plan'!P5&lt;1))="",FALSE,IF(ISERROR('RC Customers by plan'!P5&lt;1),'RC Customers by plan'!P5&lt;1,IF('RC Customers by plan'!P5="","",'RC Customers by plan'!P5&lt;1))),0,IF(IF(IF(ISERROR('RC Customers by plan'!P5=1),'RC Customers by plan'!P5=1,IF('RC Customers by plan'!P5="","",'RC Customers by plan'!P5=1))="",FALSE,IF(ISERROR('RC Customers by plan'!P5=1),'RC Customers by plan'!P5=1,IF('RC Customers by plan'!P5="","",'RC Customers by plan'!P5=1))),IF('Model inputs'!AG71="","",'Model inputs'!AG71),'RC Customers by plan'!O13*(1+IF(IF(IF(IF(ISERROR('RC Customers by plan'!P5&lt;=8),'RC Customers by plan'!P5&lt;=8,IF('RC Customers by plan'!P5="","",'RC Customers by plan'!P5&lt;=8))="",FALSE,IF(ISERROR('RC Customers by plan'!P5&lt;=8),'RC Customers by plan'!P5&lt;=8,IF('RC Customers by plan'!P5="","",'RC Customers by plan'!P5&lt;=8))),IF('Model inputs'!AG52="","",'Model inputs'!AG52),IF('Model inputs'!AG48="","",'Model inputs'!AG48))="",0,IF(IF(IF(ISERROR('RC Customers by plan'!P5&lt;=8),'RC Customers by plan'!P5&lt;=8,IF('RC Customers by plan'!P5="","",'RC Customers by plan'!P5&lt;=8))="",FALSE,IF(ISERROR('RC Customers by plan'!P5&lt;=8),'RC Customers by plan'!P5&lt;=8,IF('RC Customers by plan'!P5="","",'RC Customers by plan'!P5&lt;=8))),IF('Model inputs'!AG52="","",'Model inputs'!AG52),IF('Model inputs'!AG48="","",'Model inputs'!AG48))))))</f>
        <v>7.39724642489512</v>
      </c>
      <c r="Q13" s="10">
        <f>IF(IF(IF(ISERROR('RC Customers by plan'!Q5&lt;1),'RC Customers by plan'!Q5&lt;1,IF('RC Customers by plan'!Q5="","",'RC Customers by plan'!Q5&lt;1))="",FALSE,IF(ISERROR('RC Customers by plan'!Q5&lt;1),'RC Customers by plan'!Q5&lt;1,IF('RC Customers by plan'!Q5="","",'RC Customers by plan'!Q5&lt;1))),0,IF(IF(IF(ISERROR('RC Customers by plan'!Q5=1),'RC Customers by plan'!Q5=1,IF('RC Customers by plan'!Q5="","",'RC Customers by plan'!Q5=1))="",FALSE,IF(ISERROR('RC Customers by plan'!Q5=1),'RC Customers by plan'!Q5=1,IF('RC Customers by plan'!Q5="","",'RC Customers by plan'!Q5=1))),IF('Model inputs'!AG71="","",'Model inputs'!AG71),'RC Customers by plan'!P13*(1+IF(IF(IF(IF(ISERROR('RC Customers by plan'!Q5&lt;=8),'RC Customers by plan'!Q5&lt;=8,IF('RC Customers by plan'!Q5="","",'RC Customers by plan'!Q5&lt;=8))="",FALSE,IF(ISERROR('RC Customers by plan'!Q5&lt;=8),'RC Customers by plan'!Q5&lt;=8,IF('RC Customers by plan'!Q5="","",'RC Customers by plan'!Q5&lt;=8))),IF('Model inputs'!AG52="","",'Model inputs'!AG52),IF('Model inputs'!AG48="","",'Model inputs'!AG48))="",0,IF(IF(IF(ISERROR('RC Customers by plan'!Q5&lt;=8),'RC Customers by plan'!Q5&lt;=8,IF('RC Customers by plan'!Q5="","",'RC Customers by plan'!Q5&lt;=8))="",FALSE,IF(ISERROR('RC Customers by plan'!Q5&lt;=8),'RC Customers by plan'!Q5&lt;=8,IF('RC Customers by plan'!Q5="","",'RC Customers by plan'!Q5&lt;=8))),IF('Model inputs'!AG52="","",'Model inputs'!AG52),IF('Model inputs'!AG48="","",'Model inputs'!AG48))))))</f>
        <v>7.693136281890925</v>
      </c>
      <c r="R13" s="10">
        <f>IF(IF(IF(ISERROR('RC Customers by plan'!R5&lt;1),'RC Customers by plan'!R5&lt;1,IF('RC Customers by plan'!R5="","",'RC Customers by plan'!R5&lt;1))="",FALSE,IF(ISERROR('RC Customers by plan'!R5&lt;1),'RC Customers by plan'!R5&lt;1,IF('RC Customers by plan'!R5="","",'RC Customers by plan'!R5&lt;1))),0,IF(IF(IF(ISERROR('RC Customers by plan'!R5=1),'RC Customers by plan'!R5=1,IF('RC Customers by plan'!R5="","",'RC Customers by plan'!R5=1))="",FALSE,IF(ISERROR('RC Customers by plan'!R5=1),'RC Customers by plan'!R5=1,IF('RC Customers by plan'!R5="","",'RC Customers by plan'!R5=1))),IF('Model inputs'!AG71="","",'Model inputs'!AG71),'RC Customers by plan'!Q13*(1+IF(IF(IF(IF(ISERROR('RC Customers by plan'!R5&lt;=8),'RC Customers by plan'!R5&lt;=8,IF('RC Customers by plan'!R5="","",'RC Customers by plan'!R5&lt;=8))="",FALSE,IF(ISERROR('RC Customers by plan'!R5&lt;=8),'RC Customers by plan'!R5&lt;=8,IF('RC Customers by plan'!R5="","",'RC Customers by plan'!R5&lt;=8))),IF('Model inputs'!AG52="","",'Model inputs'!AG52),IF('Model inputs'!AG48="","",'Model inputs'!AG48))="",0,IF(IF(IF(ISERROR('RC Customers by plan'!R5&lt;=8),'RC Customers by plan'!R5&lt;=8,IF('RC Customers by plan'!R5="","",'RC Customers by plan'!R5&lt;=8))="",FALSE,IF(ISERROR('RC Customers by plan'!R5&lt;=8),'RC Customers by plan'!R5&lt;=8,IF('RC Customers by plan'!R5="","",'RC Customers by plan'!R5&lt;=8))),IF('Model inputs'!AG52="","",'Model inputs'!AG52),IF('Model inputs'!AG48="","",'Model inputs'!AG48))))))</f>
        <v>8.000861733166563</v>
      </c>
      <c r="S13" s="10">
        <f>IF(IF(IF(ISERROR('RC Customers by plan'!S5&lt;1),'RC Customers by plan'!S5&lt;1,IF('RC Customers by plan'!S5="","",'RC Customers by plan'!S5&lt;1))="",FALSE,IF(ISERROR('RC Customers by plan'!S5&lt;1),'RC Customers by plan'!S5&lt;1,IF('RC Customers by plan'!S5="","",'RC Customers by plan'!S5&lt;1))),0,IF(IF(IF(ISERROR('RC Customers by plan'!S5=1),'RC Customers by plan'!S5=1,IF('RC Customers by plan'!S5="","",'RC Customers by plan'!S5=1))="",FALSE,IF(ISERROR('RC Customers by plan'!S5=1),'RC Customers by plan'!S5=1,IF('RC Customers by plan'!S5="","",'RC Customers by plan'!S5=1))),IF('Model inputs'!AG71="","",'Model inputs'!AG71),'RC Customers by plan'!R13*(1+IF(IF(IF(IF(ISERROR('RC Customers by plan'!S5&lt;=8),'RC Customers by plan'!S5&lt;=8,IF('RC Customers by plan'!S5="","",'RC Customers by plan'!S5&lt;=8))="",FALSE,IF(ISERROR('RC Customers by plan'!S5&lt;=8),'RC Customers by plan'!S5&lt;=8,IF('RC Customers by plan'!S5="","",'RC Customers by plan'!S5&lt;=8))),IF('Model inputs'!AG52="","",'Model inputs'!AG52),IF('Model inputs'!AG48="","",'Model inputs'!AG48))="",0,IF(IF(IF(ISERROR('RC Customers by plan'!S5&lt;=8),'RC Customers by plan'!S5&lt;=8,IF('RC Customers by plan'!S5="","",'RC Customers by plan'!S5&lt;=8))="",FALSE,IF(ISERROR('RC Customers by plan'!S5&lt;=8),'RC Customers by plan'!S5&lt;=8,IF('RC Customers by plan'!S5="","",'RC Customers by plan'!S5&lt;=8))),IF('Model inputs'!AG52="","",'Model inputs'!AG52),IF('Model inputs'!AG48="","",'Model inputs'!AG48))))))</f>
        <v>8.320896202493225</v>
      </c>
    </row>
    <row r="14">
      <c r="A14" t="inlineStr" s="6">
        <is>
          <t xml:space="preserve">Waitlist new logos</t>
        </is>
      </c>
      <c r="B14" s="8">
        <f>SUM('RC Customers by plan'!B15,'RC Customers by plan'!B16,'RC Customers by plan'!B17)</f>
        <v>0</v>
      </c>
      <c r="C14" s="8">
        <f>SUM('RC Customers by plan'!C15,'RC Customers by plan'!C16,'RC Customers by plan'!C17)</f>
        <v>12</v>
      </c>
      <c r="D14" s="8">
        <f>SUM('RC Customers by plan'!D15,'RC Customers by plan'!D16,'RC Customers by plan'!D17)</f>
        <v>0</v>
      </c>
      <c r="E14" s="8">
        <f>SUM('RC Customers by plan'!E15,'RC Customers by plan'!E16,'RC Customers by plan'!E17)</f>
        <v>0</v>
      </c>
      <c r="F14" s="8">
        <f>SUM('RC Customers by plan'!F15,'RC Customers by plan'!F16,'RC Customers by plan'!F17)</f>
        <v>0</v>
      </c>
      <c r="G14" s="8">
        <f>SUM('RC Customers by plan'!G15,'RC Customers by plan'!G16,'RC Customers by plan'!G17)</f>
        <v>0</v>
      </c>
      <c r="H14" s="8">
        <f>SUM('RC Customers by plan'!H15,'RC Customers by plan'!H16,'RC Customers by plan'!H17)</f>
        <v>0</v>
      </c>
      <c r="I14" s="8">
        <f>SUM('RC Customers by plan'!I15,'RC Customers by plan'!I16,'RC Customers by plan'!I17)</f>
        <v>0</v>
      </c>
      <c r="J14" s="8">
        <f>SUM('RC Customers by plan'!J15,'RC Customers by plan'!J16,'RC Customers by plan'!J17)</f>
        <v>0</v>
      </c>
      <c r="K14" s="8">
        <f>SUM('RC Customers by plan'!K15,'RC Customers by plan'!K16,'RC Customers by plan'!K17)</f>
        <v>0</v>
      </c>
      <c r="L14" s="8">
        <f>SUM('RC Customers by plan'!L15,'RC Customers by plan'!L16,'RC Customers by plan'!L17)</f>
        <v>0</v>
      </c>
      <c r="M14" s="8">
        <f>SUM('RC Customers by plan'!M15,'RC Customers by plan'!M16,'RC Customers by plan'!M17)</f>
        <v>0</v>
      </c>
      <c r="N14" s="8">
        <f>SUM('RC Customers by plan'!N15,'RC Customers by plan'!N16,'RC Customers by plan'!N17)</f>
        <v>0</v>
      </c>
      <c r="O14" s="8">
        <f>SUM('RC Customers by plan'!O15,'RC Customers by plan'!O16,'RC Customers by plan'!O17)</f>
        <v>0</v>
      </c>
      <c r="P14" s="8">
        <f>SUM('RC Customers by plan'!P15,'RC Customers by plan'!P16,'RC Customers by plan'!P17)</f>
        <v>0</v>
      </c>
      <c r="Q14" s="8">
        <f>SUM('RC Customers by plan'!Q15,'RC Customers by plan'!Q16,'RC Customers by plan'!Q17)</f>
        <v>0</v>
      </c>
      <c r="R14" s="8">
        <f>SUM('RC Customers by plan'!R15,'RC Customers by plan'!R16,'RC Customers by plan'!R17)</f>
        <v>0</v>
      </c>
      <c r="S14" s="8">
        <f>SUM('RC Customers by plan'!S15,'RC Customers by plan'!S16,'RC Customers by plan'!S17)</f>
        <v>0</v>
      </c>
    </row>
    <row r="15" outlineLevel="1">
      <c r="A15" t="inlineStr" s="9">
        <is>
          <t xml:space="preserve">Indie</t>
        </is>
      </c>
      <c r="B15" s="10">
        <f>IF(IF(IF(ISERROR('RC Customers by plan'!B5=1),'RC Customers by plan'!B5=1,IF('RC Customers by plan'!B5="","",'RC Customers by plan'!B5=1))="",FALSE,IF(ISERROR('RC Customers by plan'!B5=1),'RC Customers by plan'!B5=1,IF('RC Customers by plan'!B5="","",'RC Customers by plan'!B5=1))),IF('Model inputs'!AG98="","",'Model inputs'!AG98),0)</f>
        <v>0</v>
      </c>
      <c r="C15" s="10">
        <f>IF(IF(IF(ISERROR('RC Customers by plan'!C5=1),'RC Customers by plan'!C5=1,IF('RC Customers by plan'!C5="","",'RC Customers by plan'!C5=1))="",FALSE,IF(ISERROR('RC Customers by plan'!C5=1),'RC Customers by plan'!C5=1,IF('RC Customers by plan'!C5="","",'RC Customers by plan'!C5=1))),IF('Model inputs'!AG98="","",'Model inputs'!AG98),0)</f>
        <v>12</v>
      </c>
      <c r="D15" s="10">
        <f>IF(IF(IF(ISERROR('RC Customers by plan'!D5=1),'RC Customers by plan'!D5=1,IF('RC Customers by plan'!D5="","",'RC Customers by plan'!D5=1))="",FALSE,IF(ISERROR('RC Customers by plan'!D5=1),'RC Customers by plan'!D5=1,IF('RC Customers by plan'!D5="","",'RC Customers by plan'!D5=1))),IF('Model inputs'!AG98="","",'Model inputs'!AG98),0)</f>
        <v>0</v>
      </c>
      <c r="E15" s="10">
        <f>IF(IF(IF(ISERROR('RC Customers by plan'!E5=1),'RC Customers by plan'!E5=1,IF('RC Customers by plan'!E5="","",'RC Customers by plan'!E5=1))="",FALSE,IF(ISERROR('RC Customers by plan'!E5=1),'RC Customers by plan'!E5=1,IF('RC Customers by plan'!E5="","",'RC Customers by plan'!E5=1))),IF('Model inputs'!AG98="","",'Model inputs'!AG98),0)</f>
        <v>0</v>
      </c>
      <c r="F15" s="10">
        <f>IF(IF(IF(ISERROR('RC Customers by plan'!F5=1),'RC Customers by plan'!F5=1,IF('RC Customers by plan'!F5="","",'RC Customers by plan'!F5=1))="",FALSE,IF(ISERROR('RC Customers by plan'!F5=1),'RC Customers by plan'!F5=1,IF('RC Customers by plan'!F5="","",'RC Customers by plan'!F5=1))),IF('Model inputs'!AG98="","",'Model inputs'!AG98),0)</f>
        <v>0</v>
      </c>
      <c r="G15" s="10">
        <f>IF(IF(IF(ISERROR('RC Customers by plan'!G5=1),'RC Customers by plan'!G5=1,IF('RC Customers by plan'!G5="","",'RC Customers by plan'!G5=1))="",FALSE,IF(ISERROR('RC Customers by plan'!G5=1),'RC Customers by plan'!G5=1,IF('RC Customers by plan'!G5="","",'RC Customers by plan'!G5=1))),IF('Model inputs'!AG98="","",'Model inputs'!AG98),0)</f>
        <v>0</v>
      </c>
      <c r="H15" s="10">
        <f>IF(IF(IF(ISERROR('RC Customers by plan'!H5=1),'RC Customers by plan'!H5=1,IF('RC Customers by plan'!H5="","",'RC Customers by plan'!H5=1))="",FALSE,IF(ISERROR('RC Customers by plan'!H5=1),'RC Customers by plan'!H5=1,IF('RC Customers by plan'!H5="","",'RC Customers by plan'!H5=1))),IF('Model inputs'!AG98="","",'Model inputs'!AG98),0)</f>
        <v>0</v>
      </c>
      <c r="I15" s="10">
        <f>IF(IF(IF(ISERROR('RC Customers by plan'!I5=1),'RC Customers by plan'!I5=1,IF('RC Customers by plan'!I5="","",'RC Customers by plan'!I5=1))="",FALSE,IF(ISERROR('RC Customers by plan'!I5=1),'RC Customers by plan'!I5=1,IF('RC Customers by plan'!I5="","",'RC Customers by plan'!I5=1))),IF('Model inputs'!AG98="","",'Model inputs'!AG98),0)</f>
        <v>0</v>
      </c>
      <c r="J15" s="10">
        <f>IF(IF(IF(ISERROR('RC Customers by plan'!J5=1),'RC Customers by plan'!J5=1,IF('RC Customers by plan'!J5="","",'RC Customers by plan'!J5=1))="",FALSE,IF(ISERROR('RC Customers by plan'!J5=1),'RC Customers by plan'!J5=1,IF('RC Customers by plan'!J5="","",'RC Customers by plan'!J5=1))),IF('Model inputs'!AG98="","",'Model inputs'!AG98),0)</f>
        <v>0</v>
      </c>
      <c r="K15" s="10">
        <f>IF(IF(IF(ISERROR('RC Customers by plan'!K5=1),'RC Customers by plan'!K5=1,IF('RC Customers by plan'!K5="","",'RC Customers by plan'!K5=1))="",FALSE,IF(ISERROR('RC Customers by plan'!K5=1),'RC Customers by plan'!K5=1,IF('RC Customers by plan'!K5="","",'RC Customers by plan'!K5=1))),IF('Model inputs'!AG98="","",'Model inputs'!AG98),0)</f>
        <v>0</v>
      </c>
      <c r="L15" s="10">
        <f>IF(IF(IF(ISERROR('RC Customers by plan'!L5=1),'RC Customers by plan'!L5=1,IF('RC Customers by plan'!L5="","",'RC Customers by plan'!L5=1))="",FALSE,IF(ISERROR('RC Customers by plan'!L5=1),'RC Customers by plan'!L5=1,IF('RC Customers by plan'!L5="","",'RC Customers by plan'!L5=1))),IF('Model inputs'!AG98="","",'Model inputs'!AG98),0)</f>
        <v>0</v>
      </c>
      <c r="M15" s="10">
        <f>IF(IF(IF(ISERROR('RC Customers by plan'!M5=1),'RC Customers by plan'!M5=1,IF('RC Customers by plan'!M5="","",'RC Customers by plan'!M5=1))="",FALSE,IF(ISERROR('RC Customers by plan'!M5=1),'RC Customers by plan'!M5=1,IF('RC Customers by plan'!M5="","",'RC Customers by plan'!M5=1))),IF('Model inputs'!AG98="","",'Model inputs'!AG98),0)</f>
        <v>0</v>
      </c>
      <c r="N15" s="10">
        <f>IF(IF(IF(ISERROR('RC Customers by plan'!N5=1),'RC Customers by plan'!N5=1,IF('RC Customers by plan'!N5="","",'RC Customers by plan'!N5=1))="",FALSE,IF(ISERROR('RC Customers by plan'!N5=1),'RC Customers by plan'!N5=1,IF('RC Customers by plan'!N5="","",'RC Customers by plan'!N5=1))),IF('Model inputs'!AG98="","",'Model inputs'!AG98),0)</f>
        <v>0</v>
      </c>
      <c r="O15" s="10">
        <f>IF(IF(IF(ISERROR('RC Customers by plan'!O5=1),'RC Customers by plan'!O5=1,IF('RC Customers by plan'!O5="","",'RC Customers by plan'!O5=1))="",FALSE,IF(ISERROR('RC Customers by plan'!O5=1),'RC Customers by plan'!O5=1,IF('RC Customers by plan'!O5="","",'RC Customers by plan'!O5=1))),IF('Model inputs'!AG98="","",'Model inputs'!AG98),0)</f>
        <v>0</v>
      </c>
      <c r="P15" s="10">
        <f>IF(IF(IF(ISERROR('RC Customers by plan'!P5=1),'RC Customers by plan'!P5=1,IF('RC Customers by plan'!P5="","",'RC Customers by plan'!P5=1))="",FALSE,IF(ISERROR('RC Customers by plan'!P5=1),'RC Customers by plan'!P5=1,IF('RC Customers by plan'!P5="","",'RC Customers by plan'!P5=1))),IF('Model inputs'!AG98="","",'Model inputs'!AG98),0)</f>
        <v>0</v>
      </c>
      <c r="Q15" s="10">
        <f>IF(IF(IF(ISERROR('RC Customers by plan'!Q5=1),'RC Customers by plan'!Q5=1,IF('RC Customers by plan'!Q5="","",'RC Customers by plan'!Q5=1))="",FALSE,IF(ISERROR('RC Customers by plan'!Q5=1),'RC Customers by plan'!Q5=1,IF('RC Customers by plan'!Q5="","",'RC Customers by plan'!Q5=1))),IF('Model inputs'!AG98="","",'Model inputs'!AG98),0)</f>
        <v>0</v>
      </c>
      <c r="R15" s="10">
        <f>IF(IF(IF(ISERROR('RC Customers by plan'!R5=1),'RC Customers by plan'!R5=1,IF('RC Customers by plan'!R5="","",'RC Customers by plan'!R5=1))="",FALSE,IF(ISERROR('RC Customers by plan'!R5=1),'RC Customers by plan'!R5=1,IF('RC Customers by plan'!R5="","",'RC Customers by plan'!R5=1))),IF('Model inputs'!AG98="","",'Model inputs'!AG98),0)</f>
        <v>0</v>
      </c>
      <c r="S15" s="10">
        <f>IF(IF(IF(ISERROR('RC Customers by plan'!S5=1),'RC Customers by plan'!S5=1,IF('RC Customers by plan'!S5="","",'RC Customers by plan'!S5=1))="",FALSE,IF(ISERROR('RC Customers by plan'!S5=1),'RC Customers by plan'!S5=1,IF('RC Customers by plan'!S5="","",'RC Customers by plan'!S5=1))),IF('Model inputs'!AG98="","",'Model inputs'!AG98),0)</f>
        <v>0</v>
      </c>
    </row>
    <row r="16" outlineLevel="1">
      <c r="A16" t="inlineStr" s="9">
        <is>
          <t xml:space="preserve">Launch</t>
        </is>
      </c>
      <c r="B16" s="10">
        <f>IF(IF(IF(ISERROR('RC Customers by plan'!B5=1),'RC Customers by plan'!B5=1,IF('RC Customers by plan'!B5="","",'RC Customers by plan'!B5=1))="",FALSE,IF(ISERROR('RC Customers by plan'!B5=1),'RC Customers by plan'!B5=1,IF('RC Customers by plan'!B5="","",'RC Customers by plan'!B5=1))),IF('Model inputs'!AG99="","",'Model inputs'!AG99),0)</f>
        <v>0</v>
      </c>
      <c r="C16" s="10">
        <f>IF(IF(IF(ISERROR('RC Customers by plan'!C5=1),'RC Customers by plan'!C5=1,IF('RC Customers by plan'!C5="","",'RC Customers by plan'!C5=1))="",FALSE,IF(ISERROR('RC Customers by plan'!C5=1),'RC Customers by plan'!C5=1,IF('RC Customers by plan'!C5="","",'RC Customers by plan'!C5=1))),IF('Model inputs'!AG99="","",'Model inputs'!AG99),0)</f>
        <v>0</v>
      </c>
      <c r="D16" s="10">
        <f>IF(IF(IF(ISERROR('RC Customers by plan'!D5=1),'RC Customers by plan'!D5=1,IF('RC Customers by plan'!D5="","",'RC Customers by plan'!D5=1))="",FALSE,IF(ISERROR('RC Customers by plan'!D5=1),'RC Customers by plan'!D5=1,IF('RC Customers by plan'!D5="","",'RC Customers by plan'!D5=1))),IF('Model inputs'!AG99="","",'Model inputs'!AG99),0)</f>
        <v>0</v>
      </c>
      <c r="E16" s="10">
        <f>IF(IF(IF(ISERROR('RC Customers by plan'!E5=1),'RC Customers by plan'!E5=1,IF('RC Customers by plan'!E5="","",'RC Customers by plan'!E5=1))="",FALSE,IF(ISERROR('RC Customers by plan'!E5=1),'RC Customers by plan'!E5=1,IF('RC Customers by plan'!E5="","",'RC Customers by plan'!E5=1))),IF('Model inputs'!AG99="","",'Model inputs'!AG99),0)</f>
        <v>0</v>
      </c>
      <c r="F16" s="10">
        <f>IF(IF(IF(ISERROR('RC Customers by plan'!F5=1),'RC Customers by plan'!F5=1,IF('RC Customers by plan'!F5="","",'RC Customers by plan'!F5=1))="",FALSE,IF(ISERROR('RC Customers by plan'!F5=1),'RC Customers by plan'!F5=1,IF('RC Customers by plan'!F5="","",'RC Customers by plan'!F5=1))),IF('Model inputs'!AG99="","",'Model inputs'!AG99),0)</f>
        <v>0</v>
      </c>
      <c r="G16" s="10">
        <f>IF(IF(IF(ISERROR('RC Customers by plan'!G5=1),'RC Customers by plan'!G5=1,IF('RC Customers by plan'!G5="","",'RC Customers by plan'!G5=1))="",FALSE,IF(ISERROR('RC Customers by plan'!G5=1),'RC Customers by plan'!G5=1,IF('RC Customers by plan'!G5="","",'RC Customers by plan'!G5=1))),IF('Model inputs'!AG99="","",'Model inputs'!AG99),0)</f>
        <v>0</v>
      </c>
      <c r="H16" s="10">
        <f>IF(IF(IF(ISERROR('RC Customers by plan'!H5=1),'RC Customers by plan'!H5=1,IF('RC Customers by plan'!H5="","",'RC Customers by plan'!H5=1))="",FALSE,IF(ISERROR('RC Customers by plan'!H5=1),'RC Customers by plan'!H5=1,IF('RC Customers by plan'!H5="","",'RC Customers by plan'!H5=1))),IF('Model inputs'!AG99="","",'Model inputs'!AG99),0)</f>
        <v>0</v>
      </c>
      <c r="I16" s="10">
        <f>IF(IF(IF(ISERROR('RC Customers by plan'!I5=1),'RC Customers by plan'!I5=1,IF('RC Customers by plan'!I5="","",'RC Customers by plan'!I5=1))="",FALSE,IF(ISERROR('RC Customers by plan'!I5=1),'RC Customers by plan'!I5=1,IF('RC Customers by plan'!I5="","",'RC Customers by plan'!I5=1))),IF('Model inputs'!AG99="","",'Model inputs'!AG99),0)</f>
        <v>0</v>
      </c>
      <c r="J16" s="10">
        <f>IF(IF(IF(ISERROR('RC Customers by plan'!J5=1),'RC Customers by plan'!J5=1,IF('RC Customers by plan'!J5="","",'RC Customers by plan'!J5=1))="",FALSE,IF(ISERROR('RC Customers by plan'!J5=1),'RC Customers by plan'!J5=1,IF('RC Customers by plan'!J5="","",'RC Customers by plan'!J5=1))),IF('Model inputs'!AG99="","",'Model inputs'!AG99),0)</f>
        <v>0</v>
      </c>
      <c r="K16" s="10">
        <f>IF(IF(IF(ISERROR('RC Customers by plan'!K5=1),'RC Customers by plan'!K5=1,IF('RC Customers by plan'!K5="","",'RC Customers by plan'!K5=1))="",FALSE,IF(ISERROR('RC Customers by plan'!K5=1),'RC Customers by plan'!K5=1,IF('RC Customers by plan'!K5="","",'RC Customers by plan'!K5=1))),IF('Model inputs'!AG99="","",'Model inputs'!AG99),0)</f>
        <v>0</v>
      </c>
      <c r="L16" s="10">
        <f>IF(IF(IF(ISERROR('RC Customers by plan'!L5=1),'RC Customers by plan'!L5=1,IF('RC Customers by plan'!L5="","",'RC Customers by plan'!L5=1))="",FALSE,IF(ISERROR('RC Customers by plan'!L5=1),'RC Customers by plan'!L5=1,IF('RC Customers by plan'!L5="","",'RC Customers by plan'!L5=1))),IF('Model inputs'!AG99="","",'Model inputs'!AG99),0)</f>
        <v>0</v>
      </c>
      <c r="M16" s="10">
        <f>IF(IF(IF(ISERROR('RC Customers by plan'!M5=1),'RC Customers by plan'!M5=1,IF('RC Customers by plan'!M5="","",'RC Customers by plan'!M5=1))="",FALSE,IF(ISERROR('RC Customers by plan'!M5=1),'RC Customers by plan'!M5=1,IF('RC Customers by plan'!M5="","",'RC Customers by plan'!M5=1))),IF('Model inputs'!AG99="","",'Model inputs'!AG99),0)</f>
        <v>0</v>
      </c>
      <c r="N16" s="10">
        <f>IF(IF(IF(ISERROR('RC Customers by plan'!N5=1),'RC Customers by plan'!N5=1,IF('RC Customers by plan'!N5="","",'RC Customers by plan'!N5=1))="",FALSE,IF(ISERROR('RC Customers by plan'!N5=1),'RC Customers by plan'!N5=1,IF('RC Customers by plan'!N5="","",'RC Customers by plan'!N5=1))),IF('Model inputs'!AG99="","",'Model inputs'!AG99),0)</f>
        <v>0</v>
      </c>
      <c r="O16" s="10">
        <f>IF(IF(IF(ISERROR('RC Customers by plan'!O5=1),'RC Customers by plan'!O5=1,IF('RC Customers by plan'!O5="","",'RC Customers by plan'!O5=1))="",FALSE,IF(ISERROR('RC Customers by plan'!O5=1),'RC Customers by plan'!O5=1,IF('RC Customers by plan'!O5="","",'RC Customers by plan'!O5=1))),IF('Model inputs'!AG99="","",'Model inputs'!AG99),0)</f>
        <v>0</v>
      </c>
      <c r="P16" s="10">
        <f>IF(IF(IF(ISERROR('RC Customers by plan'!P5=1),'RC Customers by plan'!P5=1,IF('RC Customers by plan'!P5="","",'RC Customers by plan'!P5=1))="",FALSE,IF(ISERROR('RC Customers by plan'!P5=1),'RC Customers by plan'!P5=1,IF('RC Customers by plan'!P5="","",'RC Customers by plan'!P5=1))),IF('Model inputs'!AG99="","",'Model inputs'!AG99),0)</f>
        <v>0</v>
      </c>
      <c r="Q16" s="10">
        <f>IF(IF(IF(ISERROR('RC Customers by plan'!Q5=1),'RC Customers by plan'!Q5=1,IF('RC Customers by plan'!Q5="","",'RC Customers by plan'!Q5=1))="",FALSE,IF(ISERROR('RC Customers by plan'!Q5=1),'RC Customers by plan'!Q5=1,IF('RC Customers by plan'!Q5="","",'RC Customers by plan'!Q5=1))),IF('Model inputs'!AG99="","",'Model inputs'!AG99),0)</f>
        <v>0</v>
      </c>
      <c r="R16" s="10">
        <f>IF(IF(IF(ISERROR('RC Customers by plan'!R5=1),'RC Customers by plan'!R5=1,IF('RC Customers by plan'!R5="","",'RC Customers by plan'!R5=1))="",FALSE,IF(ISERROR('RC Customers by plan'!R5=1),'RC Customers by plan'!R5=1,IF('RC Customers by plan'!R5="","",'RC Customers by plan'!R5=1))),IF('Model inputs'!AG99="","",'Model inputs'!AG99),0)</f>
        <v>0</v>
      </c>
      <c r="S16" s="10">
        <f>IF(IF(IF(ISERROR('RC Customers by plan'!S5=1),'RC Customers by plan'!S5=1,IF('RC Customers by plan'!S5="","",'RC Customers by plan'!S5=1))="",FALSE,IF(ISERROR('RC Customers by plan'!S5=1),'RC Customers by plan'!S5=1,IF('RC Customers by plan'!S5="","",'RC Customers by plan'!S5=1))),IF('Model inputs'!AG99="","",'Model inputs'!AG99),0)</f>
        <v>0</v>
      </c>
    </row>
    <row r="17" outlineLevel="1">
      <c r="A17" t="inlineStr" s="9">
        <is>
          <t xml:space="preserve">Team</t>
        </is>
      </c>
      <c r="B17" s="10">
        <f>IF(IF(IF(ISERROR('RC Customers by plan'!B5=1),'RC Customers by plan'!B5=1,IF('RC Customers by plan'!B5="","",'RC Customers by plan'!B5=1))="",FALSE,IF(ISERROR('RC Customers by plan'!B5=1),'RC Customers by plan'!B5=1,IF('RC Customers by plan'!B5="","",'RC Customers by plan'!B5=1))),IF('Model inputs'!AG100="","",'Model inputs'!AG100),0)</f>
        <v>0</v>
      </c>
      <c r="C17" s="10">
        <f>IF(IF(IF(ISERROR('RC Customers by plan'!C5=1),'RC Customers by plan'!C5=1,IF('RC Customers by plan'!C5="","",'RC Customers by plan'!C5=1))="",FALSE,IF(ISERROR('RC Customers by plan'!C5=1),'RC Customers by plan'!C5=1,IF('RC Customers by plan'!C5="","",'RC Customers by plan'!C5=1))),IF('Model inputs'!AG100="","",'Model inputs'!AG100),0)</f>
        <v>0</v>
      </c>
      <c r="D17" s="10">
        <f>IF(IF(IF(ISERROR('RC Customers by plan'!D5=1),'RC Customers by plan'!D5=1,IF('RC Customers by plan'!D5="","",'RC Customers by plan'!D5=1))="",FALSE,IF(ISERROR('RC Customers by plan'!D5=1),'RC Customers by plan'!D5=1,IF('RC Customers by plan'!D5="","",'RC Customers by plan'!D5=1))),IF('Model inputs'!AG100="","",'Model inputs'!AG100),0)</f>
        <v>0</v>
      </c>
      <c r="E17" s="10">
        <f>IF(IF(IF(ISERROR('RC Customers by plan'!E5=1),'RC Customers by plan'!E5=1,IF('RC Customers by plan'!E5="","",'RC Customers by plan'!E5=1))="",FALSE,IF(ISERROR('RC Customers by plan'!E5=1),'RC Customers by plan'!E5=1,IF('RC Customers by plan'!E5="","",'RC Customers by plan'!E5=1))),IF('Model inputs'!AG100="","",'Model inputs'!AG100),0)</f>
        <v>0</v>
      </c>
      <c r="F17" s="10">
        <f>IF(IF(IF(ISERROR('RC Customers by plan'!F5=1),'RC Customers by plan'!F5=1,IF('RC Customers by plan'!F5="","",'RC Customers by plan'!F5=1))="",FALSE,IF(ISERROR('RC Customers by plan'!F5=1),'RC Customers by plan'!F5=1,IF('RC Customers by plan'!F5="","",'RC Customers by plan'!F5=1))),IF('Model inputs'!AG100="","",'Model inputs'!AG100),0)</f>
        <v>0</v>
      </c>
      <c r="G17" s="10">
        <f>IF(IF(IF(ISERROR('RC Customers by plan'!G5=1),'RC Customers by plan'!G5=1,IF('RC Customers by plan'!G5="","",'RC Customers by plan'!G5=1))="",FALSE,IF(ISERROR('RC Customers by plan'!G5=1),'RC Customers by plan'!G5=1,IF('RC Customers by plan'!G5="","",'RC Customers by plan'!G5=1))),IF('Model inputs'!AG100="","",'Model inputs'!AG100),0)</f>
        <v>0</v>
      </c>
      <c r="H17" s="10">
        <f>IF(IF(IF(ISERROR('RC Customers by plan'!H5=1),'RC Customers by plan'!H5=1,IF('RC Customers by plan'!H5="","",'RC Customers by plan'!H5=1))="",FALSE,IF(ISERROR('RC Customers by plan'!H5=1),'RC Customers by plan'!H5=1,IF('RC Customers by plan'!H5="","",'RC Customers by plan'!H5=1))),IF('Model inputs'!AG100="","",'Model inputs'!AG100),0)</f>
        <v>0</v>
      </c>
      <c r="I17" s="10">
        <f>IF(IF(IF(ISERROR('RC Customers by plan'!I5=1),'RC Customers by plan'!I5=1,IF('RC Customers by plan'!I5="","",'RC Customers by plan'!I5=1))="",FALSE,IF(ISERROR('RC Customers by plan'!I5=1),'RC Customers by plan'!I5=1,IF('RC Customers by plan'!I5="","",'RC Customers by plan'!I5=1))),IF('Model inputs'!AG100="","",'Model inputs'!AG100),0)</f>
        <v>0</v>
      </c>
      <c r="J17" s="10">
        <f>IF(IF(IF(ISERROR('RC Customers by plan'!J5=1),'RC Customers by plan'!J5=1,IF('RC Customers by plan'!J5="","",'RC Customers by plan'!J5=1))="",FALSE,IF(ISERROR('RC Customers by plan'!J5=1),'RC Customers by plan'!J5=1,IF('RC Customers by plan'!J5="","",'RC Customers by plan'!J5=1))),IF('Model inputs'!AG100="","",'Model inputs'!AG100),0)</f>
        <v>0</v>
      </c>
      <c r="K17" s="10">
        <f>IF(IF(IF(ISERROR('RC Customers by plan'!K5=1),'RC Customers by plan'!K5=1,IF('RC Customers by plan'!K5="","",'RC Customers by plan'!K5=1))="",FALSE,IF(ISERROR('RC Customers by plan'!K5=1),'RC Customers by plan'!K5=1,IF('RC Customers by plan'!K5="","",'RC Customers by plan'!K5=1))),IF('Model inputs'!AG100="","",'Model inputs'!AG100),0)</f>
        <v>0</v>
      </c>
      <c r="L17" s="10">
        <f>IF(IF(IF(ISERROR('RC Customers by plan'!L5=1),'RC Customers by plan'!L5=1,IF('RC Customers by plan'!L5="","",'RC Customers by plan'!L5=1))="",FALSE,IF(ISERROR('RC Customers by plan'!L5=1),'RC Customers by plan'!L5=1,IF('RC Customers by plan'!L5="","",'RC Customers by plan'!L5=1))),IF('Model inputs'!AG100="","",'Model inputs'!AG100),0)</f>
        <v>0</v>
      </c>
      <c r="M17" s="10">
        <f>IF(IF(IF(ISERROR('RC Customers by plan'!M5=1),'RC Customers by plan'!M5=1,IF('RC Customers by plan'!M5="","",'RC Customers by plan'!M5=1))="",FALSE,IF(ISERROR('RC Customers by plan'!M5=1),'RC Customers by plan'!M5=1,IF('RC Customers by plan'!M5="","",'RC Customers by plan'!M5=1))),IF('Model inputs'!AG100="","",'Model inputs'!AG100),0)</f>
        <v>0</v>
      </c>
      <c r="N17" s="10">
        <f>IF(IF(IF(ISERROR('RC Customers by plan'!N5=1),'RC Customers by plan'!N5=1,IF('RC Customers by plan'!N5="","",'RC Customers by plan'!N5=1))="",FALSE,IF(ISERROR('RC Customers by plan'!N5=1),'RC Customers by plan'!N5=1,IF('RC Customers by plan'!N5="","",'RC Customers by plan'!N5=1))),IF('Model inputs'!AG100="","",'Model inputs'!AG100),0)</f>
        <v>0</v>
      </c>
      <c r="O17" s="10">
        <f>IF(IF(IF(ISERROR('RC Customers by plan'!O5=1),'RC Customers by plan'!O5=1,IF('RC Customers by plan'!O5="","",'RC Customers by plan'!O5=1))="",FALSE,IF(ISERROR('RC Customers by plan'!O5=1),'RC Customers by plan'!O5=1,IF('RC Customers by plan'!O5="","",'RC Customers by plan'!O5=1))),IF('Model inputs'!AG100="","",'Model inputs'!AG100),0)</f>
        <v>0</v>
      </c>
      <c r="P17" s="10">
        <f>IF(IF(IF(ISERROR('RC Customers by plan'!P5=1),'RC Customers by plan'!P5=1,IF('RC Customers by plan'!P5="","",'RC Customers by plan'!P5=1))="",FALSE,IF(ISERROR('RC Customers by plan'!P5=1),'RC Customers by plan'!P5=1,IF('RC Customers by plan'!P5="","",'RC Customers by plan'!P5=1))),IF('Model inputs'!AG100="","",'Model inputs'!AG100),0)</f>
        <v>0</v>
      </c>
      <c r="Q17" s="10">
        <f>IF(IF(IF(ISERROR('RC Customers by plan'!Q5=1),'RC Customers by plan'!Q5=1,IF('RC Customers by plan'!Q5="","",'RC Customers by plan'!Q5=1))="",FALSE,IF(ISERROR('RC Customers by plan'!Q5=1),'RC Customers by plan'!Q5=1,IF('RC Customers by plan'!Q5="","",'RC Customers by plan'!Q5=1))),IF('Model inputs'!AG100="","",'Model inputs'!AG100),0)</f>
        <v>0</v>
      </c>
      <c r="R17" s="10">
        <f>IF(IF(IF(ISERROR('RC Customers by plan'!R5=1),'RC Customers by plan'!R5=1,IF('RC Customers by plan'!R5="","",'RC Customers by plan'!R5=1))="",FALSE,IF(ISERROR('RC Customers by plan'!R5=1),'RC Customers by plan'!R5=1,IF('RC Customers by plan'!R5="","",'RC Customers by plan'!R5=1))),IF('Model inputs'!AG100="","",'Model inputs'!AG100),0)</f>
        <v>0</v>
      </c>
      <c r="S17" s="10">
        <f>IF(IF(IF(ISERROR('RC Customers by plan'!S5=1),'RC Customers by plan'!S5=1,IF('RC Customers by plan'!S5="","",'RC Customers by plan'!S5=1))="",FALSE,IF(ISERROR('RC Customers by plan'!S5=1),'RC Customers by plan'!S5=1,IF('RC Customers by plan'!S5="","",'RC Customers by plan'!S5=1))),IF('Model inputs'!AG100="","",'Model inputs'!AG100),0)</f>
        <v>0</v>
      </c>
    </row>
    <row r="18">
      <c r="A18" t="inlineStr" s="6">
        <is>
          <t xml:space="preserve">Upgrades in</t>
        </is>
      </c>
      <c r="B18" s="8">
        <f>SUM('RC Customers by plan'!B19,'RC Customers by plan'!B20,'RC Customers by plan'!B21)</f>
        <v>0</v>
      </c>
      <c r="C18" s="8">
        <f>SUM('RC Customers by plan'!C19,'RC Customers by plan'!C20,'RC Customers by plan'!C21)</f>
        <v>0.2916666666666667</v>
      </c>
      <c r="D18" s="8">
        <f>SUM('RC Customers by plan'!D19,'RC Customers by plan'!D20,'RC Customers by plan'!D21)</f>
        <v>0.5333125</v>
      </c>
      <c r="E18" s="8">
        <f>SUM('RC Customers by plan'!E19,'RC Customers by plan'!E20,'RC Customers by plan'!E21)</f>
        <v>0.6948002488425927</v>
      </c>
      <c r="F18" s="8">
        <f>SUM('RC Customers by plan'!F19,'RC Customers by plan'!F20,'RC Customers by plan'!F21)</f>
        <v>0.8623815489824461</v>
      </c>
      <c r="G18" s="8">
        <f>SUM('RC Customers by plan'!G19,'RC Customers by plan'!G20,'RC Customers by plan'!G21)</f>
        <v>1.0370073007913894</v>
      </c>
      <c r="H18" s="8">
        <f>SUM('RC Customers by plan'!H19,'RC Customers by plan'!H20,'RC Customers by plan'!H21)</f>
        <v>1.2196778790980267</v>
      </c>
      <c r="I18" s="8">
        <f>SUM('RC Customers by plan'!I19,'RC Customers by plan'!I20,'RC Customers by plan'!I21)</f>
        <v>1.4114491758402756</v>
      </c>
      <c r="J18" s="8">
        <f>SUM('RC Customers by plan'!J19,'RC Customers by plan'!J20,'RC Customers by plan'!J21)</f>
        <v>1.6134390223399573</v>
      </c>
      <c r="K18" s="8">
        <f>SUM('RC Customers by plan'!K19,'RC Customers by plan'!K20,'RC Customers by plan'!K21)</f>
        <v>1.8268340318695697</v>
      </c>
      <c r="L18" s="8">
        <f>SUM('RC Customers by plan'!L19,'RC Customers by plan'!L20,'RC Customers by plan'!L21)</f>
        <v>2.0400098731409044</v>
      </c>
      <c r="M18" s="8">
        <f>SUM('RC Customers by plan'!M19,'RC Customers by plan'!M20,'RC Customers by plan'!M21)</f>
        <v>2.2535015079062166</v>
      </c>
      <c r="N18" s="8">
        <f>SUM('RC Customers by plan'!N19,'RC Customers by plan'!N20,'RC Customers by plan'!N21)</f>
        <v>2.467830412305536</v>
      </c>
      <c r="O18" s="8">
        <f>SUM('RC Customers by plan'!O19,'RC Customers by plan'!O20,'RC Customers by plan'!O21)</f>
        <v>2.683506316427823</v>
      </c>
      <c r="P18" s="8">
        <f>SUM('RC Customers by plan'!P19,'RC Customers by plan'!P20,'RC Customers by plan'!P21)</f>
        <v>2.9010288631150405</v>
      </c>
      <c r="Q18" s="8">
        <f>SUM('RC Customers by plan'!Q19,'RC Customers by plan'!Q20,'RC Customers by plan'!Q21)</f>
        <v>3.12088919274707</v>
      </c>
      <c r="R18" s="8">
        <f>SUM('RC Customers by plan'!R19,'RC Customers by plan'!R20,'RC Customers by plan'!R21)</f>
        <v>3.3435714603522264</v>
      </c>
      <c r="S18" s="8">
        <f>SUM('RC Customers by plan'!S19,'RC Customers by plan'!S20,'RC Customers by plan'!S21)</f>
        <v>3.569554291023361</v>
      </c>
    </row>
    <row r="19" outlineLevel="1">
      <c r="A19" t="inlineStr" s="9">
        <is>
          <t xml:space="preserve">Indie</t>
        </is>
      </c>
      <c r="B19" s="10">
        <f>IF(EXACT("Indie","Team"),IF('RC Customers by plan'!B27="","",'RC Customers by plan'!B27),IF(EXACT("Indie","Launch"),IF('RC Customers by plan'!B29="","",'RC Customers by plan'!B29),0))</f>
        <v>0</v>
      </c>
      <c r="C19" s="10">
        <f>IF(EXACT("Indie","Team"),IF('RC Customers by plan'!C27="","",'RC Customers by plan'!C27),IF(EXACT("Indie","Launch"),IF('RC Customers by plan'!C29="","",'RC Customers by plan'!C29),0))</f>
        <v>0</v>
      </c>
      <c r="D19" s="10">
        <f>IF(EXACT("Indie","Team"),IF('RC Customers by plan'!D27="","",'RC Customers by plan'!D27),IF(EXACT("Indie","Launch"),IF('RC Customers by plan'!D29="","",'RC Customers by plan'!D29),0))</f>
        <v>0</v>
      </c>
      <c r="E19" s="10">
        <f>IF(EXACT("Indie","Team"),IF('RC Customers by plan'!E27="","",'RC Customers by plan'!E27),IF(EXACT("Indie","Launch"),IF('RC Customers by plan'!E29="","",'RC Customers by plan'!E29),0))</f>
        <v>0</v>
      </c>
      <c r="F19" s="10">
        <f>IF(EXACT("Indie","Team"),IF('RC Customers by plan'!F27="","",'RC Customers by plan'!F27),IF(EXACT("Indie","Launch"),IF('RC Customers by plan'!F29="","",'RC Customers by plan'!F29),0))</f>
        <v>0</v>
      </c>
      <c r="G19" s="10">
        <f>IF(EXACT("Indie","Team"),IF('RC Customers by plan'!G27="","",'RC Customers by plan'!G27),IF(EXACT("Indie","Launch"),IF('RC Customers by plan'!G29="","",'RC Customers by plan'!G29),0))</f>
        <v>0</v>
      </c>
      <c r="H19" s="10">
        <f>IF(EXACT("Indie","Team"),IF('RC Customers by plan'!H27="","",'RC Customers by plan'!H27),IF(EXACT("Indie","Launch"),IF('RC Customers by plan'!H29="","",'RC Customers by plan'!H29),0))</f>
        <v>0</v>
      </c>
      <c r="I19" s="10">
        <f>IF(EXACT("Indie","Team"),IF('RC Customers by plan'!I27="","",'RC Customers by plan'!I27),IF(EXACT("Indie","Launch"),IF('RC Customers by plan'!I29="","",'RC Customers by plan'!I29),0))</f>
        <v>0</v>
      </c>
      <c r="J19" s="10">
        <f>IF(EXACT("Indie","Team"),IF('RC Customers by plan'!J27="","",'RC Customers by plan'!J27),IF(EXACT("Indie","Launch"),IF('RC Customers by plan'!J29="","",'RC Customers by plan'!J29),0))</f>
        <v>0</v>
      </c>
      <c r="K19" s="10">
        <f>IF(EXACT("Indie","Team"),IF('RC Customers by plan'!K27="","",'RC Customers by plan'!K27),IF(EXACT("Indie","Launch"),IF('RC Customers by plan'!K29="","",'RC Customers by plan'!K29),0))</f>
        <v>0</v>
      </c>
      <c r="L19" s="10">
        <f>IF(EXACT("Indie","Team"),IF('RC Customers by plan'!L27="","",'RC Customers by plan'!L27),IF(EXACT("Indie","Launch"),IF('RC Customers by plan'!L29="","",'RC Customers by plan'!L29),0))</f>
        <v>0</v>
      </c>
      <c r="M19" s="10">
        <f>IF(EXACT("Indie","Team"),IF('RC Customers by plan'!M27="","",'RC Customers by plan'!M27),IF(EXACT("Indie","Launch"),IF('RC Customers by plan'!M29="","",'RC Customers by plan'!M29),0))</f>
        <v>0</v>
      </c>
      <c r="N19" s="10">
        <f>IF(EXACT("Indie","Team"),IF('RC Customers by plan'!N27="","",'RC Customers by plan'!N27),IF(EXACT("Indie","Launch"),IF('RC Customers by plan'!N29="","",'RC Customers by plan'!N29),0))</f>
        <v>0</v>
      </c>
      <c r="O19" s="10">
        <f>IF(EXACT("Indie","Team"),IF('RC Customers by plan'!O27="","",'RC Customers by plan'!O27),IF(EXACT("Indie","Launch"),IF('RC Customers by plan'!O29="","",'RC Customers by plan'!O29),0))</f>
        <v>0</v>
      </c>
      <c r="P19" s="10">
        <f>IF(EXACT("Indie","Team"),IF('RC Customers by plan'!P27="","",'RC Customers by plan'!P27),IF(EXACT("Indie","Launch"),IF('RC Customers by plan'!P29="","",'RC Customers by plan'!P29),0))</f>
        <v>0</v>
      </c>
      <c r="Q19" s="10">
        <f>IF(EXACT("Indie","Team"),IF('RC Customers by plan'!Q27="","",'RC Customers by plan'!Q27),IF(EXACT("Indie","Launch"),IF('RC Customers by plan'!Q29="","",'RC Customers by plan'!Q29),0))</f>
        <v>0</v>
      </c>
      <c r="R19" s="10">
        <f>IF(EXACT("Indie","Team"),IF('RC Customers by plan'!R27="","",'RC Customers by plan'!R27),IF(EXACT("Indie","Launch"),IF('RC Customers by plan'!R29="","",'RC Customers by plan'!R29),0))</f>
        <v>0</v>
      </c>
      <c r="S19" s="10">
        <f>IF(EXACT("Indie","Team"),IF('RC Customers by plan'!S27="","",'RC Customers by plan'!S27),IF(EXACT("Indie","Launch"),IF('RC Customers by plan'!S29="","",'RC Customers by plan'!S29),0))</f>
        <v>0</v>
      </c>
    </row>
    <row r="20" outlineLevel="1">
      <c r="A20" t="inlineStr" s="9">
        <is>
          <t xml:space="preserve">Launch</t>
        </is>
      </c>
      <c r="B20" s="10">
        <f>IF(EXACT("Launch","Team"),IF('RC Customers by plan'!B27="","",'RC Customers by plan'!B27),IF(EXACT("Launch","Launch"),IF('RC Customers by plan'!B29="","",'RC Customers by plan'!B29),0))</f>
        <v>0</v>
      </c>
      <c r="C20" s="10">
        <f>IF(EXACT("Launch","Team"),IF('RC Customers by plan'!C27="","",'RC Customers by plan'!C27),IF(EXACT("Launch","Launch"),IF('RC Customers by plan'!C29="","",'RC Customers by plan'!C29),0))</f>
        <v>0.025</v>
      </c>
      <c r="D20" s="10">
        <f>IF(EXACT("Launch","Team"),IF('RC Customers by plan'!D27="","",'RC Customers by plan'!D27),IF(EXACT("Launch","Launch"),IF('RC Customers by plan'!D29="","",'RC Customers by plan'!D29),0))</f>
        <v>0.03775694444444445</v>
      </c>
      <c r="E20" s="10">
        <f>IF(EXACT("Launch","Team"),IF('RC Customers by plan'!E27="","",'RC Customers by plan'!E27),IF(EXACT("Launch","Launch"),IF('RC Customers by plan'!E29="","",'RC Customers by plan'!E29),0))</f>
        <v>0.05228173032407408</v>
      </c>
      <c r="F20" s="10">
        <f>IF(EXACT("Launch","Team"),IF('RC Customers by plan'!F27="","",'RC Customers by plan'!F27),IF(EXACT("Launch","Launch"),IF('RC Customers by plan'!F29="","",'RC Customers by plan'!F29),0))</f>
        <v>0.06829759836516204</v>
      </c>
      <c r="G20" s="10">
        <f>IF(EXACT("Launch","Team"),IF('RC Customers by plan'!G27="","",'RC Customers by plan'!G27),IF(EXACT("Launch","Launch"),IF('RC Customers by plan'!G29="","",'RC Customers by plan'!G29),0))</f>
        <v>0.08591028021525769</v>
      </c>
      <c r="H20" s="10">
        <f>IF(EXACT("Launch","Team"),IF('RC Customers by plan'!H27="","",'RC Customers by plan'!H27),IF(EXACT("Launch","Launch"),IF('RC Customers by plan'!H29="","",'RC Customers by plan'!H29),0))</f>
        <v>0.10523916656030362</v>
      </c>
      <c r="I20" s="10">
        <f>IF(EXACT("Launch","Team"),IF('RC Customers by plan'!I27="","",'RC Customers by plan'!I27),IF(EXACT("Launch","Launch"),IF('RC Customers by plan'!I29="","",'RC Customers by plan'!I29),0))</f>
        <v>0.12641836467173376</v>
      </c>
      <c r="J20" s="10">
        <f>IF(EXACT("Launch","Team"),IF('RC Customers by plan'!J27="","",'RC Customers by plan'!J27),IF(EXACT("Launch","Launch"),IF('RC Customers by plan'!J29="","",'RC Customers by plan'!J29),0))</f>
        <v>0.1495978780919851</v>
      </c>
      <c r="K20" s="10">
        <f>IF(EXACT("Launch","Team"),IF('RC Customers by plan'!K27="","",'RC Customers by plan'!K27),IF(EXACT("Launch","Launch"),IF('RC Customers by plan'!K29="","",'RC Customers by plan'!K29),0))</f>
        <v>0.17494491910820884</v>
      </c>
      <c r="L20" s="10">
        <f>IF(EXACT("Launch","Team"),IF('RC Customers by plan'!L27="","",'RC Customers by plan'!L27),IF(EXACT("Launch","Launch"),IF('RC Customers by plan'!L29="","",'RC Customers by plan'!L29),0))</f>
        <v>0.20118382797518408</v>
      </c>
      <c r="M20" s="10">
        <f>IF(EXACT("Launch","Team"),IF('RC Customers by plan'!M27="","",'RC Customers by plan'!M27),IF(EXACT("Launch","Launch"),IF('RC Customers by plan'!M29="","",'RC Customers by plan'!M29),0))</f>
        <v>0.22831847756622248</v>
      </c>
      <c r="N20" s="10">
        <f>IF(EXACT("Launch","Team"),IF('RC Customers by plan'!N27="","",'RC Customers by plan'!N27),IF(EXACT("Launch","Launch"),IF('RC Customers by plan'!N29="","",'RC Customers by plan'!N29),0))</f>
        <v>0.2563563802754732</v>
      </c>
      <c r="O20" s="10">
        <f>IF(EXACT("Launch","Team"),IF('RC Customers by plan'!O27="","",'RC Customers by plan'!O27),IF(EXACT("Launch","Launch"),IF('RC Customers by plan'!O29="","",'RC Customers by plan'!O29),0))</f>
        <v>0.28530855467185373</v>
      </c>
      <c r="P20" s="10">
        <f>IF(EXACT("Launch","Team"),IF('RC Customers by plan'!P27="","",'RC Customers by plan'!P27),IF(EXACT("Launch","Launch"),IF('RC Customers by plan'!P29="","",'RC Customers by plan'!P29),0))</f>
        <v>0.3151894070071091</v>
      </c>
      <c r="Q20" s="10">
        <f>IF(EXACT("Launch","Team"),IF('RC Customers by plan'!Q27="","",'RC Customers by plan'!Q27),IF(EXACT("Launch","Launch"),IF('RC Customers by plan'!Q29="","",'RC Customers by plan'!Q29),0))</f>
        <v>0.34601662677187894</v>
      </c>
      <c r="R20" s="10">
        <f>IF(EXACT("Launch","Team"),IF('RC Customers by plan'!R27="","",'RC Customers by plan'!R27),IF(EXACT("Launch","Launch"),IF('RC Customers by plan'!R29="","",'RC Customers by plan'!R29),0))</f>
        <v>0.3778110955566152</v>
      </c>
      <c r="S20" s="10">
        <f>IF(EXACT("Launch","Team"),IF('RC Customers by plan'!S27="","",'RC Customers by plan'!S27),IF(EXACT("Launch","Launch"),IF('RC Customers by plan'!S29="","",'RC Customers by plan'!S29),0))</f>
        <v>0.41059680853327324</v>
      </c>
    </row>
    <row r="21" outlineLevel="1">
      <c r="A21" t="inlineStr" s="9">
        <is>
          <t xml:space="preserve">Team</t>
        </is>
      </c>
      <c r="B21" s="10">
        <f>IF(EXACT("Team","Team"),IF('RC Customers by plan'!B27="","",'RC Customers by plan'!B27),IF(EXACT("Team","Launch"),IF('RC Customers by plan'!B29="","",'RC Customers by plan'!B29),0))</f>
        <v>0</v>
      </c>
      <c r="C21" s="10">
        <f>IF(EXACT("Team","Team"),IF('RC Customers by plan'!C27="","",'RC Customers by plan'!C27),IF(EXACT("Team","Launch"),IF('RC Customers by plan'!C29="","",'RC Customers by plan'!C29),0))</f>
        <v>0.26666666666666666</v>
      </c>
      <c r="D21" s="10">
        <f>IF(EXACT("Team","Team"),IF('RC Customers by plan'!D27="","",'RC Customers by plan'!D27),IF(EXACT("Team","Launch"),IF('RC Customers by plan'!D29="","",'RC Customers by plan'!D29),0))</f>
        <v>0.4955555555555555</v>
      </c>
      <c r="E21" s="10">
        <f>IF(EXACT("Team","Team"),IF('RC Customers by plan'!E27="","",'RC Customers by plan'!E27),IF(EXACT("Team","Launch"),IF('RC Customers by plan'!E29="","",'RC Customers by plan'!E29),0))</f>
        <v>0.6425185185185186</v>
      </c>
      <c r="F21" s="10">
        <f>IF(EXACT("Team","Team"),IF('RC Customers by plan'!F27="","",'RC Customers by plan'!F27),IF(EXACT("Team","Launch"),IF('RC Customers by plan'!F29="","",'RC Customers by plan'!F29),0))</f>
        <v>0.7940839506172841</v>
      </c>
      <c r="G21" s="10">
        <f>IF(EXACT("Team","Team"),IF('RC Customers by plan'!G27="","",'RC Customers by plan'!G27),IF(EXACT("Team","Launch"),IF('RC Customers by plan'!G29="","",'RC Customers by plan'!G29),0))</f>
        <v>0.9510970205761318</v>
      </c>
      <c r="H21" s="10">
        <f>IF(EXACT("Team","Team"),IF('RC Customers by plan'!H27="","",'RC Customers by plan'!H27),IF(EXACT("Team","Launch"),IF('RC Customers by plan'!H29="","",'RC Customers by plan'!H29),0))</f>
        <v>1.114438712537723</v>
      </c>
      <c r="I21" s="10">
        <f>IF(EXACT("Team","Team"),IF('RC Customers by plan'!I27="","",'RC Customers by plan'!I27),IF(EXACT("Team","Launch"),IF('RC Customers by plan'!I29="","",'RC Customers by plan'!I29),0))</f>
        <v>1.2850308111685418</v>
      </c>
      <c r="J21" s="10">
        <f>IF(EXACT("Team","Team"),IF('RC Customers by plan'!J27="","",'RC Customers by plan'!J27),IF(EXACT("Team","Launch"),IF('RC Customers by plan'!J29="","",'RC Customers by plan'!J29),0))</f>
        <v>1.4638411442479722</v>
      </c>
      <c r="K21" s="10">
        <f>IF(EXACT("Team","Team"),IF('RC Customers by plan'!K27="","",'RC Customers by plan'!K27),IF(EXACT("Team","Launch"),IF('RC Customers by plan'!K29="","",'RC Customers by plan'!K29),0))</f>
        <v>1.6518891127613609</v>
      </c>
      <c r="L21" s="10">
        <f>IF(EXACT("Team","Team"),IF('RC Customers by plan'!L27="","",'RC Customers by plan'!L27),IF(EXACT("Team","Launch"),IF('RC Customers by plan'!L29="","",'RC Customers by plan'!L29),0))</f>
        <v>1.8388260451657203</v>
      </c>
      <c r="M21" s="10">
        <f>IF(EXACT("Team","Team"),IF('RC Customers by plan'!M27="","",'RC Customers by plan'!M27),IF(EXACT("Team","Launch"),IF('RC Customers by plan'!M29="","",'RC Customers by plan'!M29),0))</f>
        <v>2.0251830303399943</v>
      </c>
      <c r="N21" s="10">
        <f>IF(EXACT("Team","Team"),IF('RC Customers by plan'!N27="","",'RC Customers by plan'!N27),IF(EXACT("Team","Launch"),IF('RC Customers by plan'!N29="","",'RC Customers by plan'!N29),0))</f>
        <v>2.211474032030063</v>
      </c>
      <c r="O21" s="10">
        <f>IF(EXACT("Team","Team"),IF('RC Customers by plan'!O27="","",'RC Customers by plan'!O27),IF(EXACT("Team","Launch"),IF('RC Customers by plan'!O29="","",'RC Customers by plan'!O29),0))</f>
        <v>2.398197761755969</v>
      </c>
      <c r="P21" s="10">
        <f>IF(EXACT("Team","Team"),IF('RC Customers by plan'!P27="","",'RC Customers by plan'!P27),IF(EXACT("Team","Launch"),IF('RC Customers by plan'!P29="","",'RC Customers by plan'!P29),0))</f>
        <v>2.5858394561079314</v>
      </c>
      <c r="Q21" s="10">
        <f>IF(EXACT("Team","Team"),IF('RC Customers by plan'!Q27="","",'RC Customers by plan'!Q27),IF(EXACT("Team","Launch"),IF('RC Customers by plan'!Q29="","",'RC Customers by plan'!Q29),0))</f>
        <v>2.774872565975191</v>
      </c>
      <c r="R21" s="10">
        <f>IF(EXACT("Team","Team"),IF('RC Customers by plan'!R27="","",'RC Customers by plan'!R27),IF(EXACT("Team","Launch"),IF('RC Customers by plan'!R29="","",'RC Customers by plan'!R29),0))</f>
        <v>2.9657603647956114</v>
      </c>
      <c r="S21" s="10">
        <f>IF(EXACT("Team","Team"),IF('RC Customers by plan'!S27="","",'RC Customers by plan'!S27),IF(EXACT("Team","Launch"),IF('RC Customers by plan'!S29="","",'RC Customers by plan'!S29),0))</f>
        <v>3.158957482490088</v>
      </c>
    </row>
    <row r="22">
      <c r="A22" t="inlineStr" s="6">
        <is>
          <t xml:space="preserve">Churned customers</t>
        </is>
      </c>
      <c r="B22" s="8">
        <f>SUM('RC Customers by plan'!B23,'RC Customers by plan'!B24,'RC Customers by plan'!B25)</f>
        <v>0</v>
      </c>
      <c r="C22" s="8">
        <f>SUM('RC Customers by plan'!C23,'RC Customers by plan'!C24,'RC Customers by plan'!C25)</f>
        <v>2.5949999999999998</v>
      </c>
      <c r="D22" s="8">
        <f>SUM('RC Customers by plan'!D23,'RC Customers by plan'!D24,'RC Customers by plan'!D25)</f>
        <v>4.7545</v>
      </c>
      <c r="E22" s="8">
        <f>SUM('RC Customers by plan'!E23,'RC Customers by plan'!E24,'RC Customers by plan'!E25)</f>
        <v>6.189471729166667</v>
      </c>
      <c r="F22" s="8">
        <f>SUM('RC Customers by plan'!F23,'RC Customers by plan'!F24,'RC Customers by plan'!F25)</f>
        <v>7.67670344484375</v>
      </c>
      <c r="G22" s="8">
        <f>SUM('RC Customers by plan'!G23,'RC Customers by plan'!G24,'RC Customers by plan'!G25)</f>
        <v>9.22458377005366</v>
      </c>
      <c r="H22" s="8">
        <f>SUM('RC Customers by plan'!H23,'RC Customers by plan'!H24,'RC Customers by plan'!H25)</f>
        <v>10.841923285085763</v>
      </c>
      <c r="I22" s="8">
        <f>SUM('RC Customers by plan'!I23,'RC Customers by plan'!I24,'RC Customers by plan'!I25)</f>
        <v>12.53800719356865</v>
      </c>
      <c r="J22" s="8">
        <f>SUM('RC Customers by plan'!J23,'RC Customers by plan'!J24,'RC Customers by plan'!J25)</f>
        <v>14.322651198368181</v>
      </c>
      <c r="K22" s="8">
        <f>SUM('RC Customers by plan'!K23,'RC Customers by plan'!K24,'RC Customers by plan'!K25)</f>
        <v>16.206260935808757</v>
      </c>
      <c r="L22" s="8">
        <f>SUM('RC Customers by plan'!L23,'RC Customers by plan'!L24,'RC Customers by plan'!L25)</f>
        <v>18.08654281252618</v>
      </c>
      <c r="M22" s="8">
        <f>SUM('RC Customers by plan'!M23,'RC Customers by plan'!M24,'RC Customers by plan'!M25)</f>
        <v>19.968314140900546</v>
      </c>
      <c r="N22" s="8">
        <f>SUM('RC Customers by plan'!N23,'RC Customers by plan'!N24,'RC Customers by plan'!N25)</f>
        <v>21.856264225340805</v>
      </c>
      <c r="O22" s="8">
        <f>SUM('RC Customers by plan'!O23,'RC Customers by plan'!O24,'RC Customers by plan'!O25)</f>
        <v>23.75497031424573</v>
      </c>
      <c r="P22" s="8">
        <f>SUM('RC Customers by plan'!P23,'RC Customers by plan'!P24,'RC Customers by plan'!P25)</f>
        <v>25.66891279557524</v>
      </c>
      <c r="Q22" s="8">
        <f>SUM('RC Customers by plan'!Q23,'RC Customers by plan'!Q24,'RC Customers by plan'!Q25)</f>
        <v>27.602489698389732</v>
      </c>
      <c r="R22" s="8">
        <f>SUM('RC Customers by plan'!R23,'RC Customers by plan'!R24,'RC Customers by plan'!R25)</f>
        <v>29.560030559047362</v>
      </c>
      <c r="S22" s="8">
        <f>SUM('RC Customers by plan'!S23,'RC Customers by plan'!S24,'RC Customers by plan'!S25)</f>
        <v>31.545809707344752</v>
      </c>
    </row>
    <row r="23" outlineLevel="1">
      <c r="A23" t="inlineStr" s="9">
        <is>
          <t xml:space="preserve">Indie</t>
        </is>
      </c>
      <c r="B23" s="10">
        <f>IF(IF(IF(ISERROR('RC Customers by plan'!B5&lt;1),'RC Customers by plan'!B5&lt;1,IF('RC Customers by plan'!B5="","",'RC Customers by plan'!B5&lt;1))="",FALSE,IF(ISERROR('RC Customers by plan'!B5&lt;1),'RC Customers by plan'!B5&lt;1,IF('RC Customers by plan'!B5="","",'RC Customers by plan'!B5&lt;1))),0,'RC Customers by plan'!B7*'Model inputs'!AG57)</f>
        <v>0</v>
      </c>
      <c r="C23" s="10">
        <f>IF(IF(IF(ISERROR('RC Customers by plan'!C5&lt;1),'RC Customers by plan'!C5&lt;1,IF('RC Customers by plan'!C5="","",'RC Customers by plan'!C5&lt;1))="",FALSE,IF(ISERROR('RC Customers by plan'!C5&lt;1),'RC Customers by plan'!C5&lt;1,IF('RC Customers by plan'!C5="","",'RC Customers by plan'!C5&lt;1))),0,'RC Customers by plan'!C7*'Model inputs'!AG57)</f>
        <v>2.4</v>
      </c>
      <c r="D23" s="10">
        <f>IF(IF(IF(ISERROR('RC Customers by plan'!D5&lt;1),'RC Customers by plan'!D5&lt;1,IF('RC Customers by plan'!D5="","",'RC Customers by plan'!D5&lt;1))="",FALSE,IF(ISERROR('RC Customers by plan'!D5&lt;1),'RC Customers by plan'!D5&lt;1,IF('RC Customers by plan'!D5="","",'RC Customers by plan'!D5&lt;1))),0,'RC Customers by plan'!D7*'Model inputs'!AG57)</f>
        <v>4.46</v>
      </c>
      <c r="E23" s="10">
        <f>IF(IF(IF(ISERROR('RC Customers by plan'!E5&lt;1),'RC Customers by plan'!E5&lt;1,IF('RC Customers by plan'!E5="","",'RC Customers by plan'!E5&lt;1))="",FALSE,IF(ISERROR('RC Customers by plan'!E5&lt;1),'RC Customers by plan'!E5&lt;1,IF('RC Customers by plan'!E5="","",'RC Customers by plan'!E5&lt;1))),0,'RC Customers by plan'!E7*'Model inputs'!AG57)</f>
        <v>5.782666666666667</v>
      </c>
      <c r="F23" s="10">
        <f>IF(IF(IF(ISERROR('RC Customers by plan'!F5&lt;1),'RC Customers by plan'!F5&lt;1,IF('RC Customers by plan'!F5="","",'RC Customers by plan'!F5&lt;1))="",FALSE,IF(ISERROR('RC Customers by plan'!F5&lt;1),'RC Customers by plan'!F5&lt;1,IF('RC Customers by plan'!F5="","",'RC Customers by plan'!F5&lt;1))),0,'RC Customers by plan'!F7*'Model inputs'!AG57)</f>
        <v>7.146755555555556</v>
      </c>
      <c r="G23" s="10">
        <f>IF(IF(IF(ISERROR('RC Customers by plan'!G5&lt;1),'RC Customers by plan'!G5&lt;1,IF('RC Customers by plan'!G5="","",'RC Customers by plan'!G5&lt;1))="",FALSE,IF(ISERROR('RC Customers by plan'!G5&lt;1),'RC Customers by plan'!G5&lt;1,IF('RC Customers by plan'!G5="","",'RC Customers by plan'!G5&lt;1))),0,'RC Customers by plan'!G7*'Model inputs'!AG57)</f>
        <v>8.559873185185186</v>
      </c>
      <c r="H23" s="10">
        <f>IF(IF(IF(ISERROR('RC Customers by plan'!H5&lt;1),'RC Customers by plan'!H5&lt;1,IF('RC Customers by plan'!H5="","",'RC Customers by plan'!H5&lt;1))="",FALSE,IF(ISERROR('RC Customers by plan'!H5&lt;1),'RC Customers by plan'!H5&lt;1,IF('RC Customers by plan'!H5="","",'RC Customers by plan'!H5&lt;1))),0,'RC Customers by plan'!H7*'Model inputs'!AG57)</f>
        <v>10.029948412839508</v>
      </c>
      <c r="I23" s="10">
        <f>IF(IF(IF(ISERROR('RC Customers by plan'!I5&lt;1),'RC Customers by plan'!I5&lt;1,IF('RC Customers by plan'!I5="","",'RC Customers by plan'!I5&lt;1))="",FALSE,IF(ISERROR('RC Customers by plan'!I5&lt;1),'RC Customers by plan'!I5&lt;1,IF('RC Customers by plan'!I5="","",'RC Customers by plan'!I5&lt;1))),0,'RC Customers by plan'!I7*'Model inputs'!AG57)</f>
        <v>11.565277300516874</v>
      </c>
      <c r="J23" s="10">
        <f>IF(IF(IF(ISERROR('RC Customers by plan'!J5&lt;1),'RC Customers by plan'!J5&lt;1,IF('RC Customers by plan'!J5="","",'RC Customers by plan'!J5&lt;1))="",FALSE,IF(ISERROR('RC Customers by plan'!J5&lt;1),'RC Customers by plan'!J5&lt;1,IF('RC Customers by plan'!J5="","",'RC Customers by plan'!J5&lt;1))),0,'RC Customers by plan'!J7*'Model inputs'!AG57)</f>
        <v>13.17457029823175</v>
      </c>
      <c r="K23" s="10">
        <f>IF(IF(IF(ISERROR('RC Customers by plan'!K5&lt;1),'RC Customers by plan'!K5&lt;1,IF('RC Customers by plan'!K5="","",'RC Customers by plan'!K5&lt;1))="",FALSE,IF(ISERROR('RC Customers by plan'!K5&lt;1),'RC Customers by plan'!K5&lt;1,IF('RC Customers by plan'!K5="","",'RC Customers by plan'!K5&lt;1))),0,'RC Customers by plan'!K7*'Model inputs'!AG57)</f>
        <v>14.867002014852247</v>
      </c>
      <c r="L23" s="10">
        <f>IF(IF(IF(ISERROR('RC Customers by plan'!L5&lt;1),'RC Customers by plan'!L5&lt;1,IF('RC Customers by plan'!L5="","",'RC Customers by plan'!L5&lt;1))="",FALSE,IF(ISERROR('RC Customers by plan'!L5&lt;1),'RC Customers by plan'!L5&lt;1,IF('RC Customers by plan'!L5="","",'RC Customers by plan'!L5&lt;1))),0,'RC Customers by plan'!L7*'Model inputs'!AG57)</f>
        <v>16.549434406491486</v>
      </c>
      <c r="M23" s="10">
        <f>IF(IF(IF(ISERROR('RC Customers by plan'!M5&lt;1),'RC Customers by plan'!M5&lt;1,IF('RC Customers by plan'!M5="","",'RC Customers by plan'!M5&lt;1))="",FALSE,IF(ISERROR('RC Customers by plan'!M5&lt;1),'RC Customers by plan'!M5&lt;1,IF('RC Customers by plan'!M5="","",'RC Customers by plan'!M5&lt;1))),0,'RC Customers by plan'!M7*'Model inputs'!AG57)</f>
        <v>18.22664727305995</v>
      </c>
      <c r="N23" s="10">
        <f>IF(IF(IF(ISERROR('RC Customers by plan'!N5&lt;1),'RC Customers by plan'!N5&lt;1,IF('RC Customers by plan'!N5="","",'RC Customers by plan'!N5&lt;1))="",FALSE,IF(ISERROR('RC Customers by plan'!N5&lt;1),'RC Customers by plan'!N5&lt;1,IF('RC Customers by plan'!N5="","",'RC Customers by plan'!N5&lt;1))),0,'RC Customers by plan'!N7*'Model inputs'!AG57)</f>
        <v>19.903266288270565</v>
      </c>
      <c r="O23" s="10">
        <f>IF(IF(IF(ISERROR('RC Customers by plan'!O5&lt;1),'RC Customers by plan'!O5&lt;1,IF('RC Customers by plan'!O5="","",'RC Customers by plan'!O5&lt;1))="",FALSE,IF(ISERROR('RC Customers by plan'!O5&lt;1),'RC Customers by plan'!O5&lt;1,IF('RC Customers by plan'!O5="","",'RC Customers by plan'!O5&lt;1))),0,'RC Customers by plan'!O7*'Model inputs'!AG57)</f>
        <v>21.58377985580372</v>
      </c>
      <c r="P23" s="10">
        <f>IF(IF(IF(ISERROR('RC Customers by plan'!P5&lt;1),'RC Customers by plan'!P5&lt;1,IF('RC Customers by plan'!P5="","",'RC Customers by plan'!P5&lt;1))="",FALSE,IF(ISERROR('RC Customers by plan'!P5&lt;1),'RC Customers by plan'!P5&lt;1,IF('RC Customers by plan'!P5="","",'RC Customers by plan'!P5&lt;1))),0,'RC Customers by plan'!P7*'Model inputs'!AG57)</f>
        <v>23.27255510497138</v>
      </c>
      <c r="Q23" s="10">
        <f>IF(IF(IF(ISERROR('RC Customers by plan'!Q5&lt;1),'RC Customers by plan'!Q5&lt;1,IF('RC Customers by plan'!Q5="","",'RC Customers by plan'!Q5&lt;1))="",FALSE,IF(ISERROR('RC Customers by plan'!Q5&lt;1),'RC Customers by plan'!Q5&lt;1,IF('RC Customers by plan'!Q5="","",'RC Customers by plan'!Q5&lt;1))),0,'RC Customers by plan'!Q7*'Model inputs'!AG57)</f>
        <v>24.973853093776718</v>
      </c>
      <c r="R23" s="10">
        <f>IF(IF(IF(ISERROR('RC Customers by plan'!R5&lt;1),'RC Customers by plan'!R5&lt;1,IF('RC Customers by plan'!R5="","",'RC Customers by plan'!R5&lt;1))="",FALSE,IF(ISERROR('RC Customers by plan'!R5&lt;1),'RC Customers by plan'!R5&lt;1,IF('RC Customers by plan'!R5="","",'RC Customers by plan'!R5&lt;1))),0,'RC Customers by plan'!R7*'Model inputs'!AG57)</f>
        <v>26.6918432831605</v>
      </c>
      <c r="S23" s="10">
        <f>IF(IF(IF(ISERROR('RC Customers by plan'!S5&lt;1),'RC Customers by plan'!S5&lt;1,IF('RC Customers by plan'!S5="","",'RC Customers by plan'!S5&lt;1))="",FALSE,IF(ISERROR('RC Customers by plan'!S5&lt;1),'RC Customers by plan'!S5&lt;1,IF('RC Customers by plan'!S5="","",'RC Customers by plan'!S5&lt;1))),0,'RC Customers by plan'!S7*'Model inputs'!AG57)</f>
        <v>28.43061734241079</v>
      </c>
    </row>
    <row r="24" outlineLevel="1">
      <c r="A24" t="inlineStr" s="9">
        <is>
          <t xml:space="preserve">Launch</t>
        </is>
      </c>
      <c r="B24" s="10">
        <f>IF(IF(IF(ISERROR('RC Customers by plan'!B5&lt;1),'RC Customers by plan'!B5&lt;1,IF('RC Customers by plan'!B5="","",'RC Customers by plan'!B5&lt;1))="",FALSE,IF(ISERROR('RC Customers by plan'!B5&lt;1),'RC Customers by plan'!B5&lt;1,IF('RC Customers by plan'!B5="","",'RC Customers by plan'!B5&lt;1))),0,'RC Customers by plan'!B8*'Model inputs'!AG58)</f>
        <v>0</v>
      </c>
      <c r="C24" s="10">
        <f>IF(IF(IF(ISERROR('RC Customers by plan'!C5&lt;1),'RC Customers by plan'!C5&lt;1,IF('RC Customers by plan'!C5="","",'RC Customers by plan'!C5&lt;1))="",FALSE,IF(ISERROR('RC Customers by plan'!C5&lt;1),'RC Customers by plan'!C5&lt;1,IF('RC Customers by plan'!C5="","",'RC Customers by plan'!C5&lt;1))),0,'RC Customers by plan'!C8*'Model inputs'!AG58)</f>
        <v>0.015</v>
      </c>
      <c r="D24" s="10">
        <f>IF(IF(IF(ISERROR('RC Customers by plan'!D5&lt;1),'RC Customers by plan'!D5&lt;1,IF('RC Customers by plan'!D5="","",'RC Customers by plan'!D5&lt;1))="",FALSE,IF(ISERROR('RC Customers by plan'!D5&lt;1),'RC Customers by plan'!D5&lt;1,IF('RC Customers by plan'!D5="","",'RC Customers by plan'!D5&lt;1))),0,'RC Customers by plan'!D8*'Model inputs'!AG58)</f>
        <v>0.02265</v>
      </c>
      <c r="E24" s="10">
        <f>IF(IF(IF(ISERROR('RC Customers by plan'!E5&lt;1),'RC Customers by plan'!E5&lt;1,IF('RC Customers by plan'!E5="","",'RC Customers by plan'!E5&lt;1))="",FALSE,IF(ISERROR('RC Customers by plan'!E5&lt;1),'RC Customers by plan'!E5&lt;1,IF('RC Customers by plan'!E5="","",'RC Customers by plan'!E5&lt;1))),0,'RC Customers by plan'!E8*'Model inputs'!AG58)</f>
        <v>0.03037660416666666</v>
      </c>
      <c r="F24" s="10">
        <f>IF(IF(IF(ISERROR('RC Customers by plan'!F5&lt;1),'RC Customers by plan'!F5&lt;1,IF('RC Customers by plan'!F5="","",'RC Customers by plan'!F5&lt;1))="",FALSE,IF(ISERROR('RC Customers by plan'!F5&lt;1),'RC Customers by plan'!F5&lt;1,IF('RC Customers by plan'!F5="","",'RC Customers by plan'!F5&lt;1))),0,'RC Customers by plan'!F8*'Model inputs'!AG58)</f>
        <v>0.03820518105902777</v>
      </c>
      <c r="G24" s="10">
        <f>IF(IF(IF(ISERROR('RC Customers by plan'!G5&lt;1),'RC Customers by plan'!G5&lt;1,IF('RC Customers by plan'!G5="","",'RC Customers by plan'!G5&lt;1))="",FALSE,IF(ISERROR('RC Customers by plan'!G5&lt;1),'RC Customers by plan'!G5&lt;1,IF('RC Customers by plan'!G5="","",'RC Customers by plan'!G5&lt;1))),0,'RC Customers by plan'!G8*'Model inputs'!AG58)</f>
        <v>0.04615656731861978</v>
      </c>
      <c r="H24" s="10">
        <f>IF(IF(IF(ISERROR('RC Customers by plan'!H5&lt;1),'RC Customers by plan'!H5&lt;1,IF('RC Customers by plan'!H5="","",'RC Customers by plan'!H5&lt;1))="",FALSE,IF(ISERROR('RC Customers by plan'!H5&lt;1),'RC Customers by plan'!H5&lt;1,IF('RC Customers by plan'!H5="","",'RC Customers by plan'!H5&lt;1))),0,'RC Customers by plan'!H8*'Model inputs'!AG58)</f>
        <v>0.054252873012069346</v>
      </c>
      <c r="I24" s="10">
        <f>IF(IF(IF(ISERROR('RC Customers by plan'!I5&lt;1),'RC Customers by plan'!I5&lt;1,IF('RC Customers by plan'!I5="","",'RC Customers by plan'!I5&lt;1))="",FALSE,IF(ISERROR('RC Customers by plan'!I5&lt;1),'RC Customers by plan'!I5&lt;1,IF('RC Customers by plan'!I5="","",'RC Customers by plan'!I5&lt;1))),0,'RC Customers by plan'!I8*'Model inputs'!AG58)</f>
        <v>0.06251766741529285</v>
      </c>
      <c r="J24" s="10">
        <f>IF(IF(IF(ISERROR('RC Customers by plan'!J5&lt;1),'RC Customers by plan'!J5&lt;1,IF('RC Customers by plan'!J5="","",'RC Customers by plan'!J5&lt;1))="",FALSE,IF(ISERROR('RC Customers by plan'!J5&lt;1),'RC Customers by plan'!J5&lt;1,IF('RC Customers by plan'!J5="","",'RC Customers by plan'!J5&lt;1))),0,'RC Customers by plan'!J8*'Model inputs'!AG58)</f>
        <v>0.07097617787413947</v>
      </c>
      <c r="K24" s="10">
        <f>IF(IF(IF(ISERROR('RC Customers by plan'!K5&lt;1),'RC Customers by plan'!K5&lt;1,IF('RC Customers by plan'!K5="","",'RC Customers by plan'!K5&lt;1))="",FALSE,IF(ISERROR('RC Customers by plan'!K5&lt;1),'RC Customers by plan'!K5&lt;1,IF('RC Customers by plan'!K5="","",'RC Customers by plan'!K5&lt;1))),0,'RC Customers by plan'!K8*'Model inputs'!AG58)</f>
        <v>0.07965550337740715</v>
      </c>
      <c r="L24" s="10">
        <f>IF(IF(IF(ISERROR('RC Customers by plan'!L5&lt;1),'RC Customers by plan'!L5&lt;1,IF('RC Customers by plan'!L5="","",'RC Customers by plan'!L5&lt;1))="",FALSE,IF(ISERROR('RC Customers by plan'!L5&lt;1),'RC Customers by plan'!L5&lt;1,IF('RC Customers by plan'!L5="","",'RC Customers by plan'!L5&lt;1))),0,'RC Customers by plan'!L8*'Model inputs'!AG58)</f>
        <v>0.08858484461336918</v>
      </c>
      <c r="M24" s="10">
        <f>IF(IF(IF(ISERROR('RC Customers by plan'!M5&lt;1),'RC Customers by plan'!M5&lt;1,IF('RC Customers by plan'!M5="","",'RC Customers by plan'!M5&lt;1))="",FALSE,IF(ISERROR('RC Customers by plan'!M5&lt;1),'RC Customers by plan'!M5&lt;1,IF('RC Customers by plan'!M5="","",'RC Customers by plan'!M5&lt;1))),0,'RC Customers by plan'!M8*'Model inputs'!AG58)</f>
        <v>0.0977738293637964</v>
      </c>
      <c r="N24" s="10">
        <f>IF(IF(IF(ISERROR('RC Customers by plan'!N5&lt;1),'RC Customers by plan'!N5&lt;1,IF('RC Customers by plan'!N5="","",'RC Customers by plan'!N5&lt;1))="",FALSE,IF(ISERROR('RC Customers by plan'!N5&lt;1),'RC Customers by plan'!N5&lt;1,IF('RC Customers by plan'!N5="","",'RC Customers by plan'!N5&lt;1))),0,'RC Customers by plan'!N8*'Model inputs'!AG58)</f>
        <v>0.1072319990868328</v>
      </c>
      <c r="O24" s="10">
        <f>IF(IF(IF(ISERROR('RC Customers by plan'!O5&lt;1),'RC Customers by plan'!O5&lt;1,IF('RC Customers by plan'!O5="","",'RC Customers by plan'!O5&lt;1))="",FALSE,IF(ISERROR('RC Customers by plan'!O5&lt;1),'RC Customers by plan'!O5&lt;1,IF('RC Customers by plan'!O5="","",'RC Customers by plan'!O5&lt;1))),0,'RC Customers by plan'!O8*'Model inputs'!AG58)</f>
        <v>0.11696886480466241</v>
      </c>
      <c r="P24" s="10">
        <f>IF(IF(IF(ISERROR('RC Customers by plan'!P5&lt;1),'RC Customers by plan'!P5&lt;1,IF('RC Customers by plan'!P5="","",'RC Customers by plan'!P5&lt;1))="",FALSE,IF(ISERROR('RC Customers by plan'!P5&lt;1),'RC Customers by plan'!P5&lt;1,IF('RC Customers by plan'!P5="","",'RC Customers by plan'!P5&lt;1))),0,'RC Customers by plan'!P8*'Model inputs'!AG58)</f>
        <v>0.12699396015267028</v>
      </c>
      <c r="Q24" s="10">
        <f>IF(IF(IF(ISERROR('RC Customers by plan'!Q5&lt;1),'RC Customers by plan'!Q5&lt;1,IF('RC Customers by plan'!Q5="","",'RC Customers by plan'!Q5&lt;1))="",FALSE,IF(ISERROR('RC Customers by plan'!Q5&lt;1),'RC Customers by plan'!Q5&lt;1,IF('RC Customers by plan'!Q5="","",'RC Customers by plan'!Q5&lt;1))),0,'RC Customers by plan'!Q8*'Model inputs'!AG58)</f>
        <v>0.13731689185548684</v>
      </c>
      <c r="R24" s="10">
        <f>IF(IF(IF(ISERROR('RC Customers by plan'!R5&lt;1),'RC Customers by plan'!R5&lt;1,IF('RC Customers by plan'!R5="","",'RC Customers by plan'!R5&lt;1))="",FALSE,IF(ISERROR('RC Customers by plan'!R5&lt;1),'RC Customers by plan'!R5&lt;1,IF('RC Customers by plan'!R5="","",'RC Customers by plan'!R5&lt;1))),0,'RC Customers by plan'!R8*'Model inputs'!AG58)</f>
        <v>0.14794738787923273</v>
      </c>
      <c r="S24" s="10">
        <f>IF(IF(IF(ISERROR('RC Customers by plan'!S5&lt;1),'RC Customers by plan'!S5&lt;1,IF('RC Customers by plan'!S5="","",'RC Customers by plan'!S5&lt;1))="",FALSE,IF(ISERROR('RC Customers by plan'!S5&lt;1),'RC Customers by plan'!S5&lt;1,IF('RC Customers by plan'!S5="","",'RC Customers by plan'!S5&lt;1))),0,'RC Customers by plan'!S8*'Model inputs'!AG58)</f>
        <v>0.15889534349439347</v>
      </c>
    </row>
    <row r="25" outlineLevel="1">
      <c r="A25" t="inlineStr" s="9">
        <is>
          <t xml:space="preserve">Team</t>
        </is>
      </c>
      <c r="B25" s="10">
        <f>IF(IF(IF(ISERROR('RC Customers by plan'!B5&lt;1),'RC Customers by plan'!B5&lt;1,IF('RC Customers by plan'!B5="","",'RC Customers by plan'!B5&lt;1))="",FALSE,IF(ISERROR('RC Customers by plan'!B5&lt;1),'RC Customers by plan'!B5&lt;1,IF('RC Customers by plan'!B5="","",'RC Customers by plan'!B5&lt;1))),0,'RC Customers by plan'!B9*'Model inputs'!AG59)</f>
        <v>0</v>
      </c>
      <c r="C25" s="10">
        <f>IF(IF(IF(ISERROR('RC Customers by plan'!C5&lt;1),'RC Customers by plan'!C5&lt;1,IF('RC Customers by plan'!C5="","",'RC Customers by plan'!C5&lt;1))="",FALSE,IF(ISERROR('RC Customers by plan'!C5&lt;1),'RC Customers by plan'!C5&lt;1,IF('RC Customers by plan'!C5="","",'RC Customers by plan'!C5&lt;1))),0,'RC Customers by plan'!C9*'Model inputs'!AG59)</f>
        <v>0.18</v>
      </c>
      <c r="D25" s="10">
        <f>IF(IF(IF(ISERROR('RC Customers by plan'!D5&lt;1),'RC Customers by plan'!D5&lt;1,IF('RC Customers by plan'!D5="","",'RC Customers by plan'!D5&lt;1))="",FALSE,IF(ISERROR('RC Customers by plan'!D5&lt;1),'RC Customers by plan'!D5&lt;1,IF('RC Customers by plan'!D5="","",'RC Customers by plan'!D5&lt;1))),0,'RC Customers by plan'!D9*'Model inputs'!AG59)</f>
        <v>0.27185000000000004</v>
      </c>
      <c r="E25" s="10">
        <f>IF(IF(IF(ISERROR('RC Customers by plan'!E5&lt;1),'RC Customers by plan'!E5&lt;1,IF('RC Customers by plan'!E5="","",'RC Customers by plan'!E5&lt;1))="",FALSE,IF(ISERROR('RC Customers by plan'!E5&lt;1),'RC Customers by plan'!E5&lt;1,IF('RC Customers by plan'!E5="","",'RC Customers by plan'!E5&lt;1))),0,'RC Customers by plan'!E9*'Model inputs'!AG59)</f>
        <v>0.3764284583333333</v>
      </c>
      <c r="F25" s="10">
        <f>IF(IF(IF(ISERROR('RC Customers by plan'!F5&lt;1),'RC Customers by plan'!F5&lt;1,IF('RC Customers by plan'!F5="","",'RC Customers by plan'!F5&lt;1))="",FALSE,IF(ISERROR('RC Customers by plan'!F5&lt;1),'RC Customers by plan'!F5&lt;1,IF('RC Customers by plan'!F5="","",'RC Customers by plan'!F5&lt;1))),0,'RC Customers by plan'!F9*'Model inputs'!AG59)</f>
        <v>0.4917427082291666</v>
      </c>
      <c r="G25" s="10">
        <f>IF(IF(IF(ISERROR('RC Customers by plan'!G5&lt;1),'RC Customers by plan'!G5&lt;1,IF('RC Customers by plan'!G5="","",'RC Customers by plan'!G5&lt;1))="",FALSE,IF(ISERROR('RC Customers by plan'!G5&lt;1),'RC Customers by plan'!G5&lt;1,IF('RC Customers by plan'!G5="","",'RC Customers by plan'!G5&lt;1))),0,'RC Customers by plan'!G9*'Model inputs'!AG59)</f>
        <v>0.6185540175498553</v>
      </c>
      <c r="H25" s="10">
        <f>IF(IF(IF(ISERROR('RC Customers by plan'!H5&lt;1),'RC Customers by plan'!H5&lt;1,IF('RC Customers by plan'!H5="","",'RC Customers by plan'!H5&lt;1))="",FALSE,IF(ISERROR('RC Customers by plan'!H5&lt;1),'RC Customers by plan'!H5&lt;1,IF('RC Customers by plan'!H5="","",'RC Customers by plan'!H5&lt;1))),0,'RC Customers by plan'!H9*'Model inputs'!AG59)</f>
        <v>0.7577219992341859</v>
      </c>
      <c r="I25" s="10">
        <f>IF(IF(IF(ISERROR('RC Customers by plan'!I5&lt;1),'RC Customers by plan'!I5&lt;1,IF('RC Customers by plan'!I5="","",'RC Customers by plan'!I5&lt;1))="",FALSE,IF(ISERROR('RC Customers by plan'!I5&lt;1),'RC Customers by plan'!I5&lt;1,IF('RC Customers by plan'!I5="","",'RC Customers by plan'!I5&lt;1))),0,'RC Customers by plan'!I9*'Model inputs'!AG59)</f>
        <v>0.910212225636483</v>
      </c>
      <c r="J25" s="10">
        <f>IF(IF(IF(ISERROR('RC Customers by plan'!J5&lt;1),'RC Customers by plan'!J5&lt;1,IF('RC Customers by plan'!J5="","",'RC Customers by plan'!J5&lt;1))="",FALSE,IF(ISERROR('RC Customers by plan'!J5&lt;1),'RC Customers by plan'!J5&lt;1,IF('RC Customers by plan'!J5="","",'RC Customers by plan'!J5&lt;1))),0,'RC Customers by plan'!J9*'Model inputs'!AG59)</f>
        <v>1.0771047222622927</v>
      </c>
      <c r="K25" s="10">
        <f>IF(IF(IF(ISERROR('RC Customers by plan'!K5&lt;1),'RC Customers by plan'!K5&lt;1,IF('RC Customers by plan'!K5="","",'RC Customers by plan'!K5&lt;1))="",FALSE,IF(ISERROR('RC Customers by plan'!K5&lt;1),'RC Customers by plan'!K5&lt;1,IF('RC Customers by plan'!K5="","",'RC Customers by plan'!K5&lt;1))),0,'RC Customers by plan'!K9*'Model inputs'!AG59)</f>
        <v>1.2596034175791035</v>
      </c>
      <c r="L25" s="10">
        <f>IF(IF(IF(ISERROR('RC Customers by plan'!L5&lt;1),'RC Customers by plan'!L5&lt;1,IF('RC Customers by plan'!L5="","",'RC Customers by plan'!L5&lt;1))="",FALSE,IF(ISERROR('RC Customers by plan'!L5&lt;1),'RC Customers by plan'!L5&lt;1,IF('RC Customers by plan'!L5="","",'RC Customers by plan'!L5&lt;1))),0,'RC Customers by plan'!L9*'Model inputs'!AG59)</f>
        <v>1.4485235614213252</v>
      </c>
      <c r="M25" s="10">
        <f>IF(IF(IF(ISERROR('RC Customers by plan'!M5&lt;1),'RC Customers by plan'!M5&lt;1,IF('RC Customers by plan'!M5="","",'RC Customers by plan'!M5&lt;1))="",FALSE,IF(ISERROR('RC Customers by plan'!M5&lt;1),'RC Customers by plan'!M5&lt;1,IF('RC Customers by plan'!M5="","",'RC Customers by plan'!M5&lt;1))),0,'RC Customers by plan'!M9*'Model inputs'!AG59)</f>
        <v>1.6438930384768016</v>
      </c>
      <c r="N25" s="10">
        <f>IF(IF(IF(ISERROR('RC Customers by plan'!N5&lt;1),'RC Customers by plan'!N5&lt;1,IF('RC Customers by plan'!N5="","",'RC Customers by plan'!N5&lt;1))="",FALSE,IF(ISERROR('RC Customers by plan'!N5&lt;1),'RC Customers by plan'!N5&lt;1,IF('RC Customers by plan'!N5="","",'RC Customers by plan'!N5&lt;1))),0,'RC Customers by plan'!N9*'Model inputs'!AG59)</f>
        <v>1.845765937983407</v>
      </c>
      <c r="O25" s="10">
        <f>IF(IF(IF(ISERROR('RC Customers by plan'!O5&lt;1),'RC Customers by plan'!O5&lt;1,IF('RC Customers by plan'!O5="","",'RC Customers by plan'!O5&lt;1))="",FALSE,IF(ISERROR('RC Customers by plan'!O5&lt;1),'RC Customers by plan'!O5&lt;1,IF('RC Customers by plan'!O5="","",'RC Customers by plan'!O5&lt;1))),0,'RC Customers by plan'!O9*'Model inputs'!AG59)</f>
        <v>2.054221593637347</v>
      </c>
      <c r="P25" s="10">
        <f>IF(IF(IF(ISERROR('RC Customers by plan'!P5&lt;1),'RC Customers by plan'!P5&lt;1,IF('RC Customers by plan'!P5="","",'RC Customers by plan'!P5&lt;1))="",FALSE,IF(ISERROR('RC Customers by plan'!P5&lt;1),'RC Customers by plan'!P5&lt;1,IF('RC Customers by plan'!P5="","",'RC Customers by plan'!P5&lt;1))),0,'RC Customers by plan'!P9*'Model inputs'!AG59)</f>
        <v>2.2693637304511856</v>
      </c>
      <c r="Q25" s="10">
        <f>IF(IF(IF(ISERROR('RC Customers by plan'!Q5&lt;1),'RC Customers by plan'!Q5&lt;1,IF('RC Customers by plan'!Q5="","",'RC Customers by plan'!Q5&lt;1))="",FALSE,IF(ISERROR('RC Customers by plan'!Q5&lt;1),'RC Customers by plan'!Q5&lt;1,IF('RC Customers by plan'!Q5="","",'RC Customers by plan'!Q5&lt;1))),0,'RC Customers by plan'!Q9*'Model inputs'!AG59)</f>
        <v>2.491319712757528</v>
      </c>
      <c r="R25" s="10">
        <f>IF(IF(IF(ISERROR('RC Customers by plan'!R5&lt;1),'RC Customers by plan'!R5&lt;1,IF('RC Customers by plan'!R5="","",'RC Customers by plan'!R5&lt;1))="",FALSE,IF(ISERROR('RC Customers by plan'!R5&lt;1),'RC Customers by plan'!R5&lt;1,IF('RC Customers by plan'!R5="","",'RC Customers by plan'!R5&lt;1))),0,'RC Customers by plan'!R9*'Model inputs'!AG59)</f>
        <v>2.720239888007629</v>
      </c>
      <c r="S25" s="10">
        <f>IF(IF(IF(ISERROR('RC Customers by plan'!S5&lt;1),'RC Customers by plan'!S5&lt;1,IF('RC Customers by plan'!S5="","",'RC Customers by plan'!S5&lt;1))="",FALSE,IF(ISERROR('RC Customers by plan'!S5&lt;1),'RC Customers by plan'!S5&lt;1,IF('RC Customers by plan'!S5="","",'RC Customers by plan'!S5&lt;1))),0,'RC Customers by plan'!S9*'Model inputs'!AG59)</f>
        <v>2.956297021439567</v>
      </c>
    </row>
    <row r="26">
      <c r="A26" t="inlineStr" s="6">
        <is>
          <t xml:space="preserve">Upgrades out</t>
        </is>
      </c>
      <c r="B26" s="8">
        <f>SUM('RC Customers by plan'!B27,'RC Customers by plan'!B28,'RC Customers by plan'!B29)</f>
        <v>0</v>
      </c>
      <c r="C26" s="8">
        <f>SUM('RC Customers by plan'!C27,'RC Customers by plan'!C28,'RC Customers by plan'!C29)</f>
        <v>0.2916666666666667</v>
      </c>
      <c r="D26" s="8">
        <f>SUM('RC Customers by plan'!D27,'RC Customers by plan'!D28,'RC Customers by plan'!D29)</f>
        <v>0.5333125</v>
      </c>
      <c r="E26" s="8">
        <f>SUM('RC Customers by plan'!E27,'RC Customers by plan'!E28,'RC Customers by plan'!E29)</f>
        <v>0.6948002488425927</v>
      </c>
      <c r="F26" s="8">
        <f>SUM('RC Customers by plan'!F27,'RC Customers by plan'!F28,'RC Customers by plan'!F29)</f>
        <v>0.8623815489824461</v>
      </c>
      <c r="G26" s="8">
        <f>SUM('RC Customers by plan'!G27,'RC Customers by plan'!G28,'RC Customers by plan'!G29)</f>
        <v>1.0370073007913894</v>
      </c>
      <c r="H26" s="8">
        <f>SUM('RC Customers by plan'!H27,'RC Customers by plan'!H28,'RC Customers by plan'!H29)</f>
        <v>1.2196778790980267</v>
      </c>
      <c r="I26" s="8">
        <f>SUM('RC Customers by plan'!I27,'RC Customers by plan'!I28,'RC Customers by plan'!I29)</f>
        <v>1.4114491758402756</v>
      </c>
      <c r="J26" s="8">
        <f>SUM('RC Customers by plan'!J27,'RC Customers by plan'!J28,'RC Customers by plan'!J29)</f>
        <v>1.6134390223399573</v>
      </c>
      <c r="K26" s="8">
        <f>SUM('RC Customers by plan'!K27,'RC Customers by plan'!K28,'RC Customers by plan'!K29)</f>
        <v>1.8268340318695697</v>
      </c>
      <c r="L26" s="8">
        <f>SUM('RC Customers by plan'!L27,'RC Customers by plan'!L28,'RC Customers by plan'!L29)</f>
        <v>2.0400098731409044</v>
      </c>
      <c r="M26" s="8">
        <f>SUM('RC Customers by plan'!M27,'RC Customers by plan'!M28,'RC Customers by plan'!M29)</f>
        <v>2.2535015079062166</v>
      </c>
      <c r="N26" s="8">
        <f>SUM('RC Customers by plan'!N27,'RC Customers by plan'!N28,'RC Customers by plan'!N29)</f>
        <v>2.467830412305536</v>
      </c>
      <c r="O26" s="8">
        <f>SUM('RC Customers by plan'!O27,'RC Customers by plan'!O28,'RC Customers by plan'!O29)</f>
        <v>2.683506316427823</v>
      </c>
      <c r="P26" s="8">
        <f>SUM('RC Customers by plan'!P27,'RC Customers by plan'!P28,'RC Customers by plan'!P29)</f>
        <v>2.9010288631150405</v>
      </c>
      <c r="Q26" s="8">
        <f>SUM('RC Customers by plan'!Q27,'RC Customers by plan'!Q28,'RC Customers by plan'!Q29)</f>
        <v>3.12088919274707</v>
      </c>
      <c r="R26" s="8">
        <f>SUM('RC Customers by plan'!R27,'RC Customers by plan'!R28,'RC Customers by plan'!R29)</f>
        <v>3.3435714603522264</v>
      </c>
      <c r="S26" s="8">
        <f>SUM('RC Customers by plan'!S27,'RC Customers by plan'!S28,'RC Customers by plan'!S29)</f>
        <v>3.569554291023361</v>
      </c>
    </row>
    <row r="27" outlineLevel="1">
      <c r="A27" t="inlineStr" s="9">
        <is>
          <t xml:space="preserve">Indie</t>
        </is>
      </c>
      <c r="B27" s="10">
        <f>IF(IF(IF(ISERROR('RC Customers by plan'!B5&lt;1),'RC Customers by plan'!B5&lt;1,IF('RC Customers by plan'!B5="","",'RC Customers by plan'!B5&lt;1))="",FALSE,IF(ISERROR('RC Customers by plan'!B5&lt;1),'RC Customers by plan'!B5&lt;1,IF('RC Customers by plan'!B5="","",'RC Customers by plan'!B5&lt;1))),0,'RC Customers by plan'!B7*'Model inputs'!AG19/12)</f>
        <v>0</v>
      </c>
      <c r="C27" s="10">
        <f>IF(IF(IF(ISERROR('RC Customers by plan'!C5&lt;1),'RC Customers by plan'!C5&lt;1,IF('RC Customers by plan'!C5="","",'RC Customers by plan'!C5&lt;1))="",FALSE,IF(ISERROR('RC Customers by plan'!C5&lt;1),'RC Customers by plan'!C5&lt;1,IF('RC Customers by plan'!C5="","",'RC Customers by plan'!C5&lt;1))),0,'RC Customers by plan'!C7*'Model inputs'!AG19/12)</f>
        <v>0.26666666666666666</v>
      </c>
      <c r="D27" s="10">
        <f>IF(IF(IF(ISERROR('RC Customers by plan'!D5&lt;1),'RC Customers by plan'!D5&lt;1,IF('RC Customers by plan'!D5="","",'RC Customers by plan'!D5&lt;1))="",FALSE,IF(ISERROR('RC Customers by plan'!D5&lt;1),'RC Customers by plan'!D5&lt;1,IF('RC Customers by plan'!D5="","",'RC Customers by plan'!D5&lt;1))),0,'RC Customers by plan'!D7*'Model inputs'!AG19/12)</f>
        <v>0.4955555555555555</v>
      </c>
      <c r="E27" s="10">
        <f>IF(IF(IF(ISERROR('RC Customers by plan'!E5&lt;1),'RC Customers by plan'!E5&lt;1,IF('RC Customers by plan'!E5="","",'RC Customers by plan'!E5&lt;1))="",FALSE,IF(ISERROR('RC Customers by plan'!E5&lt;1),'RC Customers by plan'!E5&lt;1,IF('RC Customers by plan'!E5="","",'RC Customers by plan'!E5&lt;1))),0,'RC Customers by plan'!E7*'Model inputs'!AG19/12)</f>
        <v>0.6425185185185186</v>
      </c>
      <c r="F27" s="10">
        <f>IF(IF(IF(ISERROR('RC Customers by plan'!F5&lt;1),'RC Customers by plan'!F5&lt;1,IF('RC Customers by plan'!F5="","",'RC Customers by plan'!F5&lt;1))="",FALSE,IF(ISERROR('RC Customers by plan'!F5&lt;1),'RC Customers by plan'!F5&lt;1,IF('RC Customers by plan'!F5="","",'RC Customers by plan'!F5&lt;1))),0,'RC Customers by plan'!F7*'Model inputs'!AG19/12)</f>
        <v>0.7940839506172841</v>
      </c>
      <c r="G27" s="10">
        <f>IF(IF(IF(ISERROR('RC Customers by plan'!G5&lt;1),'RC Customers by plan'!G5&lt;1,IF('RC Customers by plan'!G5="","",'RC Customers by plan'!G5&lt;1))="",FALSE,IF(ISERROR('RC Customers by plan'!G5&lt;1),'RC Customers by plan'!G5&lt;1,IF('RC Customers by plan'!G5="","",'RC Customers by plan'!G5&lt;1))),0,'RC Customers by plan'!G7*'Model inputs'!AG19/12)</f>
        <v>0.9510970205761318</v>
      </c>
      <c r="H27" s="10">
        <f>IF(IF(IF(ISERROR('RC Customers by plan'!H5&lt;1),'RC Customers by plan'!H5&lt;1,IF('RC Customers by plan'!H5="","",'RC Customers by plan'!H5&lt;1))="",FALSE,IF(ISERROR('RC Customers by plan'!H5&lt;1),'RC Customers by plan'!H5&lt;1,IF('RC Customers by plan'!H5="","",'RC Customers by plan'!H5&lt;1))),0,'RC Customers by plan'!H7*'Model inputs'!AG19/12)</f>
        <v>1.114438712537723</v>
      </c>
      <c r="I27" s="10">
        <f>IF(IF(IF(ISERROR('RC Customers by plan'!I5&lt;1),'RC Customers by plan'!I5&lt;1,IF('RC Customers by plan'!I5="","",'RC Customers by plan'!I5&lt;1))="",FALSE,IF(ISERROR('RC Customers by plan'!I5&lt;1),'RC Customers by plan'!I5&lt;1,IF('RC Customers by plan'!I5="","",'RC Customers by plan'!I5&lt;1))),0,'RC Customers by plan'!I7*'Model inputs'!AG19/12)</f>
        <v>1.2850308111685418</v>
      </c>
      <c r="J27" s="10">
        <f>IF(IF(IF(ISERROR('RC Customers by plan'!J5&lt;1),'RC Customers by plan'!J5&lt;1,IF('RC Customers by plan'!J5="","",'RC Customers by plan'!J5&lt;1))="",FALSE,IF(ISERROR('RC Customers by plan'!J5&lt;1),'RC Customers by plan'!J5&lt;1,IF('RC Customers by plan'!J5="","",'RC Customers by plan'!J5&lt;1))),0,'RC Customers by plan'!J7*'Model inputs'!AG19/12)</f>
        <v>1.4638411442479722</v>
      </c>
      <c r="K27" s="10">
        <f>IF(IF(IF(ISERROR('RC Customers by plan'!K5&lt;1),'RC Customers by plan'!K5&lt;1,IF('RC Customers by plan'!K5="","",'RC Customers by plan'!K5&lt;1))="",FALSE,IF(ISERROR('RC Customers by plan'!K5&lt;1),'RC Customers by plan'!K5&lt;1,IF('RC Customers by plan'!K5="","",'RC Customers by plan'!K5&lt;1))),0,'RC Customers by plan'!K7*'Model inputs'!AG19/12)</f>
        <v>1.6518891127613609</v>
      </c>
      <c r="L27" s="10">
        <f>IF(IF(IF(ISERROR('RC Customers by plan'!L5&lt;1),'RC Customers by plan'!L5&lt;1,IF('RC Customers by plan'!L5="","",'RC Customers by plan'!L5&lt;1))="",FALSE,IF(ISERROR('RC Customers by plan'!L5&lt;1),'RC Customers by plan'!L5&lt;1,IF('RC Customers by plan'!L5="","",'RC Customers by plan'!L5&lt;1))),0,'RC Customers by plan'!L7*'Model inputs'!AG19/12)</f>
        <v>1.8388260451657203</v>
      </c>
      <c r="M27" s="10">
        <f>IF(IF(IF(ISERROR('RC Customers by plan'!M5&lt;1),'RC Customers by plan'!M5&lt;1,IF('RC Customers by plan'!M5="","",'RC Customers by plan'!M5&lt;1))="",FALSE,IF(ISERROR('RC Customers by plan'!M5&lt;1),'RC Customers by plan'!M5&lt;1,IF('RC Customers by plan'!M5="","",'RC Customers by plan'!M5&lt;1))),0,'RC Customers by plan'!M7*'Model inputs'!AG19/12)</f>
        <v>2.0251830303399943</v>
      </c>
      <c r="N27" s="10">
        <f>IF(IF(IF(ISERROR('RC Customers by plan'!N5&lt;1),'RC Customers by plan'!N5&lt;1,IF('RC Customers by plan'!N5="","",'RC Customers by plan'!N5&lt;1))="",FALSE,IF(ISERROR('RC Customers by plan'!N5&lt;1),'RC Customers by plan'!N5&lt;1,IF('RC Customers by plan'!N5="","",'RC Customers by plan'!N5&lt;1))),0,'RC Customers by plan'!N7*'Model inputs'!AG19/12)</f>
        <v>2.211474032030063</v>
      </c>
      <c r="O27" s="10">
        <f>IF(IF(IF(ISERROR('RC Customers by plan'!O5&lt;1),'RC Customers by plan'!O5&lt;1,IF('RC Customers by plan'!O5="","",'RC Customers by plan'!O5&lt;1))="",FALSE,IF(ISERROR('RC Customers by plan'!O5&lt;1),'RC Customers by plan'!O5&lt;1,IF('RC Customers by plan'!O5="","",'RC Customers by plan'!O5&lt;1))),0,'RC Customers by plan'!O7*'Model inputs'!AG19/12)</f>
        <v>2.398197761755969</v>
      </c>
      <c r="P27" s="10">
        <f>IF(IF(IF(ISERROR('RC Customers by plan'!P5&lt;1),'RC Customers by plan'!P5&lt;1,IF('RC Customers by plan'!P5="","",'RC Customers by plan'!P5&lt;1))="",FALSE,IF(ISERROR('RC Customers by plan'!P5&lt;1),'RC Customers by plan'!P5&lt;1,IF('RC Customers by plan'!P5="","",'RC Customers by plan'!P5&lt;1))),0,'RC Customers by plan'!P7*'Model inputs'!AG19/12)</f>
        <v>2.5858394561079314</v>
      </c>
      <c r="Q27" s="10">
        <f>IF(IF(IF(ISERROR('RC Customers by plan'!Q5&lt;1),'RC Customers by plan'!Q5&lt;1,IF('RC Customers by plan'!Q5="","",'RC Customers by plan'!Q5&lt;1))="",FALSE,IF(ISERROR('RC Customers by plan'!Q5&lt;1),'RC Customers by plan'!Q5&lt;1,IF('RC Customers by plan'!Q5="","",'RC Customers by plan'!Q5&lt;1))),0,'RC Customers by plan'!Q7*'Model inputs'!AG19/12)</f>
        <v>2.774872565975191</v>
      </c>
      <c r="R27" s="10">
        <f>IF(IF(IF(ISERROR('RC Customers by plan'!R5&lt;1),'RC Customers by plan'!R5&lt;1,IF('RC Customers by plan'!R5="","",'RC Customers by plan'!R5&lt;1))="",FALSE,IF(ISERROR('RC Customers by plan'!R5&lt;1),'RC Customers by plan'!R5&lt;1,IF('RC Customers by plan'!R5="","",'RC Customers by plan'!R5&lt;1))),0,'RC Customers by plan'!R7*'Model inputs'!AG19/12)</f>
        <v>2.9657603647956114</v>
      </c>
      <c r="S27" s="10">
        <f>IF(IF(IF(ISERROR('RC Customers by plan'!S5&lt;1),'RC Customers by plan'!S5&lt;1,IF('RC Customers by plan'!S5="","",'RC Customers by plan'!S5&lt;1))="",FALSE,IF(ISERROR('RC Customers by plan'!S5&lt;1),'RC Customers by plan'!S5&lt;1,IF('RC Customers by plan'!S5="","",'RC Customers by plan'!S5&lt;1))),0,'RC Customers by plan'!S7*'Model inputs'!AG19/12)</f>
        <v>3.158957482490088</v>
      </c>
    </row>
    <row r="28" outlineLevel="1">
      <c r="A28" t="inlineStr" s="9">
        <is>
          <t xml:space="preserve">Launch</t>
        </is>
      </c>
      <c r="B28" s="10">
        <f>IF(IF(IF(ISERROR('RC Customers by plan'!B5&lt;1),'RC Customers by plan'!B5&lt;1,IF('RC Customers by plan'!B5="","",'RC Customers by plan'!B5&lt;1))="",FALSE,IF(ISERROR('RC Customers by plan'!B5&lt;1),'RC Customers by plan'!B5&lt;1,IF('RC Customers by plan'!B5="","",'RC Customers by plan'!B5&lt;1))),0,'RC Customers by plan'!B8*'Model inputs'!AG20/12)</f>
        <v>0</v>
      </c>
      <c r="C28" s="10">
        <f>IF(IF(IF(ISERROR('RC Customers by plan'!C5&lt;1),'RC Customers by plan'!C5&lt;1,IF('RC Customers by plan'!C5="","",'RC Customers by plan'!C5&lt;1))="",FALSE,IF(ISERROR('RC Customers by plan'!C5&lt;1),'RC Customers by plan'!C5&lt;1,IF('RC Customers by plan'!C5="","",'RC Customers by plan'!C5&lt;1))),0,'RC Customers by plan'!C8*'Model inputs'!AG20/12)</f>
        <v>0</v>
      </c>
      <c r="D28" s="10">
        <f>IF(IF(IF(ISERROR('RC Customers by plan'!D5&lt;1),'RC Customers by plan'!D5&lt;1,IF('RC Customers by plan'!D5="","",'RC Customers by plan'!D5&lt;1))="",FALSE,IF(ISERROR('RC Customers by plan'!D5&lt;1),'RC Customers by plan'!D5&lt;1,IF('RC Customers by plan'!D5="","",'RC Customers by plan'!D5&lt;1))),0,'RC Customers by plan'!D8*'Model inputs'!AG20/12)</f>
        <v>0</v>
      </c>
      <c r="E28" s="10">
        <f>IF(IF(IF(ISERROR('RC Customers by plan'!E5&lt;1),'RC Customers by plan'!E5&lt;1,IF('RC Customers by plan'!E5="","",'RC Customers by plan'!E5&lt;1))="",FALSE,IF(ISERROR('RC Customers by plan'!E5&lt;1),'RC Customers by plan'!E5&lt;1,IF('RC Customers by plan'!E5="","",'RC Customers by plan'!E5&lt;1))),0,'RC Customers by plan'!E8*'Model inputs'!AG20/12)</f>
        <v>0</v>
      </c>
      <c r="F28" s="10">
        <f>IF(IF(IF(ISERROR('RC Customers by plan'!F5&lt;1),'RC Customers by plan'!F5&lt;1,IF('RC Customers by plan'!F5="","",'RC Customers by plan'!F5&lt;1))="",FALSE,IF(ISERROR('RC Customers by plan'!F5&lt;1),'RC Customers by plan'!F5&lt;1,IF('RC Customers by plan'!F5="","",'RC Customers by plan'!F5&lt;1))),0,'RC Customers by plan'!F8*'Model inputs'!AG20/12)</f>
        <v>0</v>
      </c>
      <c r="G28" s="10">
        <f>IF(IF(IF(ISERROR('RC Customers by plan'!G5&lt;1),'RC Customers by plan'!G5&lt;1,IF('RC Customers by plan'!G5="","",'RC Customers by plan'!G5&lt;1))="",FALSE,IF(ISERROR('RC Customers by plan'!G5&lt;1),'RC Customers by plan'!G5&lt;1,IF('RC Customers by plan'!G5="","",'RC Customers by plan'!G5&lt;1))),0,'RC Customers by plan'!G8*'Model inputs'!AG20/12)</f>
        <v>0</v>
      </c>
      <c r="H28" s="10">
        <f>IF(IF(IF(ISERROR('RC Customers by plan'!H5&lt;1),'RC Customers by plan'!H5&lt;1,IF('RC Customers by plan'!H5="","",'RC Customers by plan'!H5&lt;1))="",FALSE,IF(ISERROR('RC Customers by plan'!H5&lt;1),'RC Customers by plan'!H5&lt;1,IF('RC Customers by plan'!H5="","",'RC Customers by plan'!H5&lt;1))),0,'RC Customers by plan'!H8*'Model inputs'!AG20/12)</f>
        <v>0</v>
      </c>
      <c r="I28" s="10">
        <f>IF(IF(IF(ISERROR('RC Customers by plan'!I5&lt;1),'RC Customers by plan'!I5&lt;1,IF('RC Customers by plan'!I5="","",'RC Customers by plan'!I5&lt;1))="",FALSE,IF(ISERROR('RC Customers by plan'!I5&lt;1),'RC Customers by plan'!I5&lt;1,IF('RC Customers by plan'!I5="","",'RC Customers by plan'!I5&lt;1))),0,'RC Customers by plan'!I8*'Model inputs'!AG20/12)</f>
        <v>0</v>
      </c>
      <c r="J28" s="10">
        <f>IF(IF(IF(ISERROR('RC Customers by plan'!J5&lt;1),'RC Customers by plan'!J5&lt;1,IF('RC Customers by plan'!J5="","",'RC Customers by plan'!J5&lt;1))="",FALSE,IF(ISERROR('RC Customers by plan'!J5&lt;1),'RC Customers by plan'!J5&lt;1,IF('RC Customers by plan'!J5="","",'RC Customers by plan'!J5&lt;1))),0,'RC Customers by plan'!J8*'Model inputs'!AG20/12)</f>
        <v>0</v>
      </c>
      <c r="K28" s="10">
        <f>IF(IF(IF(ISERROR('RC Customers by plan'!K5&lt;1),'RC Customers by plan'!K5&lt;1,IF('RC Customers by plan'!K5="","",'RC Customers by plan'!K5&lt;1))="",FALSE,IF(ISERROR('RC Customers by plan'!K5&lt;1),'RC Customers by plan'!K5&lt;1,IF('RC Customers by plan'!K5="","",'RC Customers by plan'!K5&lt;1))),0,'RC Customers by plan'!K8*'Model inputs'!AG20/12)</f>
        <v>0</v>
      </c>
      <c r="L28" s="10">
        <f>IF(IF(IF(ISERROR('RC Customers by plan'!L5&lt;1),'RC Customers by plan'!L5&lt;1,IF('RC Customers by plan'!L5="","",'RC Customers by plan'!L5&lt;1))="",FALSE,IF(ISERROR('RC Customers by plan'!L5&lt;1),'RC Customers by plan'!L5&lt;1,IF('RC Customers by plan'!L5="","",'RC Customers by plan'!L5&lt;1))),0,'RC Customers by plan'!L8*'Model inputs'!AG20/12)</f>
        <v>0</v>
      </c>
      <c r="M28" s="10">
        <f>IF(IF(IF(ISERROR('RC Customers by plan'!M5&lt;1),'RC Customers by plan'!M5&lt;1,IF('RC Customers by plan'!M5="","",'RC Customers by plan'!M5&lt;1))="",FALSE,IF(ISERROR('RC Customers by plan'!M5&lt;1),'RC Customers by plan'!M5&lt;1,IF('RC Customers by plan'!M5="","",'RC Customers by plan'!M5&lt;1))),0,'RC Customers by plan'!M8*'Model inputs'!AG20/12)</f>
        <v>0</v>
      </c>
      <c r="N28" s="10">
        <f>IF(IF(IF(ISERROR('RC Customers by plan'!N5&lt;1),'RC Customers by plan'!N5&lt;1,IF('RC Customers by plan'!N5="","",'RC Customers by plan'!N5&lt;1))="",FALSE,IF(ISERROR('RC Customers by plan'!N5&lt;1),'RC Customers by plan'!N5&lt;1,IF('RC Customers by plan'!N5="","",'RC Customers by plan'!N5&lt;1))),0,'RC Customers by plan'!N8*'Model inputs'!AG20/12)</f>
        <v>0</v>
      </c>
      <c r="O28" s="10">
        <f>IF(IF(IF(ISERROR('RC Customers by plan'!O5&lt;1),'RC Customers by plan'!O5&lt;1,IF('RC Customers by plan'!O5="","",'RC Customers by plan'!O5&lt;1))="",FALSE,IF(ISERROR('RC Customers by plan'!O5&lt;1),'RC Customers by plan'!O5&lt;1,IF('RC Customers by plan'!O5="","",'RC Customers by plan'!O5&lt;1))),0,'RC Customers by plan'!O8*'Model inputs'!AG20/12)</f>
        <v>0</v>
      </c>
      <c r="P28" s="10">
        <f>IF(IF(IF(ISERROR('RC Customers by plan'!P5&lt;1),'RC Customers by plan'!P5&lt;1,IF('RC Customers by plan'!P5="","",'RC Customers by plan'!P5&lt;1))="",FALSE,IF(ISERROR('RC Customers by plan'!P5&lt;1),'RC Customers by plan'!P5&lt;1,IF('RC Customers by plan'!P5="","",'RC Customers by plan'!P5&lt;1))),0,'RC Customers by plan'!P8*'Model inputs'!AG20/12)</f>
        <v>0</v>
      </c>
      <c r="Q28" s="10">
        <f>IF(IF(IF(ISERROR('RC Customers by plan'!Q5&lt;1),'RC Customers by plan'!Q5&lt;1,IF('RC Customers by plan'!Q5="","",'RC Customers by plan'!Q5&lt;1))="",FALSE,IF(ISERROR('RC Customers by plan'!Q5&lt;1),'RC Customers by plan'!Q5&lt;1,IF('RC Customers by plan'!Q5="","",'RC Customers by plan'!Q5&lt;1))),0,'RC Customers by plan'!Q8*'Model inputs'!AG20/12)</f>
        <v>0</v>
      </c>
      <c r="R28" s="10">
        <f>IF(IF(IF(ISERROR('RC Customers by plan'!R5&lt;1),'RC Customers by plan'!R5&lt;1,IF('RC Customers by plan'!R5="","",'RC Customers by plan'!R5&lt;1))="",FALSE,IF(ISERROR('RC Customers by plan'!R5&lt;1),'RC Customers by plan'!R5&lt;1,IF('RC Customers by plan'!R5="","",'RC Customers by plan'!R5&lt;1))),0,'RC Customers by plan'!R8*'Model inputs'!AG20/12)</f>
        <v>0</v>
      </c>
      <c r="S28" s="10">
        <f>IF(IF(IF(ISERROR('RC Customers by plan'!S5&lt;1),'RC Customers by plan'!S5&lt;1,IF('RC Customers by plan'!S5="","",'RC Customers by plan'!S5&lt;1))="",FALSE,IF(ISERROR('RC Customers by plan'!S5&lt;1),'RC Customers by plan'!S5&lt;1,IF('RC Customers by plan'!S5="","",'RC Customers by plan'!S5&lt;1))),0,'RC Customers by plan'!S8*'Model inputs'!AG20/12)</f>
        <v>0</v>
      </c>
    </row>
    <row r="29" outlineLevel="1">
      <c r="A29" t="inlineStr" s="9">
        <is>
          <t xml:space="preserve">Team</t>
        </is>
      </c>
      <c r="B29" s="10">
        <f>IF(IF(IF(ISERROR('RC Customers by plan'!B5&lt;1),'RC Customers by plan'!B5&lt;1,IF('RC Customers by plan'!B5="","",'RC Customers by plan'!B5&lt;1))="",FALSE,IF(ISERROR('RC Customers by plan'!B5&lt;1),'RC Customers by plan'!B5&lt;1,IF('RC Customers by plan'!B5="","",'RC Customers by plan'!B5&lt;1))),0,'RC Customers by plan'!B9*'Model inputs'!AG21/12)</f>
        <v>0</v>
      </c>
      <c r="C29" s="10">
        <f>IF(IF(IF(ISERROR('RC Customers by plan'!C5&lt;1),'RC Customers by plan'!C5&lt;1,IF('RC Customers by plan'!C5="","",'RC Customers by plan'!C5&lt;1))="",FALSE,IF(ISERROR('RC Customers by plan'!C5&lt;1),'RC Customers by plan'!C5&lt;1,IF('RC Customers by plan'!C5="","",'RC Customers by plan'!C5&lt;1))),0,'RC Customers by plan'!C9*'Model inputs'!AG21/12)</f>
        <v>0.025</v>
      </c>
      <c r="D29" s="10">
        <f>IF(IF(IF(ISERROR('RC Customers by plan'!D5&lt;1),'RC Customers by plan'!D5&lt;1,IF('RC Customers by plan'!D5="","",'RC Customers by plan'!D5&lt;1))="",FALSE,IF(ISERROR('RC Customers by plan'!D5&lt;1),'RC Customers by plan'!D5&lt;1,IF('RC Customers by plan'!D5="","",'RC Customers by plan'!D5&lt;1))),0,'RC Customers by plan'!D9*'Model inputs'!AG21/12)</f>
        <v>0.03775694444444445</v>
      </c>
      <c r="E29" s="10">
        <f>IF(IF(IF(ISERROR('RC Customers by plan'!E5&lt;1),'RC Customers by plan'!E5&lt;1,IF('RC Customers by plan'!E5="","",'RC Customers by plan'!E5&lt;1))="",FALSE,IF(ISERROR('RC Customers by plan'!E5&lt;1),'RC Customers by plan'!E5&lt;1,IF('RC Customers by plan'!E5="","",'RC Customers by plan'!E5&lt;1))),0,'RC Customers by plan'!E9*'Model inputs'!AG21/12)</f>
        <v>0.05228173032407408</v>
      </c>
      <c r="F29" s="10">
        <f>IF(IF(IF(ISERROR('RC Customers by plan'!F5&lt;1),'RC Customers by plan'!F5&lt;1,IF('RC Customers by plan'!F5="","",'RC Customers by plan'!F5&lt;1))="",FALSE,IF(ISERROR('RC Customers by plan'!F5&lt;1),'RC Customers by plan'!F5&lt;1,IF('RC Customers by plan'!F5="","",'RC Customers by plan'!F5&lt;1))),0,'RC Customers by plan'!F9*'Model inputs'!AG21/12)</f>
        <v>0.06829759836516204</v>
      </c>
      <c r="G29" s="10">
        <f>IF(IF(IF(ISERROR('RC Customers by plan'!G5&lt;1),'RC Customers by plan'!G5&lt;1,IF('RC Customers by plan'!G5="","",'RC Customers by plan'!G5&lt;1))="",FALSE,IF(ISERROR('RC Customers by plan'!G5&lt;1),'RC Customers by plan'!G5&lt;1,IF('RC Customers by plan'!G5="","",'RC Customers by plan'!G5&lt;1))),0,'RC Customers by plan'!G9*'Model inputs'!AG21/12)</f>
        <v>0.08591028021525769</v>
      </c>
      <c r="H29" s="10">
        <f>IF(IF(IF(ISERROR('RC Customers by plan'!H5&lt;1),'RC Customers by plan'!H5&lt;1,IF('RC Customers by plan'!H5="","",'RC Customers by plan'!H5&lt;1))="",FALSE,IF(ISERROR('RC Customers by plan'!H5&lt;1),'RC Customers by plan'!H5&lt;1,IF('RC Customers by plan'!H5="","",'RC Customers by plan'!H5&lt;1))),0,'RC Customers by plan'!H9*'Model inputs'!AG21/12)</f>
        <v>0.10523916656030362</v>
      </c>
      <c r="I29" s="10">
        <f>IF(IF(IF(ISERROR('RC Customers by plan'!I5&lt;1),'RC Customers by plan'!I5&lt;1,IF('RC Customers by plan'!I5="","",'RC Customers by plan'!I5&lt;1))="",FALSE,IF(ISERROR('RC Customers by plan'!I5&lt;1),'RC Customers by plan'!I5&lt;1,IF('RC Customers by plan'!I5="","",'RC Customers by plan'!I5&lt;1))),0,'RC Customers by plan'!I9*'Model inputs'!AG21/12)</f>
        <v>0.12641836467173376</v>
      </c>
      <c r="J29" s="10">
        <f>IF(IF(IF(ISERROR('RC Customers by plan'!J5&lt;1),'RC Customers by plan'!J5&lt;1,IF('RC Customers by plan'!J5="","",'RC Customers by plan'!J5&lt;1))="",FALSE,IF(ISERROR('RC Customers by plan'!J5&lt;1),'RC Customers by plan'!J5&lt;1,IF('RC Customers by plan'!J5="","",'RC Customers by plan'!J5&lt;1))),0,'RC Customers by plan'!J9*'Model inputs'!AG21/12)</f>
        <v>0.1495978780919851</v>
      </c>
      <c r="K29" s="10">
        <f>IF(IF(IF(ISERROR('RC Customers by plan'!K5&lt;1),'RC Customers by plan'!K5&lt;1,IF('RC Customers by plan'!K5="","",'RC Customers by plan'!K5&lt;1))="",FALSE,IF(ISERROR('RC Customers by plan'!K5&lt;1),'RC Customers by plan'!K5&lt;1,IF('RC Customers by plan'!K5="","",'RC Customers by plan'!K5&lt;1))),0,'RC Customers by plan'!K9*'Model inputs'!AG21/12)</f>
        <v>0.17494491910820884</v>
      </c>
      <c r="L29" s="10">
        <f>IF(IF(IF(ISERROR('RC Customers by plan'!L5&lt;1),'RC Customers by plan'!L5&lt;1,IF('RC Customers by plan'!L5="","",'RC Customers by plan'!L5&lt;1))="",FALSE,IF(ISERROR('RC Customers by plan'!L5&lt;1),'RC Customers by plan'!L5&lt;1,IF('RC Customers by plan'!L5="","",'RC Customers by plan'!L5&lt;1))),0,'RC Customers by plan'!L9*'Model inputs'!AG21/12)</f>
        <v>0.20118382797518408</v>
      </c>
      <c r="M29" s="10">
        <f>IF(IF(IF(ISERROR('RC Customers by plan'!M5&lt;1),'RC Customers by plan'!M5&lt;1,IF('RC Customers by plan'!M5="","",'RC Customers by plan'!M5&lt;1))="",FALSE,IF(ISERROR('RC Customers by plan'!M5&lt;1),'RC Customers by plan'!M5&lt;1,IF('RC Customers by plan'!M5="","",'RC Customers by plan'!M5&lt;1))),0,'RC Customers by plan'!M9*'Model inputs'!AG21/12)</f>
        <v>0.22831847756622248</v>
      </c>
      <c r="N29" s="10">
        <f>IF(IF(IF(ISERROR('RC Customers by plan'!N5&lt;1),'RC Customers by plan'!N5&lt;1,IF('RC Customers by plan'!N5="","",'RC Customers by plan'!N5&lt;1))="",FALSE,IF(ISERROR('RC Customers by plan'!N5&lt;1),'RC Customers by plan'!N5&lt;1,IF('RC Customers by plan'!N5="","",'RC Customers by plan'!N5&lt;1))),0,'RC Customers by plan'!N9*'Model inputs'!AG21/12)</f>
        <v>0.2563563802754732</v>
      </c>
      <c r="O29" s="10">
        <f>IF(IF(IF(ISERROR('RC Customers by plan'!O5&lt;1),'RC Customers by plan'!O5&lt;1,IF('RC Customers by plan'!O5="","",'RC Customers by plan'!O5&lt;1))="",FALSE,IF(ISERROR('RC Customers by plan'!O5&lt;1),'RC Customers by plan'!O5&lt;1,IF('RC Customers by plan'!O5="","",'RC Customers by plan'!O5&lt;1))),0,'RC Customers by plan'!O9*'Model inputs'!AG21/12)</f>
        <v>0.28530855467185373</v>
      </c>
      <c r="P29" s="10">
        <f>IF(IF(IF(ISERROR('RC Customers by plan'!P5&lt;1),'RC Customers by plan'!P5&lt;1,IF('RC Customers by plan'!P5="","",'RC Customers by plan'!P5&lt;1))="",FALSE,IF(ISERROR('RC Customers by plan'!P5&lt;1),'RC Customers by plan'!P5&lt;1,IF('RC Customers by plan'!P5="","",'RC Customers by plan'!P5&lt;1))),0,'RC Customers by plan'!P9*'Model inputs'!AG21/12)</f>
        <v>0.3151894070071091</v>
      </c>
      <c r="Q29" s="10">
        <f>IF(IF(IF(ISERROR('RC Customers by plan'!Q5&lt;1),'RC Customers by plan'!Q5&lt;1,IF('RC Customers by plan'!Q5="","",'RC Customers by plan'!Q5&lt;1))="",FALSE,IF(ISERROR('RC Customers by plan'!Q5&lt;1),'RC Customers by plan'!Q5&lt;1,IF('RC Customers by plan'!Q5="","",'RC Customers by plan'!Q5&lt;1))),0,'RC Customers by plan'!Q9*'Model inputs'!AG21/12)</f>
        <v>0.34601662677187894</v>
      </c>
      <c r="R29" s="10">
        <f>IF(IF(IF(ISERROR('RC Customers by plan'!R5&lt;1),'RC Customers by plan'!R5&lt;1,IF('RC Customers by plan'!R5="","",'RC Customers by plan'!R5&lt;1))="",FALSE,IF(ISERROR('RC Customers by plan'!R5&lt;1),'RC Customers by plan'!R5&lt;1,IF('RC Customers by plan'!R5="","",'RC Customers by plan'!R5&lt;1))),0,'RC Customers by plan'!R9*'Model inputs'!AG21/12)</f>
        <v>0.3778110955566152</v>
      </c>
      <c r="S29" s="10">
        <f>IF(IF(IF(ISERROR('RC Customers by plan'!S5&lt;1),'RC Customers by plan'!S5&lt;1,IF('RC Customers by plan'!S5="","",'RC Customers by plan'!S5&lt;1))="",FALSE,IF(ISERROR('RC Customers by plan'!S5&lt;1),'RC Customers by plan'!S5&lt;1,IF('RC Customers by plan'!S5="","",'RC Customers by plan'!S5&lt;1))),0,'RC Customers by plan'!S9*'Model inputs'!AG21/12)</f>
        <v>0.41059680853327324</v>
      </c>
    </row>
    <row r="30">
      <c r="A30" t="inlineStr" s="6">
        <is>
          <t xml:space="preserve">Ending customers</t>
        </is>
      </c>
      <c r="B30" s="8">
        <f>SUM('RC Customers by plan'!B31,'RC Customers by plan'!B32,'RC Customers by plan'!B33)</f>
        <v>47</v>
      </c>
      <c r="C30" s="8">
        <f>SUM('RC Customers by plan'!C31,'RC Customers by plan'!C32,'RC Customers by plan'!C33)</f>
        <v>84.905</v>
      </c>
      <c r="D30" s="8">
        <f>SUM('RC Customers by plan'!D31,'RC Customers by plan'!D32,'RC Customers by plan'!D33)</f>
        <v>110.9505</v>
      </c>
      <c r="E30" s="8">
        <f>SUM('RC Customers by plan'!E31,'RC Customers by plan'!E32,'RC Customers by plan'!E33)</f>
        <v>138.05102827083334</v>
      </c>
      <c r="F30" s="8">
        <f>SUM('RC Customers by plan'!F31,'RC Customers by plan'!F32,'RC Customers by plan'!F33)</f>
        <v>166.3601248259896</v>
      </c>
      <c r="G30" s="8">
        <f>SUM('RC Customers by plan'!G31,'RC Customers by plan'!G32,'RC Customers by plan'!G33)</f>
        <v>196.04006505593594</v>
      </c>
      <c r="H30" s="8">
        <f>SUM('RC Customers by plan'!H31,'RC Customers by plan'!H32,'RC Customers by plan'!H33)</f>
        <v>227.2628736908502</v>
      </c>
      <c r="I30" s="8">
        <f>SUM('RC Customers by plan'!I31,'RC Customers by plan'!I32,'RC Customers by plan'!I33)</f>
        <v>260.21140757088153</v>
      </c>
      <c r="J30" s="8">
        <f>SUM('RC Customers by plan'!J31,'RC Customers by plan'!J32,'RC Customers by plan'!J33)</f>
        <v>295.08051439200136</v>
      </c>
      <c r="K30" s="8">
        <f>SUM('RC Customers by plan'!K31,'RC Customers by plan'!K32,'RC Customers by plan'!K33)</f>
        <v>330.0136817964602</v>
      </c>
      <c r="L30" s="8">
        <f>SUM('RC Customers by plan'!L31,'RC Customers by plan'!L32,'RC Customers by plan'!L33)</f>
        <v>365.0921444578123</v>
      </c>
      <c r="M30" s="8">
        <f>SUM('RC Customers by plan'!M31,'RC Customers by plan'!M32,'RC Customers by plan'!M33)</f>
        <v>400.3954360097452</v>
      </c>
      <c r="N30" s="8">
        <f>SUM('RC Customers by plan'!N31,'RC Customers by plan'!N32,'RC Customers by plan'!N33)</f>
        <v>436.0016417049511</v>
      </c>
      <c r="O30" s="8">
        <f>SUM('RC Customers by plan'!O31,'RC Customers by plan'!O32,'RC Customers by plan'!O33)</f>
        <v>471.98764010807395</v>
      </c>
      <c r="P30" s="8">
        <f>SUM('RC Customers by plan'!P31,'RC Customers by plan'!P32,'RC Customers by plan'!P33)</f>
        <v>508.42933477856207</v>
      </c>
      <c r="Q30" s="8">
        <f>SUM('RC Customers by plan'!Q31,'RC Customers by plan'!Q32,'RC Customers by plan'!Q33)</f>
        <v>545.4018768448782</v>
      </c>
      <c r="R30" s="8">
        <f>SUM('RC Customers by plan'!R31,'RC Customers by plan'!R32,'RC Customers by plan'!R33)</f>
        <v>582.979879321125</v>
      </c>
      <c r="S30" s="8">
        <f>SUM('RC Customers by plan'!S31,'RC Customers by plan'!S32,'RC Customers by plan'!S33)</f>
        <v>621.2376239704861</v>
      </c>
    </row>
    <row r="31" outlineLevel="1">
      <c r="A31" t="inlineStr" s="11">
        <is>
          <t xml:space="preserve">Indie</t>
        </is>
      </c>
      <c r="B31" s="12">
        <f>'RC Customers by plan'!B7+'RC Customers by plan'!B11+'RC Customers by plan'!B15+'RC Customers by plan'!B19-'RC Customers by plan'!B23-'RC Customers by plan'!B27</f>
        <v>40</v>
      </c>
      <c r="C31" s="12">
        <f>'RC Customers by plan'!C7+'RC Customers by plan'!C11+'RC Customers by plan'!C15+'RC Customers by plan'!C19-'RC Customers by plan'!C23-'RC Customers by plan'!C27</f>
        <v>74.33333333333333</v>
      </c>
      <c r="D31" s="12">
        <f>'RC Customers by plan'!D7+'RC Customers by plan'!D11+'RC Customers by plan'!D15+'RC Customers by plan'!D19-'RC Customers by plan'!D23-'RC Customers by plan'!D27</f>
        <v>96.37777777777778</v>
      </c>
      <c r="E31" s="12">
        <f>'RC Customers by plan'!E7+'RC Customers by plan'!E11+'RC Customers by plan'!E15+'RC Customers by plan'!E19-'RC Customers by plan'!E23-'RC Customers by plan'!E27</f>
        <v>119.1125925925926</v>
      </c>
      <c r="F31" s="12">
        <f>'RC Customers by plan'!F7+'RC Customers by plan'!F11+'RC Customers by plan'!F15+'RC Customers by plan'!F19-'RC Customers by plan'!F23-'RC Customers by plan'!F27</f>
        <v>142.66455308641977</v>
      </c>
      <c r="G31" s="12">
        <f>'RC Customers by plan'!G7+'RC Customers by plan'!G11+'RC Customers by plan'!G15+'RC Customers by plan'!G19-'RC Customers by plan'!G23-'RC Customers by plan'!G27</f>
        <v>167.16580688065847</v>
      </c>
      <c r="H31" s="12">
        <f>'RC Customers by plan'!H7+'RC Customers by plan'!H11+'RC Customers by plan'!H15+'RC Customers by plan'!H19-'RC Customers by plan'!H23-'RC Customers by plan'!H27</f>
        <v>192.75462167528124</v>
      </c>
      <c r="I31" s="12">
        <f>'RC Customers by plan'!I7+'RC Customers by plan'!I11+'RC Customers by plan'!I15+'RC Customers by plan'!I19-'RC Customers by plan'!I23-'RC Customers by plan'!I27</f>
        <v>219.57617163719584</v>
      </c>
      <c r="J31" s="12">
        <f>'RC Customers by plan'!J7+'RC Customers by plan'!J11+'RC Customers by plan'!J15+'RC Customers by plan'!J19-'RC Customers by plan'!J23-'RC Customers by plan'!J27</f>
        <v>247.78336691420412</v>
      </c>
      <c r="K31" s="12">
        <f>'RC Customers by plan'!K7+'RC Customers by plan'!K11+'RC Customers by plan'!K15+'RC Customers by plan'!K19-'RC Customers by plan'!K23-'RC Customers by plan'!K27</f>
        <v>275.8239067748581</v>
      </c>
      <c r="L31" s="12">
        <f>'RC Customers by plan'!L7+'RC Customers by plan'!L11+'RC Customers by plan'!L15+'RC Customers by plan'!L19-'RC Customers by plan'!L23-'RC Customers by plan'!L27</f>
        <v>303.77745455099915</v>
      </c>
      <c r="M31" s="12">
        <f>'RC Customers by plan'!M7+'RC Customers by plan'!M11+'RC Customers by plan'!M15+'RC Customers by plan'!M19-'RC Customers by plan'!M23-'RC Customers by plan'!M27</f>
        <v>331.7211048045094</v>
      </c>
      <c r="N31" s="12">
        <f>'RC Customers by plan'!N7+'RC Customers by plan'!N11+'RC Customers by plan'!N15+'RC Customers by plan'!N19-'RC Customers by plan'!N23-'RC Customers by plan'!N27</f>
        <v>359.72966426339536</v>
      </c>
      <c r="O31" s="12">
        <f>'RC Customers by plan'!O7+'RC Customers by plan'!O11+'RC Customers by plan'!O15+'RC Customers by plan'!O19-'RC Customers by plan'!O23-'RC Customers by plan'!O27</f>
        <v>387.87591841618973</v>
      </c>
      <c r="P31" s="12">
        <f>'RC Customers by plan'!P7+'RC Customers by plan'!P11+'RC Customers by plan'!P15+'RC Customers by plan'!P19-'RC Customers by plan'!P23-'RC Customers by plan'!P27</f>
        <v>416.23088489627867</v>
      </c>
      <c r="Q31" s="12">
        <f>'RC Customers by plan'!Q7+'RC Customers by plan'!Q11+'RC Customers by plan'!Q15+'RC Customers by plan'!Q19-'RC Customers by plan'!Q23-'RC Customers by plan'!Q27</f>
        <v>444.8640547193417</v>
      </c>
      <c r="R31" s="12">
        <f>'RC Customers by plan'!R7+'RC Customers by plan'!R11+'RC Customers by plan'!R15+'RC Customers by plan'!R19-'RC Customers by plan'!R23-'RC Customers by plan'!R27</f>
        <v>473.8436223735132</v>
      </c>
      <c r="S31" s="12">
        <f>'RC Customers by plan'!S7+'RC Customers by plan'!S11+'RC Customers by plan'!S15+'RC Customers by plan'!S19-'RC Customers by plan'!S23-'RC Customers by plan'!S27</f>
        <v>503.23670570282496</v>
      </c>
    </row>
    <row r="32" outlineLevel="1">
      <c r="A32" t="inlineStr" s="11">
        <is>
          <t xml:space="preserve">Launch</t>
        </is>
      </c>
      <c r="B32" s="12">
        <f>'RC Customers by plan'!B8+'RC Customers by plan'!B12+'RC Customers by plan'!B16+'RC Customers by plan'!B20-'RC Customers by plan'!B24-'RC Customers by plan'!B28</f>
        <v>1</v>
      </c>
      <c r="C32" s="12">
        <f>'RC Customers by plan'!C8+'RC Customers by plan'!C12+'RC Customers by plan'!C16+'RC Customers by plan'!C20-'RC Customers by plan'!C24-'RC Customers by plan'!C28</f>
        <v>1.51</v>
      </c>
      <c r="D32" s="12">
        <f>'RC Customers by plan'!D8+'RC Customers by plan'!D12+'RC Customers by plan'!D16+'RC Customers by plan'!D20-'RC Customers by plan'!D24-'RC Customers by plan'!D28</f>
        <v>2.025106944444444</v>
      </c>
      <c r="E32" s="12">
        <f>'RC Customers by plan'!E8+'RC Customers by plan'!E12+'RC Customers by plan'!E16+'RC Customers by plan'!E20-'RC Customers by plan'!E24-'RC Customers by plan'!E28</f>
        <v>2.547012070601851</v>
      </c>
      <c r="F32" s="12">
        <f>'RC Customers by plan'!F8+'RC Customers by plan'!F12+'RC Customers by plan'!F16+'RC Customers by plan'!F20-'RC Customers by plan'!F24-'RC Customers by plan'!F28</f>
        <v>3.0771044879079854</v>
      </c>
      <c r="G32" s="12">
        <f>'RC Customers by plan'!G8+'RC Customers by plan'!G12+'RC Customers by plan'!G16+'RC Customers by plan'!G20-'RC Customers by plan'!G24-'RC Customers by plan'!G28</f>
        <v>3.6168582008046233</v>
      </c>
      <c r="H32" s="12">
        <f>'RC Customers by plan'!H8+'RC Customers by plan'!H12+'RC Customers by plan'!H16+'RC Customers by plan'!H20-'RC Customers by plan'!H24-'RC Customers by plan'!H28</f>
        <v>4.167844494352857</v>
      </c>
      <c r="I32" s="12">
        <f>'RC Customers by plan'!I8+'RC Customers by plan'!I12+'RC Customers by plan'!I16+'RC Customers by plan'!I20-'RC Customers by plan'!I24-'RC Customers by plan'!I28</f>
        <v>4.731745191609298</v>
      </c>
      <c r="J32" s="12">
        <f>'RC Customers by plan'!J8+'RC Customers by plan'!J12+'RC Customers by plan'!J16+'RC Customers by plan'!J20-'RC Customers by plan'!J24-'RC Customers by plan'!J28</f>
        <v>5.310366891827144</v>
      </c>
      <c r="K32" s="12">
        <f>'RC Customers by plan'!K8+'RC Customers by plan'!K12+'RC Customers by plan'!K16+'RC Customers by plan'!K20-'RC Customers by plan'!K24-'RC Customers by plan'!K28</f>
        <v>5.905656307557946</v>
      </c>
      <c r="L32" s="12">
        <f>'RC Customers by plan'!L8+'RC Customers by plan'!L12+'RC Customers by plan'!L16+'RC Customers by plan'!L20-'RC Customers by plan'!L24-'RC Customers by plan'!L28</f>
        <v>6.51825529091976</v>
      </c>
      <c r="M32" s="12">
        <f>'RC Customers by plan'!M8+'RC Customers by plan'!M12+'RC Customers by plan'!M16+'RC Customers by plan'!M20-'RC Customers by plan'!M24-'RC Customers by plan'!M28</f>
        <v>7.148799939122187</v>
      </c>
      <c r="N32" s="12">
        <f>'RC Customers by plan'!N8+'RC Customers by plan'!N12+'RC Customers by plan'!N16+'RC Customers by plan'!N20-'RC Customers by plan'!N24-'RC Customers by plan'!N28</f>
        <v>7.797924320310828</v>
      </c>
      <c r="O32" s="12">
        <f>'RC Customers by plan'!O8+'RC Customers by plan'!O12+'RC Customers by plan'!O16+'RC Customers by plan'!O20-'RC Customers by plan'!O24-'RC Customers by plan'!O28</f>
        <v>8.466264010178019</v>
      </c>
      <c r="P32" s="12">
        <f>'RC Customers by plan'!P8+'RC Customers by plan'!P12+'RC Customers by plan'!P16+'RC Customers by plan'!P20-'RC Customers by plan'!P24-'RC Customers by plan'!P28</f>
        <v>9.154459457032457</v>
      </c>
      <c r="Q32" s="12">
        <f>'RC Customers by plan'!Q8+'RC Customers by plan'!Q12+'RC Customers by plan'!Q16+'RC Customers by plan'!Q20-'RC Customers by plan'!Q24-'RC Customers by plan'!Q28</f>
        <v>9.86315919194885</v>
      </c>
      <c r="R32" s="12">
        <f>'RC Customers by plan'!R8+'RC Customers by plan'!R12+'RC Customers by plan'!R16+'RC Customers by plan'!R20-'RC Customers by plan'!R24-'RC Customers by plan'!R28</f>
        <v>10.59302289962623</v>
      </c>
      <c r="S32" s="12">
        <f>'RC Customers by plan'!S8+'RC Customers by plan'!S12+'RC Customers by plan'!S16+'RC Customers by plan'!S20-'RC Customers by plan'!S24-'RC Customers by plan'!S28</f>
        <v>11.344724364665112</v>
      </c>
    </row>
    <row r="33" outlineLevel="1">
      <c r="A33" t="inlineStr" s="11">
        <is>
          <t xml:space="preserve">Team</t>
        </is>
      </c>
      <c r="B33" s="12">
        <f>'RC Customers by plan'!B9+'RC Customers by plan'!B13+'RC Customers by plan'!B17+'RC Customers by plan'!B21-'RC Customers by plan'!B25-'RC Customers by plan'!B29</f>
        <v>6</v>
      </c>
      <c r="C33" s="12">
        <f>'RC Customers by plan'!C9+'RC Customers by plan'!C13+'RC Customers by plan'!C17+'RC Customers by plan'!C21-'RC Customers by plan'!C25-'RC Customers by plan'!C29</f>
        <v>9.061666666666667</v>
      </c>
      <c r="D33" s="12">
        <f>'RC Customers by plan'!D9+'RC Customers by plan'!D13+'RC Customers by plan'!D17+'RC Customers by plan'!D21-'RC Customers by plan'!D25-'RC Customers by plan'!D29</f>
        <v>12.547615277777778</v>
      </c>
      <c r="E33" s="12">
        <f>'RC Customers by plan'!E9+'RC Customers by plan'!E13+'RC Customers by plan'!E17+'RC Customers by plan'!E21-'RC Customers by plan'!E25-'RC Customers by plan'!E29</f>
        <v>16.391423607638888</v>
      </c>
      <c r="F33" s="12">
        <f>'RC Customers by plan'!F9+'RC Customers by plan'!F13+'RC Customers by plan'!F17+'RC Customers by plan'!F21-'RC Customers by plan'!F25-'RC Customers by plan'!F29</f>
        <v>20.618467251661844</v>
      </c>
      <c r="G33" s="12">
        <f>'RC Customers by plan'!G9+'RC Customers by plan'!G13+'RC Customers by plan'!G17+'RC Customers by plan'!G21-'RC Customers by plan'!G25-'RC Customers by plan'!G29</f>
        <v>25.257399974472865</v>
      </c>
      <c r="H33" s="12">
        <f>'RC Customers by plan'!H9+'RC Customers by plan'!H13+'RC Customers by plan'!H17+'RC Customers by plan'!H21-'RC Customers by plan'!H25-'RC Customers by plan'!H29</f>
        <v>30.3404075212161</v>
      </c>
      <c r="I33" s="12">
        <f>'RC Customers by plan'!I9+'RC Customers by plan'!I13+'RC Customers by plan'!I17+'RC Customers by plan'!I21-'RC Customers by plan'!I25-'RC Customers by plan'!I29</f>
        <v>35.90349074207642</v>
      </c>
      <c r="J33" s="12">
        <f>'RC Customers by plan'!J9+'RC Customers by plan'!J13+'RC Customers by plan'!J17+'RC Customers by plan'!J21-'RC Customers by plan'!J25-'RC Customers by plan'!J29</f>
        <v>41.986780585970116</v>
      </c>
      <c r="K33" s="12">
        <f>'RC Customers by plan'!K9+'RC Customers by plan'!K13+'RC Customers by plan'!K17+'RC Customers by plan'!K21-'RC Customers by plan'!K25-'RC Customers by plan'!K29</f>
        <v>48.284118714044176</v>
      </c>
      <c r="L33" s="12">
        <f>'RC Customers by plan'!L9+'RC Customers by plan'!L13+'RC Customers by plan'!L17+'RC Customers by plan'!L21-'RC Customers by plan'!L25-'RC Customers by plan'!L29</f>
        <v>54.79643461589339</v>
      </c>
      <c r="M33" s="12">
        <f>'RC Customers by plan'!M9+'RC Customers by plan'!M13+'RC Customers by plan'!M17+'RC Customers by plan'!M21-'RC Customers by plan'!M25-'RC Customers by plan'!M29</f>
        <v>61.52553126611357</v>
      </c>
      <c r="N33" s="12">
        <f>'RC Customers by plan'!N9+'RC Customers by plan'!N13+'RC Customers by plan'!N17+'RC Customers by plan'!N21-'RC Customers by plan'!N25-'RC Customers by plan'!N29</f>
        <v>68.47405312124489</v>
      </c>
      <c r="O33" s="12">
        <f>'RC Customers by plan'!O9+'RC Customers by plan'!O13+'RC Customers by plan'!O17+'RC Customers by plan'!O21-'RC Customers by plan'!O25-'RC Customers by plan'!O29</f>
        <v>75.64545768170619</v>
      </c>
      <c r="P33" s="12">
        <f>'RC Customers by plan'!P9+'RC Customers by plan'!P13+'RC Customers by plan'!P17+'RC Customers by plan'!P21-'RC Customers by plan'!P25-'RC Customers by plan'!P29</f>
        <v>83.04399042525094</v>
      </c>
      <c r="Q33" s="12">
        <f>'RC Customers by plan'!Q9+'RC Customers by plan'!Q13+'RC Customers by plan'!Q17+'RC Customers by plan'!Q21-'RC Customers by plan'!Q25-'RC Customers by plan'!Q29</f>
        <v>90.67466293358764</v>
      </c>
      <c r="R33" s="12">
        <f>'RC Customers by plan'!R9+'RC Customers by plan'!R13+'RC Customers by plan'!R17+'RC Customers by plan'!R21-'RC Customers by plan'!R25-'RC Customers by plan'!R29</f>
        <v>98.54323404798558</v>
      </c>
      <c r="S33" s="12">
        <f>'RC Customers by plan'!S9+'RC Customers by plan'!S13+'RC Customers by plan'!S17+'RC Customers by plan'!S21-'RC Customers by plan'!S25-'RC Customers by plan'!S29</f>
        <v>106.65619390299605</v>
      </c>
    </row>
  </sheetData>
  <mergeCells count="1">
    <mergeCell ref="A1:S1"/>
  </mergeCells>
</worksheet>
</file>

<file path=xl/worksheets/sheet2.xml><?xml version="1.0" encoding="utf-8"?>
<worksheet xmlns="http://schemas.openxmlformats.org/spreadsheetml/2006/main">
  <dimension ref="A1:S60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</cols>
  <sheetData>
    <row r="1" ht="32" customHeight="1">
      <c r="A1" t="inlineStr" s="1">
        <is>
          <t xml:space="preserve">RC Revenue &amp; billing by plan</t>
        </is>
      </c>
    </row>
    <row r="2" ht="20" customHeight="1">
      <c r="A2" t="inlineStr" s="2">
        <is>
          <t xml:space="preserve">RC Customers &amp; revenue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2026-11</t>
        </is>
      </c>
      <c r="C4" t="inlineStr" s="4">
        <is>
          <t xml:space="preserve">2026-12</t>
        </is>
      </c>
      <c r="D4" t="inlineStr" s="5">
        <is>
          <t xml:space="preserve">2027-01</t>
        </is>
      </c>
      <c r="E4" t="inlineStr" s="4">
        <is>
          <t xml:space="preserve">2027-02</t>
        </is>
      </c>
      <c r="F4" t="inlineStr" s="4">
        <is>
          <t xml:space="preserve">2027-03</t>
        </is>
      </c>
      <c r="G4" t="inlineStr" s="5">
        <is>
          <t xml:space="preserve">2027-04</t>
        </is>
      </c>
      <c r="H4" t="inlineStr" s="4">
        <is>
          <t xml:space="preserve">2027-05</t>
        </is>
      </c>
      <c r="I4" t="inlineStr" s="4">
        <is>
          <t xml:space="preserve">2027-06</t>
        </is>
      </c>
      <c r="J4" t="inlineStr" s="5">
        <is>
          <t xml:space="preserve">2027-07</t>
        </is>
      </c>
      <c r="K4" t="inlineStr" s="4">
        <is>
          <t xml:space="preserve">2027-08</t>
        </is>
      </c>
      <c r="L4" t="inlineStr" s="4">
        <is>
          <t xml:space="preserve">2027-09</t>
        </is>
      </c>
      <c r="M4" t="inlineStr" s="5">
        <is>
          <t xml:space="preserve">2027-10</t>
        </is>
      </c>
      <c r="N4" t="inlineStr" s="4">
        <is>
          <t xml:space="preserve">2027-11</t>
        </is>
      </c>
      <c r="O4" t="inlineStr" s="4">
        <is>
          <t xml:space="preserve">2027-12</t>
        </is>
      </c>
      <c r="P4" t="inlineStr" s="5">
        <is>
          <t xml:space="preserve">2028-01</t>
        </is>
      </c>
      <c r="Q4" t="inlineStr" s="4">
        <is>
          <t xml:space="preserve">2028-02</t>
        </is>
      </c>
      <c r="R4" t="inlineStr" s="4">
        <is>
          <t xml:space="preserve">2028-03</t>
        </is>
      </c>
      <c r="S4" t="inlineStr" s="5">
        <is>
          <t xml:space="preserve">2028-04</t>
        </is>
      </c>
    </row>
    <row r="5">
      <c r="A5" t="inlineStr" s="6">
        <is>
          <t xml:space="preserve">Annual-pay share</t>
        </is>
      </c>
      <c r="B5" s="13">
        <f>IFERROR('RC Revenue &amp; billing by plan'!B9/'RC Customers by plan'!B30,0)</f>
        <v>0</v>
      </c>
      <c r="C5" s="13">
        <f>IFERROR('RC Revenue &amp; billing by plan'!C9/'RC Customers by plan'!C30,0)</f>
        <v>0.007263183034633478</v>
      </c>
      <c r="D5" s="13">
        <f>IFERROR('RC Revenue &amp; billing by plan'!D9/'RC Customers by plan'!D30,0)</f>
        <v>0.015323508464819228</v>
      </c>
      <c r="E5" s="13">
        <f>IFERROR('RC Revenue &amp; billing by plan'!E9/'RC Customers by plan'!E30,0)</f>
        <v>0.02400725503608828</v>
      </c>
      <c r="F5" s="13">
        <f>IFERROR('RC Revenue &amp; billing by plan'!F9/'RC Customers by plan'!F30,0)</f>
        <v>0.033234927811073615</v>
      </c>
      <c r="G5" s="13">
        <f>IFERROR('RC Revenue &amp; billing by plan'!G9/'RC Customers by plan'!G30,0)</f>
        <v>0.04295886472009173</v>
      </c>
      <c r="H5" s="13">
        <f>IFERROR('RC Revenue &amp; billing by plan'!H9/'RC Customers by plan'!H30,0)</f>
        <v>0.053145012246386104</v>
      </c>
      <c r="I5" s="13">
        <f>IFERROR('RC Revenue &amp; billing by plan'!I9/'RC Customers by plan'!I30,0)</f>
        <v>0.054656837336832895</v>
      </c>
      <c r="J5" s="13">
        <f>IFERROR('RC Revenue &amp; billing by plan'!J9/'RC Customers by plan'!J30,0)</f>
        <v>0.05609994835252925</v>
      </c>
      <c r="K5" s="13">
        <f>IFERROR('RC Revenue &amp; billing by plan'!K9/'RC Customers by plan'!K30,0)</f>
        <v>0.05747162103799837</v>
      </c>
      <c r="L5" s="13">
        <f>IFERROR('RC Revenue &amp; billing by plan'!L9/'RC Customers by plan'!L30,0)</f>
        <v>0.05878006906791826</v>
      </c>
      <c r="M5" s="13">
        <f>IFERROR('RC Revenue &amp; billing by plan'!M9/'RC Customers by plan'!M30,0)</f>
        <v>0.060030694059278696</v>
      </c>
      <c r="N5" s="13">
        <f>IFERROR('RC Revenue &amp; billing by plan'!N9/'RC Customers by plan'!N30,0)</f>
        <v>0.06122727428308524</v>
      </c>
      <c r="O5" s="13">
        <f>IFERROR('RC Revenue &amp; billing by plan'!O9/'RC Customers by plan'!O30,0)</f>
        <v>0.06237261337059296</v>
      </c>
      <c r="P5" s="13">
        <f>IFERROR('RC Revenue &amp; billing by plan'!P9/'RC Customers by plan'!P30,0)</f>
        <v>0.06346891347812103</v>
      </c>
      <c r="Q5" s="13">
        <f>IFERROR('RC Revenue &amp; billing by plan'!Q9/'RC Customers by plan'!Q30,0)</f>
        <v>0.06451799899827979</v>
      </c>
      <c r="R5" s="13">
        <f>IFERROR('RC Revenue &amp; billing by plan'!R9/'RC Customers by plan'!R30,0)</f>
        <v>0.06552145500483654</v>
      </c>
      <c r="S5" s="13">
        <f>IFERROR('RC Revenue &amp; billing by plan'!S9/'RC Customers by plan'!S30,0)</f>
        <v>0.06648071494723815</v>
      </c>
    </row>
    <row r="6" outlineLevel="1">
      <c r="A6" t="inlineStr" s="9">
        <is>
          <t xml:space="preserve">Indie</t>
        </is>
      </c>
      <c r="B6" s="14">
        <f>IF(IF(IF(ISERROR('RC Customers by plan'!B5&lt;=0),'RC Customers by plan'!B5&lt;=0,IF('RC Customers by plan'!B5="","",'RC Customers by plan'!B5&lt;=0))="",FALSE,IF(ISERROR('RC Customers by plan'!B5&lt;=0),'RC Customers by plan'!B5&lt;=0,IF('RC Customers by plan'!B5="","",'RC Customers by plan'!B5&lt;=0))),0,'Model inputs'!AG28*MIN('RC Customers by plan'!B5/'Model inputs'!AG22,1))</f>
        <v>0</v>
      </c>
      <c r="C6" s="14">
        <f>IF(IF(IF(ISERROR('RC Customers by plan'!C5&lt;=0),'RC Customers by plan'!C5&lt;=0,IF('RC Customers by plan'!C5="","",'RC Customers by plan'!C5&lt;=0))="",FALSE,IF(ISERROR('RC Customers by plan'!C5&lt;=0),'RC Customers by plan'!C5&lt;=0,IF('RC Customers by plan'!C5="","",'RC Customers by plan'!C5&lt;=0))),0,'Model inputs'!AG28*MIN('RC Customers by plan'!C5/'Model inputs'!AG22,1))</f>
        <v>0</v>
      </c>
      <c r="D6" s="14">
        <f>IF(IF(IF(ISERROR('RC Customers by plan'!D5&lt;=0),'RC Customers by plan'!D5&lt;=0,IF('RC Customers by plan'!D5="","",'RC Customers by plan'!D5&lt;=0))="",FALSE,IF(ISERROR('RC Customers by plan'!D5&lt;=0),'RC Customers by plan'!D5&lt;=0,IF('RC Customers by plan'!D5="","",'RC Customers by plan'!D5&lt;=0))),0,'Model inputs'!AG28*MIN('RC Customers by plan'!D5/'Model inputs'!AG22,1))</f>
        <v>0</v>
      </c>
      <c r="E6" s="14">
        <f>IF(IF(IF(ISERROR('RC Customers by plan'!E5&lt;=0),'RC Customers by plan'!E5&lt;=0,IF('RC Customers by plan'!E5="","",'RC Customers by plan'!E5&lt;=0))="",FALSE,IF(ISERROR('RC Customers by plan'!E5&lt;=0),'RC Customers by plan'!E5&lt;=0,IF('RC Customers by plan'!E5="","",'RC Customers by plan'!E5&lt;=0))),0,'Model inputs'!AG28*MIN('RC Customers by plan'!E5/'Model inputs'!AG22,1))</f>
        <v>0</v>
      </c>
      <c r="F6" s="14">
        <f>IF(IF(IF(ISERROR('RC Customers by plan'!F5&lt;=0),'RC Customers by plan'!F5&lt;=0,IF('RC Customers by plan'!F5="","",'RC Customers by plan'!F5&lt;=0))="",FALSE,IF(ISERROR('RC Customers by plan'!F5&lt;=0),'RC Customers by plan'!F5&lt;=0,IF('RC Customers by plan'!F5="","",'RC Customers by plan'!F5&lt;=0))),0,'Model inputs'!AG28*MIN('RC Customers by plan'!F5/'Model inputs'!AG22,1))</f>
        <v>0</v>
      </c>
      <c r="G6" s="14">
        <f>IF(IF(IF(ISERROR('RC Customers by plan'!G5&lt;=0),'RC Customers by plan'!G5&lt;=0,IF('RC Customers by plan'!G5="","",'RC Customers by plan'!G5&lt;=0))="",FALSE,IF(ISERROR('RC Customers by plan'!G5&lt;=0),'RC Customers by plan'!G5&lt;=0,IF('RC Customers by plan'!G5="","",'RC Customers by plan'!G5&lt;=0))),0,'Model inputs'!AG28*MIN('RC Customers by plan'!G5/'Model inputs'!AG22,1))</f>
        <v>0</v>
      </c>
      <c r="H6" s="14">
        <f>IF(IF(IF(ISERROR('RC Customers by plan'!H5&lt;=0),'RC Customers by plan'!H5&lt;=0,IF('RC Customers by plan'!H5="","",'RC Customers by plan'!H5&lt;=0))="",FALSE,IF(ISERROR('RC Customers by plan'!H5&lt;=0),'RC Customers by plan'!H5&lt;=0,IF('RC Customers by plan'!H5="","",'RC Customers by plan'!H5&lt;=0))),0,'Model inputs'!AG28*MIN('RC Customers by plan'!H5/'Model inputs'!AG22,1))</f>
        <v>0</v>
      </c>
      <c r="I6" s="14">
        <f>IF(IF(IF(ISERROR('RC Customers by plan'!I5&lt;=0),'RC Customers by plan'!I5&lt;=0,IF('RC Customers by plan'!I5="","",'RC Customers by plan'!I5&lt;=0))="",FALSE,IF(ISERROR('RC Customers by plan'!I5&lt;=0),'RC Customers by plan'!I5&lt;=0,IF('RC Customers by plan'!I5="","",'RC Customers by plan'!I5&lt;=0))),0,'Model inputs'!AG28*MIN('RC Customers by plan'!I5/'Model inputs'!AG22,1))</f>
        <v>0</v>
      </c>
      <c r="J6" s="14">
        <f>IF(IF(IF(ISERROR('RC Customers by plan'!J5&lt;=0),'RC Customers by plan'!J5&lt;=0,IF('RC Customers by plan'!J5="","",'RC Customers by plan'!J5&lt;=0))="",FALSE,IF(ISERROR('RC Customers by plan'!J5&lt;=0),'RC Customers by plan'!J5&lt;=0,IF('RC Customers by plan'!J5="","",'RC Customers by plan'!J5&lt;=0))),0,'Model inputs'!AG28*MIN('RC Customers by plan'!J5/'Model inputs'!AG22,1))</f>
        <v>0</v>
      </c>
      <c r="K6" s="14">
        <f>IF(IF(IF(ISERROR('RC Customers by plan'!K5&lt;=0),'RC Customers by plan'!K5&lt;=0,IF('RC Customers by plan'!K5="","",'RC Customers by plan'!K5&lt;=0))="",FALSE,IF(ISERROR('RC Customers by plan'!K5&lt;=0),'RC Customers by plan'!K5&lt;=0,IF('RC Customers by plan'!K5="","",'RC Customers by plan'!K5&lt;=0))),0,'Model inputs'!AG28*MIN('RC Customers by plan'!K5/'Model inputs'!AG22,1))</f>
        <v>0</v>
      </c>
      <c r="L6" s="14">
        <f>IF(IF(IF(ISERROR('RC Customers by plan'!L5&lt;=0),'RC Customers by plan'!L5&lt;=0,IF('RC Customers by plan'!L5="","",'RC Customers by plan'!L5&lt;=0))="",FALSE,IF(ISERROR('RC Customers by plan'!L5&lt;=0),'RC Customers by plan'!L5&lt;=0,IF('RC Customers by plan'!L5="","",'RC Customers by plan'!L5&lt;=0))),0,'Model inputs'!AG28*MIN('RC Customers by plan'!L5/'Model inputs'!AG22,1))</f>
        <v>0</v>
      </c>
      <c r="M6" s="14">
        <f>IF(IF(IF(ISERROR('RC Customers by plan'!M5&lt;=0),'RC Customers by plan'!M5&lt;=0,IF('RC Customers by plan'!M5="","",'RC Customers by plan'!M5&lt;=0))="",FALSE,IF(ISERROR('RC Customers by plan'!M5&lt;=0),'RC Customers by plan'!M5&lt;=0,IF('RC Customers by plan'!M5="","",'RC Customers by plan'!M5&lt;=0))),0,'Model inputs'!AG28*MIN('RC Customers by plan'!M5/'Model inputs'!AG22,1))</f>
        <v>0</v>
      </c>
      <c r="N6" s="14">
        <f>IF(IF(IF(ISERROR('RC Customers by plan'!N5&lt;=0),'RC Customers by plan'!N5&lt;=0,IF('RC Customers by plan'!N5="","",'RC Customers by plan'!N5&lt;=0))="",FALSE,IF(ISERROR('RC Customers by plan'!N5&lt;=0),'RC Customers by plan'!N5&lt;=0,IF('RC Customers by plan'!N5="","",'RC Customers by plan'!N5&lt;=0))),0,'Model inputs'!AG28*MIN('RC Customers by plan'!N5/'Model inputs'!AG22,1))</f>
        <v>0</v>
      </c>
      <c r="O6" s="14">
        <f>IF(IF(IF(ISERROR('RC Customers by plan'!O5&lt;=0),'RC Customers by plan'!O5&lt;=0,IF('RC Customers by plan'!O5="","",'RC Customers by plan'!O5&lt;=0))="",FALSE,IF(ISERROR('RC Customers by plan'!O5&lt;=0),'RC Customers by plan'!O5&lt;=0,IF('RC Customers by plan'!O5="","",'RC Customers by plan'!O5&lt;=0))),0,'Model inputs'!AG28*MIN('RC Customers by plan'!O5/'Model inputs'!AG22,1))</f>
        <v>0</v>
      </c>
      <c r="P6" s="14">
        <f>IF(IF(IF(ISERROR('RC Customers by plan'!P5&lt;=0),'RC Customers by plan'!P5&lt;=0,IF('RC Customers by plan'!P5="","",'RC Customers by plan'!P5&lt;=0))="",FALSE,IF(ISERROR('RC Customers by plan'!P5&lt;=0),'RC Customers by plan'!P5&lt;=0,IF('RC Customers by plan'!P5="","",'RC Customers by plan'!P5&lt;=0))),0,'Model inputs'!AG28*MIN('RC Customers by plan'!P5/'Model inputs'!AG22,1))</f>
        <v>0</v>
      </c>
      <c r="Q6" s="14">
        <f>IF(IF(IF(ISERROR('RC Customers by plan'!Q5&lt;=0),'RC Customers by plan'!Q5&lt;=0,IF('RC Customers by plan'!Q5="","",'RC Customers by plan'!Q5&lt;=0))="",FALSE,IF(ISERROR('RC Customers by plan'!Q5&lt;=0),'RC Customers by plan'!Q5&lt;=0,IF('RC Customers by plan'!Q5="","",'RC Customers by plan'!Q5&lt;=0))),0,'Model inputs'!AG28*MIN('RC Customers by plan'!Q5/'Model inputs'!AG22,1))</f>
        <v>0</v>
      </c>
      <c r="R6" s="14">
        <f>IF(IF(IF(ISERROR('RC Customers by plan'!R5&lt;=0),'RC Customers by plan'!R5&lt;=0,IF('RC Customers by plan'!R5="","",'RC Customers by plan'!R5&lt;=0))="",FALSE,IF(ISERROR('RC Customers by plan'!R5&lt;=0),'RC Customers by plan'!R5&lt;=0,IF('RC Customers by plan'!R5="","",'RC Customers by plan'!R5&lt;=0))),0,'Model inputs'!AG28*MIN('RC Customers by plan'!R5/'Model inputs'!AG22,1))</f>
        <v>0</v>
      </c>
      <c r="S6" s="14">
        <f>IF(IF(IF(ISERROR('RC Customers by plan'!S5&lt;=0),'RC Customers by plan'!S5&lt;=0,IF('RC Customers by plan'!S5="","",'RC Customers by plan'!S5&lt;=0))="",FALSE,IF(ISERROR('RC Customers by plan'!S5&lt;=0),'RC Customers by plan'!S5&lt;=0,IF('RC Customers by plan'!S5="","",'RC Customers by plan'!S5&lt;=0))),0,'Model inputs'!AG28*MIN('RC Customers by plan'!S5/'Model inputs'!AG22,1))</f>
        <v>0</v>
      </c>
    </row>
    <row r="7" outlineLevel="1">
      <c r="A7" t="inlineStr" s="9">
        <is>
          <t xml:space="preserve">Launch</t>
        </is>
      </c>
      <c r="B7" s="14">
        <f>IF(IF(IF(ISERROR('RC Customers by plan'!B5&lt;=0),'RC Customers by plan'!B5&lt;=0,IF('RC Customers by plan'!B5="","",'RC Customers by plan'!B5&lt;=0))="",FALSE,IF(ISERROR('RC Customers by plan'!B5&lt;=0),'RC Customers by plan'!B5&lt;=0,IF('RC Customers by plan'!B5="","",'RC Customers by plan'!B5&lt;=0))),0,'Model inputs'!AG29*MIN('RC Customers by plan'!B5/'Model inputs'!AG22,1))</f>
        <v>0</v>
      </c>
      <c r="C7" s="14">
        <f>IF(IF(IF(ISERROR('RC Customers by plan'!C5&lt;=0),'RC Customers by plan'!C5&lt;=0,IF('RC Customers by plan'!C5="","",'RC Customers by plan'!C5&lt;=0))="",FALSE,IF(ISERROR('RC Customers by plan'!C5&lt;=0),'RC Customers by plan'!C5&lt;=0,IF('RC Customers by plan'!C5="","",'RC Customers by plan'!C5&lt;=0))),0,'Model inputs'!AG29*MIN('RC Customers by plan'!C5/'Model inputs'!AG22,1))</f>
        <v>0.05833333333333333</v>
      </c>
      <c r="D7" s="14">
        <f>IF(IF(IF(ISERROR('RC Customers by plan'!D5&lt;=0),'RC Customers by plan'!D5&lt;=0,IF('RC Customers by plan'!D5="","",'RC Customers by plan'!D5&lt;=0))="",FALSE,IF(ISERROR('RC Customers by plan'!D5&lt;=0),'RC Customers by plan'!D5&lt;=0,IF('RC Customers by plan'!D5="","",'RC Customers by plan'!D5&lt;=0))),0,'Model inputs'!AG29*MIN('RC Customers by plan'!D5/'Model inputs'!AG22,1))</f>
        <v>0.11666666666666665</v>
      </c>
      <c r="E7" s="14">
        <f>IF(IF(IF(ISERROR('RC Customers by plan'!E5&lt;=0),'RC Customers by plan'!E5&lt;=0,IF('RC Customers by plan'!E5="","",'RC Customers by plan'!E5&lt;=0))="",FALSE,IF(ISERROR('RC Customers by plan'!E5&lt;=0),'RC Customers by plan'!E5&lt;=0,IF('RC Customers by plan'!E5="","",'RC Customers by plan'!E5&lt;=0))),0,'Model inputs'!AG29*MIN('RC Customers by plan'!E5/'Model inputs'!AG22,1))</f>
        <v>0.175</v>
      </c>
      <c r="F7" s="14">
        <f>IF(IF(IF(ISERROR('RC Customers by plan'!F5&lt;=0),'RC Customers by plan'!F5&lt;=0,IF('RC Customers by plan'!F5="","",'RC Customers by plan'!F5&lt;=0))="",FALSE,IF(ISERROR('RC Customers by plan'!F5&lt;=0),'RC Customers by plan'!F5&lt;=0,IF('RC Customers by plan'!F5="","",'RC Customers by plan'!F5&lt;=0))),0,'Model inputs'!AG29*MIN('RC Customers by plan'!F5/'Model inputs'!AG22,1))</f>
        <v>0.2333333333333333</v>
      </c>
      <c r="G7" s="14">
        <f>IF(IF(IF(ISERROR('RC Customers by plan'!G5&lt;=0),'RC Customers by plan'!G5&lt;=0,IF('RC Customers by plan'!G5="","",'RC Customers by plan'!G5&lt;=0))="",FALSE,IF(ISERROR('RC Customers by plan'!G5&lt;=0),'RC Customers by plan'!G5&lt;=0,IF('RC Customers by plan'!G5="","",'RC Customers by plan'!G5&lt;=0))),0,'Model inputs'!AG29*MIN('RC Customers by plan'!G5/'Model inputs'!AG22,1))</f>
        <v>0.2916666666666667</v>
      </c>
      <c r="H7" s="14">
        <f>IF(IF(IF(ISERROR('RC Customers by plan'!H5&lt;=0),'RC Customers by plan'!H5&lt;=0,IF('RC Customers by plan'!H5="","",'RC Customers by plan'!H5&lt;=0))="",FALSE,IF(ISERROR('RC Customers by plan'!H5&lt;=0),'RC Customers by plan'!H5&lt;=0,IF('RC Customers by plan'!H5="","",'RC Customers by plan'!H5&lt;=0))),0,'Model inputs'!AG29*MIN('RC Customers by plan'!H5/'Model inputs'!AG22,1))</f>
        <v>0.35</v>
      </c>
      <c r="I7" s="14">
        <f>IF(IF(IF(ISERROR('RC Customers by plan'!I5&lt;=0),'RC Customers by plan'!I5&lt;=0,IF('RC Customers by plan'!I5="","",'RC Customers by plan'!I5&lt;=0))="",FALSE,IF(ISERROR('RC Customers by plan'!I5&lt;=0),'RC Customers by plan'!I5&lt;=0,IF('RC Customers by plan'!I5="","",'RC Customers by plan'!I5&lt;=0))),0,'Model inputs'!AG29*MIN('RC Customers by plan'!I5/'Model inputs'!AG22,1))</f>
        <v>0.35</v>
      </c>
      <c r="J7" s="14">
        <f>IF(IF(IF(ISERROR('RC Customers by plan'!J5&lt;=0),'RC Customers by plan'!J5&lt;=0,IF('RC Customers by plan'!J5="","",'RC Customers by plan'!J5&lt;=0))="",FALSE,IF(ISERROR('RC Customers by plan'!J5&lt;=0),'RC Customers by plan'!J5&lt;=0,IF('RC Customers by plan'!J5="","",'RC Customers by plan'!J5&lt;=0))),0,'Model inputs'!AG29*MIN('RC Customers by plan'!J5/'Model inputs'!AG22,1))</f>
        <v>0.35</v>
      </c>
      <c r="K7" s="14">
        <f>IF(IF(IF(ISERROR('RC Customers by plan'!K5&lt;=0),'RC Customers by plan'!K5&lt;=0,IF('RC Customers by plan'!K5="","",'RC Customers by plan'!K5&lt;=0))="",FALSE,IF(ISERROR('RC Customers by plan'!K5&lt;=0),'RC Customers by plan'!K5&lt;=0,IF('RC Customers by plan'!K5="","",'RC Customers by plan'!K5&lt;=0))),0,'Model inputs'!AG29*MIN('RC Customers by plan'!K5/'Model inputs'!AG22,1))</f>
        <v>0.35</v>
      </c>
      <c r="L7" s="14">
        <f>IF(IF(IF(ISERROR('RC Customers by plan'!L5&lt;=0),'RC Customers by plan'!L5&lt;=0,IF('RC Customers by plan'!L5="","",'RC Customers by plan'!L5&lt;=0))="",FALSE,IF(ISERROR('RC Customers by plan'!L5&lt;=0),'RC Customers by plan'!L5&lt;=0,IF('RC Customers by plan'!L5="","",'RC Customers by plan'!L5&lt;=0))),0,'Model inputs'!AG29*MIN('RC Customers by plan'!L5/'Model inputs'!AG22,1))</f>
        <v>0.35</v>
      </c>
      <c r="M7" s="14">
        <f>IF(IF(IF(ISERROR('RC Customers by plan'!M5&lt;=0),'RC Customers by plan'!M5&lt;=0,IF('RC Customers by plan'!M5="","",'RC Customers by plan'!M5&lt;=0))="",FALSE,IF(ISERROR('RC Customers by plan'!M5&lt;=0),'RC Customers by plan'!M5&lt;=0,IF('RC Customers by plan'!M5="","",'RC Customers by plan'!M5&lt;=0))),0,'Model inputs'!AG29*MIN('RC Customers by plan'!M5/'Model inputs'!AG22,1))</f>
        <v>0.35</v>
      </c>
      <c r="N7" s="14">
        <f>IF(IF(IF(ISERROR('RC Customers by plan'!N5&lt;=0),'RC Customers by plan'!N5&lt;=0,IF('RC Customers by plan'!N5="","",'RC Customers by plan'!N5&lt;=0))="",FALSE,IF(ISERROR('RC Customers by plan'!N5&lt;=0),'RC Customers by plan'!N5&lt;=0,IF('RC Customers by plan'!N5="","",'RC Customers by plan'!N5&lt;=0))),0,'Model inputs'!AG29*MIN('RC Customers by plan'!N5/'Model inputs'!AG22,1))</f>
        <v>0.35</v>
      </c>
      <c r="O7" s="14">
        <f>IF(IF(IF(ISERROR('RC Customers by plan'!O5&lt;=0),'RC Customers by plan'!O5&lt;=0,IF('RC Customers by plan'!O5="","",'RC Customers by plan'!O5&lt;=0))="",FALSE,IF(ISERROR('RC Customers by plan'!O5&lt;=0),'RC Customers by plan'!O5&lt;=0,IF('RC Customers by plan'!O5="","",'RC Customers by plan'!O5&lt;=0))),0,'Model inputs'!AG29*MIN('RC Customers by plan'!O5/'Model inputs'!AG22,1))</f>
        <v>0.35</v>
      </c>
      <c r="P7" s="14">
        <f>IF(IF(IF(ISERROR('RC Customers by plan'!P5&lt;=0),'RC Customers by plan'!P5&lt;=0,IF('RC Customers by plan'!P5="","",'RC Customers by plan'!P5&lt;=0))="",FALSE,IF(ISERROR('RC Customers by plan'!P5&lt;=0),'RC Customers by plan'!P5&lt;=0,IF('RC Customers by plan'!P5="","",'RC Customers by plan'!P5&lt;=0))),0,'Model inputs'!AG29*MIN('RC Customers by plan'!P5/'Model inputs'!AG22,1))</f>
        <v>0.35</v>
      </c>
      <c r="Q7" s="14">
        <f>IF(IF(IF(ISERROR('RC Customers by plan'!Q5&lt;=0),'RC Customers by plan'!Q5&lt;=0,IF('RC Customers by plan'!Q5="","",'RC Customers by plan'!Q5&lt;=0))="",FALSE,IF(ISERROR('RC Customers by plan'!Q5&lt;=0),'RC Customers by plan'!Q5&lt;=0,IF('RC Customers by plan'!Q5="","",'RC Customers by plan'!Q5&lt;=0))),0,'Model inputs'!AG29*MIN('RC Customers by plan'!Q5/'Model inputs'!AG22,1))</f>
        <v>0.35</v>
      </c>
      <c r="R7" s="14">
        <f>IF(IF(IF(ISERROR('RC Customers by plan'!R5&lt;=0),'RC Customers by plan'!R5&lt;=0,IF('RC Customers by plan'!R5="","",'RC Customers by plan'!R5&lt;=0))="",FALSE,IF(ISERROR('RC Customers by plan'!R5&lt;=0),'RC Customers by plan'!R5&lt;=0,IF('RC Customers by plan'!R5="","",'RC Customers by plan'!R5&lt;=0))),0,'Model inputs'!AG29*MIN('RC Customers by plan'!R5/'Model inputs'!AG22,1))</f>
        <v>0.35</v>
      </c>
      <c r="S7" s="14">
        <f>IF(IF(IF(ISERROR('RC Customers by plan'!S5&lt;=0),'RC Customers by plan'!S5&lt;=0,IF('RC Customers by plan'!S5="","",'RC Customers by plan'!S5&lt;=0))="",FALSE,IF(ISERROR('RC Customers by plan'!S5&lt;=0),'RC Customers by plan'!S5&lt;=0,IF('RC Customers by plan'!S5="","",'RC Customers by plan'!S5&lt;=0))),0,'Model inputs'!AG29*MIN('RC Customers by plan'!S5/'Model inputs'!AG22,1))</f>
        <v>0.35</v>
      </c>
    </row>
    <row r="8" outlineLevel="1">
      <c r="A8" t="inlineStr" s="9">
        <is>
          <t xml:space="preserve">Team</t>
        </is>
      </c>
      <c r="B8" s="14">
        <f>IF(IF(IF(ISERROR('RC Customers by plan'!B5&lt;=0),'RC Customers by plan'!B5&lt;=0,IF('RC Customers by plan'!B5="","",'RC Customers by plan'!B5&lt;=0))="",FALSE,IF(ISERROR('RC Customers by plan'!B5&lt;=0),'RC Customers by plan'!B5&lt;=0,IF('RC Customers by plan'!B5="","",'RC Customers by plan'!B5&lt;=0))),0,'Model inputs'!AG30*MIN('RC Customers by plan'!B5/'Model inputs'!AG22,1))</f>
        <v>0</v>
      </c>
      <c r="C8" s="14">
        <f>IF(IF(IF(ISERROR('RC Customers by plan'!C5&lt;=0),'RC Customers by plan'!C5&lt;=0,IF('RC Customers by plan'!C5="","",'RC Customers by plan'!C5&lt;=0))="",FALSE,IF(ISERROR('RC Customers by plan'!C5&lt;=0),'RC Customers by plan'!C5&lt;=0,IF('RC Customers by plan'!C5="","",'RC Customers by plan'!C5&lt;=0))),0,'Model inputs'!AG30*MIN('RC Customers by plan'!C5/'Model inputs'!AG22,1))</f>
        <v>0.05833333333333333</v>
      </c>
      <c r="D8" s="14">
        <f>IF(IF(IF(ISERROR('RC Customers by plan'!D5&lt;=0),'RC Customers by plan'!D5&lt;=0,IF('RC Customers by plan'!D5="","",'RC Customers by plan'!D5&lt;=0))="",FALSE,IF(ISERROR('RC Customers by plan'!D5&lt;=0),'RC Customers by plan'!D5&lt;=0,IF('RC Customers by plan'!D5="","",'RC Customers by plan'!D5&lt;=0))),0,'Model inputs'!AG30*MIN('RC Customers by plan'!D5/'Model inputs'!AG22,1))</f>
        <v>0.11666666666666665</v>
      </c>
      <c r="E8" s="14">
        <f>IF(IF(IF(ISERROR('RC Customers by plan'!E5&lt;=0),'RC Customers by plan'!E5&lt;=0,IF('RC Customers by plan'!E5="","",'RC Customers by plan'!E5&lt;=0))="",FALSE,IF(ISERROR('RC Customers by plan'!E5&lt;=0),'RC Customers by plan'!E5&lt;=0,IF('RC Customers by plan'!E5="","",'RC Customers by plan'!E5&lt;=0))),0,'Model inputs'!AG30*MIN('RC Customers by plan'!E5/'Model inputs'!AG22,1))</f>
        <v>0.175</v>
      </c>
      <c r="F8" s="14">
        <f>IF(IF(IF(ISERROR('RC Customers by plan'!F5&lt;=0),'RC Customers by plan'!F5&lt;=0,IF('RC Customers by plan'!F5="","",'RC Customers by plan'!F5&lt;=0))="",FALSE,IF(ISERROR('RC Customers by plan'!F5&lt;=0),'RC Customers by plan'!F5&lt;=0,IF('RC Customers by plan'!F5="","",'RC Customers by plan'!F5&lt;=0))),0,'Model inputs'!AG30*MIN('RC Customers by plan'!F5/'Model inputs'!AG22,1))</f>
        <v>0.2333333333333333</v>
      </c>
      <c r="G8" s="14">
        <f>IF(IF(IF(ISERROR('RC Customers by plan'!G5&lt;=0),'RC Customers by plan'!G5&lt;=0,IF('RC Customers by plan'!G5="","",'RC Customers by plan'!G5&lt;=0))="",FALSE,IF(ISERROR('RC Customers by plan'!G5&lt;=0),'RC Customers by plan'!G5&lt;=0,IF('RC Customers by plan'!G5="","",'RC Customers by plan'!G5&lt;=0))),0,'Model inputs'!AG30*MIN('RC Customers by plan'!G5/'Model inputs'!AG22,1))</f>
        <v>0.2916666666666667</v>
      </c>
      <c r="H8" s="14">
        <f>IF(IF(IF(ISERROR('RC Customers by plan'!H5&lt;=0),'RC Customers by plan'!H5&lt;=0,IF('RC Customers by plan'!H5="","",'RC Customers by plan'!H5&lt;=0))="",FALSE,IF(ISERROR('RC Customers by plan'!H5&lt;=0),'RC Customers by plan'!H5&lt;=0,IF('RC Customers by plan'!H5="","",'RC Customers by plan'!H5&lt;=0))),0,'Model inputs'!AG30*MIN('RC Customers by plan'!H5/'Model inputs'!AG22,1))</f>
        <v>0.35</v>
      </c>
      <c r="I8" s="14">
        <f>IF(IF(IF(ISERROR('RC Customers by plan'!I5&lt;=0),'RC Customers by plan'!I5&lt;=0,IF('RC Customers by plan'!I5="","",'RC Customers by plan'!I5&lt;=0))="",FALSE,IF(ISERROR('RC Customers by plan'!I5&lt;=0),'RC Customers by plan'!I5&lt;=0,IF('RC Customers by plan'!I5="","",'RC Customers by plan'!I5&lt;=0))),0,'Model inputs'!AG30*MIN('RC Customers by plan'!I5/'Model inputs'!AG22,1))</f>
        <v>0.35</v>
      </c>
      <c r="J8" s="14">
        <f>IF(IF(IF(ISERROR('RC Customers by plan'!J5&lt;=0),'RC Customers by plan'!J5&lt;=0,IF('RC Customers by plan'!J5="","",'RC Customers by plan'!J5&lt;=0))="",FALSE,IF(ISERROR('RC Customers by plan'!J5&lt;=0),'RC Customers by plan'!J5&lt;=0,IF('RC Customers by plan'!J5="","",'RC Customers by plan'!J5&lt;=0))),0,'Model inputs'!AG30*MIN('RC Customers by plan'!J5/'Model inputs'!AG22,1))</f>
        <v>0.35</v>
      </c>
      <c r="K8" s="14">
        <f>IF(IF(IF(ISERROR('RC Customers by plan'!K5&lt;=0),'RC Customers by plan'!K5&lt;=0,IF('RC Customers by plan'!K5="","",'RC Customers by plan'!K5&lt;=0))="",FALSE,IF(ISERROR('RC Customers by plan'!K5&lt;=0),'RC Customers by plan'!K5&lt;=0,IF('RC Customers by plan'!K5="","",'RC Customers by plan'!K5&lt;=0))),0,'Model inputs'!AG30*MIN('RC Customers by plan'!K5/'Model inputs'!AG22,1))</f>
        <v>0.35</v>
      </c>
      <c r="L8" s="14">
        <f>IF(IF(IF(ISERROR('RC Customers by plan'!L5&lt;=0),'RC Customers by plan'!L5&lt;=0,IF('RC Customers by plan'!L5="","",'RC Customers by plan'!L5&lt;=0))="",FALSE,IF(ISERROR('RC Customers by plan'!L5&lt;=0),'RC Customers by plan'!L5&lt;=0,IF('RC Customers by plan'!L5="","",'RC Customers by plan'!L5&lt;=0))),0,'Model inputs'!AG30*MIN('RC Customers by plan'!L5/'Model inputs'!AG22,1))</f>
        <v>0.35</v>
      </c>
      <c r="M8" s="14">
        <f>IF(IF(IF(ISERROR('RC Customers by plan'!M5&lt;=0),'RC Customers by plan'!M5&lt;=0,IF('RC Customers by plan'!M5="","",'RC Customers by plan'!M5&lt;=0))="",FALSE,IF(ISERROR('RC Customers by plan'!M5&lt;=0),'RC Customers by plan'!M5&lt;=0,IF('RC Customers by plan'!M5="","",'RC Customers by plan'!M5&lt;=0))),0,'Model inputs'!AG30*MIN('RC Customers by plan'!M5/'Model inputs'!AG22,1))</f>
        <v>0.35</v>
      </c>
      <c r="N8" s="14">
        <f>IF(IF(IF(ISERROR('RC Customers by plan'!N5&lt;=0),'RC Customers by plan'!N5&lt;=0,IF('RC Customers by plan'!N5="","",'RC Customers by plan'!N5&lt;=0))="",FALSE,IF(ISERROR('RC Customers by plan'!N5&lt;=0),'RC Customers by plan'!N5&lt;=0,IF('RC Customers by plan'!N5="","",'RC Customers by plan'!N5&lt;=0))),0,'Model inputs'!AG30*MIN('RC Customers by plan'!N5/'Model inputs'!AG22,1))</f>
        <v>0.35</v>
      </c>
      <c r="O8" s="14">
        <f>IF(IF(IF(ISERROR('RC Customers by plan'!O5&lt;=0),'RC Customers by plan'!O5&lt;=0,IF('RC Customers by plan'!O5="","",'RC Customers by plan'!O5&lt;=0))="",FALSE,IF(ISERROR('RC Customers by plan'!O5&lt;=0),'RC Customers by plan'!O5&lt;=0,IF('RC Customers by plan'!O5="","",'RC Customers by plan'!O5&lt;=0))),0,'Model inputs'!AG30*MIN('RC Customers by plan'!O5/'Model inputs'!AG22,1))</f>
        <v>0.35</v>
      </c>
      <c r="P8" s="14">
        <f>IF(IF(IF(ISERROR('RC Customers by plan'!P5&lt;=0),'RC Customers by plan'!P5&lt;=0,IF('RC Customers by plan'!P5="","",'RC Customers by plan'!P5&lt;=0))="",FALSE,IF(ISERROR('RC Customers by plan'!P5&lt;=0),'RC Customers by plan'!P5&lt;=0,IF('RC Customers by plan'!P5="","",'RC Customers by plan'!P5&lt;=0))),0,'Model inputs'!AG30*MIN('RC Customers by plan'!P5/'Model inputs'!AG22,1))</f>
        <v>0.35</v>
      </c>
      <c r="Q8" s="14">
        <f>IF(IF(IF(ISERROR('RC Customers by plan'!Q5&lt;=0),'RC Customers by plan'!Q5&lt;=0,IF('RC Customers by plan'!Q5="","",'RC Customers by plan'!Q5&lt;=0))="",FALSE,IF(ISERROR('RC Customers by plan'!Q5&lt;=0),'RC Customers by plan'!Q5&lt;=0,IF('RC Customers by plan'!Q5="","",'RC Customers by plan'!Q5&lt;=0))),0,'Model inputs'!AG30*MIN('RC Customers by plan'!Q5/'Model inputs'!AG22,1))</f>
        <v>0.35</v>
      </c>
      <c r="R8" s="14">
        <f>IF(IF(IF(ISERROR('RC Customers by plan'!R5&lt;=0),'RC Customers by plan'!R5&lt;=0,IF('RC Customers by plan'!R5="","",'RC Customers by plan'!R5&lt;=0))="",FALSE,IF(ISERROR('RC Customers by plan'!R5&lt;=0),'RC Customers by plan'!R5&lt;=0,IF('RC Customers by plan'!R5="","",'RC Customers by plan'!R5&lt;=0))),0,'Model inputs'!AG30*MIN('RC Customers by plan'!R5/'Model inputs'!AG22,1))</f>
        <v>0.35</v>
      </c>
      <c r="S8" s="14">
        <f>IF(IF(IF(ISERROR('RC Customers by plan'!S5&lt;=0),'RC Customers by plan'!S5&lt;=0,IF('RC Customers by plan'!S5="","",'RC Customers by plan'!S5&lt;=0))="",FALSE,IF(ISERROR('RC Customers by plan'!S5&lt;=0),'RC Customers by plan'!S5&lt;=0,IF('RC Customers by plan'!S5="","",'RC Customers by plan'!S5&lt;=0))),0,'Model inputs'!AG30*MIN('RC Customers by plan'!S5/'Model inputs'!AG22,1))</f>
        <v>0.35</v>
      </c>
    </row>
    <row r="9">
      <c r="A9" t="inlineStr" s="6">
        <is>
          <t xml:space="preserve">Annual payers</t>
        </is>
      </c>
      <c r="B9" s="8">
        <f>SUM('RC Revenue &amp; billing by plan'!B10,'RC Revenue &amp; billing by plan'!B11,'RC Revenue &amp; billing by plan'!B12)</f>
        <v>0</v>
      </c>
      <c r="C9" s="8">
        <f>SUM('RC Revenue &amp; billing by plan'!C10,'RC Revenue &amp; billing by plan'!C11,'RC Revenue &amp; billing by plan'!C12)</f>
        <v>0.6166805555555555</v>
      </c>
      <c r="D9" s="8">
        <f>SUM('RC Revenue &amp; billing by plan'!D10,'RC Revenue &amp; billing by plan'!D11,'RC Revenue &amp; billing by plan'!D12)</f>
        <v>1.7001509259259258</v>
      </c>
      <c r="E9" s="8">
        <f>SUM('RC Revenue &amp; billing by plan'!E10,'RC Revenue &amp; billing by plan'!E11,'RC Revenue &amp; billing by plan'!E12)</f>
        <v>3.3142262436921293</v>
      </c>
      <c r="F9" s="8">
        <f>SUM('RC Revenue &amp; billing by plan'!F10,'RC Revenue &amp; billing by plan'!F11,'RC Revenue &amp; billing by plan'!F12)</f>
        <v>5.52896673923296</v>
      </c>
      <c r="G9" s="8">
        <f>SUM('RC Revenue &amp; billing by plan'!G10,'RC Revenue &amp; billing by plan'!G11,'RC Revenue &amp; billing by plan'!G12)</f>
        <v>8.421658634455934</v>
      </c>
      <c r="H9" s="8">
        <f>SUM('RC Revenue &amp; billing by plan'!H10,'RC Revenue &amp; billing by plan'!H11,'RC Revenue &amp; billing by plan'!H12)</f>
        <v>12.077888205449133</v>
      </c>
      <c r="I9" s="8">
        <f>SUM('RC Revenue &amp; billing by plan'!I10,'RC Revenue &amp; billing by plan'!I11,'RC Revenue &amp; billing by plan'!I12)</f>
        <v>14.22233257679</v>
      </c>
      <c r="J9" s="8">
        <f>SUM('RC Revenue &amp; billing by plan'!J10,'RC Revenue &amp; billing by plan'!J11,'RC Revenue &amp; billing by plan'!J12)</f>
        <v>16.55400161722904</v>
      </c>
      <c r="K9" s="8">
        <f>SUM('RC Revenue &amp; billing by plan'!K10,'RC Revenue &amp; billing by plan'!K11,'RC Revenue &amp; billing by plan'!K12)</f>
        <v>18.966421257560743</v>
      </c>
      <c r="L9" s="8">
        <f>SUM('RC Revenue &amp; billing by plan'!L10,'RC Revenue &amp; billing by plan'!L11,'RC Revenue &amp; billing by plan'!L12)</f>
        <v>21.4601414673846</v>
      </c>
      <c r="M9" s="8">
        <f>SUM('RC Revenue &amp; billing by plan'!M10,'RC Revenue &amp; billing by plan'!M11,'RC Revenue &amp; billing by plan'!M12)</f>
        <v>24.036015921832515</v>
      </c>
      <c r="N9" s="8">
        <f>SUM('RC Revenue &amp; billing by plan'!N10,'RC Revenue &amp; billing by plan'!N11,'RC Revenue &amp; billing by plan'!N12)</f>
        <v>26.6951921045445</v>
      </c>
      <c r="O9" s="8">
        <f>SUM('RC Revenue &amp; billing by plan'!O10,'RC Revenue &amp; billing by plan'!O11,'RC Revenue &amp; billing by plan'!O12)</f>
        <v>29.439102592159472</v>
      </c>
      <c r="P9" s="8">
        <f>SUM('RC Revenue &amp; billing by plan'!P10,'RC Revenue &amp; billing by plan'!P11,'RC Revenue &amp; billing by plan'!P12)</f>
        <v>32.26945745879919</v>
      </c>
      <c r="Q9" s="8">
        <f>SUM('RC Revenue &amp; billing by plan'!Q10,'RC Revenue &amp; billing by plan'!Q11,'RC Revenue &amp; billing by plan'!Q12)</f>
        <v>35.18823774393777</v>
      </c>
      <c r="R9" s="8">
        <f>SUM('RC Revenue &amp; billing by plan'!R10,'RC Revenue &amp; billing by plan'!R11,'RC Revenue &amp; billing by plan'!R12)</f>
        <v>38.19768993166413</v>
      </c>
      <c r="S9" s="8">
        <f>SUM('RC Revenue &amp; billing by plan'!S10,'RC Revenue &amp; billing by plan'!S11,'RC Revenue &amp; billing by plan'!S12)</f>
        <v>41.30032139368141</v>
      </c>
    </row>
    <row r="10" outlineLevel="1">
      <c r="A10" t="inlineStr" s="9">
        <is>
          <t xml:space="preserve">Indie</t>
        </is>
      </c>
      <c r="B10" s="10">
        <f>'RC Customers by plan'!B31*'RC Revenue &amp; billing by plan'!B6</f>
        <v>0</v>
      </c>
      <c r="C10" s="10">
        <f>'RC Customers by plan'!C31*'RC Revenue &amp; billing by plan'!C6</f>
        <v>0</v>
      </c>
      <c r="D10" s="10">
        <f>'RC Customers by plan'!D31*'RC Revenue &amp; billing by plan'!D6</f>
        <v>0</v>
      </c>
      <c r="E10" s="10">
        <f>'RC Customers by plan'!E31*'RC Revenue &amp; billing by plan'!E6</f>
        <v>0</v>
      </c>
      <c r="F10" s="10">
        <f>'RC Customers by plan'!F31*'RC Revenue &amp; billing by plan'!F6</f>
        <v>0</v>
      </c>
      <c r="G10" s="10">
        <f>'RC Customers by plan'!G31*'RC Revenue &amp; billing by plan'!G6</f>
        <v>0</v>
      </c>
      <c r="H10" s="10">
        <f>'RC Customers by plan'!H31*'RC Revenue &amp; billing by plan'!H6</f>
        <v>0</v>
      </c>
      <c r="I10" s="10">
        <f>'RC Customers by plan'!I31*'RC Revenue &amp; billing by plan'!I6</f>
        <v>0</v>
      </c>
      <c r="J10" s="10">
        <f>'RC Customers by plan'!J31*'RC Revenue &amp; billing by plan'!J6</f>
        <v>0</v>
      </c>
      <c r="K10" s="10">
        <f>'RC Customers by plan'!K31*'RC Revenue &amp; billing by plan'!K6</f>
        <v>0</v>
      </c>
      <c r="L10" s="10">
        <f>'RC Customers by plan'!L31*'RC Revenue &amp; billing by plan'!L6</f>
        <v>0</v>
      </c>
      <c r="M10" s="10">
        <f>'RC Customers by plan'!M31*'RC Revenue &amp; billing by plan'!M6</f>
        <v>0</v>
      </c>
      <c r="N10" s="10">
        <f>'RC Customers by plan'!N31*'RC Revenue &amp; billing by plan'!N6</f>
        <v>0</v>
      </c>
      <c r="O10" s="10">
        <f>'RC Customers by plan'!O31*'RC Revenue &amp; billing by plan'!O6</f>
        <v>0</v>
      </c>
      <c r="P10" s="10">
        <f>'RC Customers by plan'!P31*'RC Revenue &amp; billing by plan'!P6</f>
        <v>0</v>
      </c>
      <c r="Q10" s="10">
        <f>'RC Customers by plan'!Q31*'RC Revenue &amp; billing by plan'!Q6</f>
        <v>0</v>
      </c>
      <c r="R10" s="10">
        <f>'RC Customers by plan'!R31*'RC Revenue &amp; billing by plan'!R6</f>
        <v>0</v>
      </c>
      <c r="S10" s="10">
        <f>'RC Customers by plan'!S31*'RC Revenue &amp; billing by plan'!S6</f>
        <v>0</v>
      </c>
    </row>
    <row r="11" outlineLevel="1">
      <c r="A11" t="inlineStr" s="9">
        <is>
          <t xml:space="preserve">Launch</t>
        </is>
      </c>
      <c r="B11" s="10">
        <f>'RC Customers by plan'!B32*'RC Revenue &amp; billing by plan'!B7</f>
        <v>0</v>
      </c>
      <c r="C11" s="10">
        <f>'RC Customers by plan'!C32*'RC Revenue &amp; billing by plan'!C7</f>
        <v>0.08808333333333332</v>
      </c>
      <c r="D11" s="10">
        <f>'RC Customers by plan'!D32*'RC Revenue &amp; billing by plan'!D7</f>
        <v>0.23626247685185178</v>
      </c>
      <c r="E11" s="10">
        <f>'RC Customers by plan'!E32*'RC Revenue &amp; billing by plan'!E7</f>
        <v>0.4457271123553239</v>
      </c>
      <c r="F11" s="10">
        <f>'RC Customers by plan'!F32*'RC Revenue &amp; billing by plan'!F7</f>
        <v>0.7179910471785299</v>
      </c>
      <c r="G11" s="10">
        <f>'RC Customers by plan'!G32*'RC Revenue &amp; billing by plan'!G7</f>
        <v>1.0549169752346819</v>
      </c>
      <c r="H11" s="10">
        <f>'RC Customers by plan'!H32*'RC Revenue &amp; billing by plan'!H7</f>
        <v>1.4587455730235</v>
      </c>
      <c r="I11" s="10">
        <f>'RC Customers by plan'!I32*'RC Revenue &amp; billing by plan'!I7</f>
        <v>1.6561108170632544</v>
      </c>
      <c r="J11" s="10">
        <f>'RC Customers by plan'!J32*'RC Revenue &amp; billing by plan'!J7</f>
        <v>1.8586284121395003</v>
      </c>
      <c r="K11" s="10">
        <f>'RC Customers by plan'!K32*'RC Revenue &amp; billing by plan'!K7</f>
        <v>2.066979707645281</v>
      </c>
      <c r="L11" s="10">
        <f>'RC Customers by plan'!L32*'RC Revenue &amp; billing by plan'!L7</f>
        <v>2.281389351821916</v>
      </c>
      <c r="M11" s="10">
        <f>'RC Customers by plan'!M32*'RC Revenue &amp; billing by plan'!M7</f>
        <v>2.502079978692765</v>
      </c>
      <c r="N11" s="10">
        <f>'RC Customers by plan'!N32*'RC Revenue &amp; billing by plan'!N7</f>
        <v>2.7292735121087897</v>
      </c>
      <c r="O11" s="10">
        <f>'RC Customers by plan'!O32*'RC Revenue &amp; billing by plan'!O7</f>
        <v>2.9631924035623065</v>
      </c>
      <c r="P11" s="10">
        <f>'RC Customers by plan'!P32*'RC Revenue &amp; billing by plan'!P7</f>
        <v>3.20406080996136</v>
      </c>
      <c r="Q11" s="10">
        <f>'RC Customers by plan'!Q32*'RC Revenue &amp; billing by plan'!Q7</f>
        <v>3.4521057171820972</v>
      </c>
      <c r="R11" s="10">
        <f>'RC Customers by plan'!R32*'RC Revenue &amp; billing by plan'!R7</f>
        <v>3.7075580148691807</v>
      </c>
      <c r="S11" s="10">
        <f>'RC Customers by plan'!S32*'RC Revenue &amp; billing by plan'!S7</f>
        <v>3.970653527632789</v>
      </c>
    </row>
    <row r="12" outlineLevel="1">
      <c r="A12" t="inlineStr" s="9">
        <is>
          <t xml:space="preserve">Team</t>
        </is>
      </c>
      <c r="B12" s="10">
        <f>'RC Customers by plan'!B33*'RC Revenue &amp; billing by plan'!B8</f>
        <v>0</v>
      </c>
      <c r="C12" s="10">
        <f>'RC Customers by plan'!C33*'RC Revenue &amp; billing by plan'!C8</f>
        <v>0.5285972222222222</v>
      </c>
      <c r="D12" s="10">
        <f>'RC Customers by plan'!D33*'RC Revenue &amp; billing by plan'!D8</f>
        <v>1.463888449074074</v>
      </c>
      <c r="E12" s="10">
        <f>'RC Customers by plan'!E33*'RC Revenue &amp; billing by plan'!E8</f>
        <v>2.8684991313368053</v>
      </c>
      <c r="F12" s="10">
        <f>'RC Customers by plan'!F33*'RC Revenue &amp; billing by plan'!F8</f>
        <v>4.81097569205443</v>
      </c>
      <c r="G12" s="10">
        <f>'RC Customers by plan'!G33*'RC Revenue &amp; billing by plan'!G8</f>
        <v>7.366741659221253</v>
      </c>
      <c r="H12" s="10">
        <f>'RC Customers by plan'!H33*'RC Revenue &amp; billing by plan'!H8</f>
        <v>10.619142632425634</v>
      </c>
      <c r="I12" s="10">
        <f>'RC Customers by plan'!I33*'RC Revenue &amp; billing by plan'!I8</f>
        <v>12.566221759726746</v>
      </c>
      <c r="J12" s="10">
        <f>'RC Customers by plan'!J33*'RC Revenue &amp; billing by plan'!J8</f>
        <v>14.69537320508954</v>
      </c>
      <c r="K12" s="10">
        <f>'RC Customers by plan'!K33*'RC Revenue &amp; billing by plan'!K8</f>
        <v>16.899441549915462</v>
      </c>
      <c r="L12" s="10">
        <f>'RC Customers by plan'!L33*'RC Revenue &amp; billing by plan'!L8</f>
        <v>19.178752115562684</v>
      </c>
      <c r="M12" s="10">
        <f>'RC Customers by plan'!M33*'RC Revenue &amp; billing by plan'!M8</f>
        <v>21.53393594313975</v>
      </c>
      <c r="N12" s="10">
        <f>'RC Customers by plan'!N33*'RC Revenue &amp; billing by plan'!N8</f>
        <v>23.96591859243571</v>
      </c>
      <c r="O12" s="10">
        <f>'RC Customers by plan'!O33*'RC Revenue &amp; billing by plan'!O8</f>
        <v>26.475910188597165</v>
      </c>
      <c r="P12" s="10">
        <f>'RC Customers by plan'!P33*'RC Revenue &amp; billing by plan'!P8</f>
        <v>29.065396648837826</v>
      </c>
      <c r="Q12" s="10">
        <f>'RC Customers by plan'!Q33*'RC Revenue &amp; billing by plan'!Q8</f>
        <v>31.736132026755673</v>
      </c>
      <c r="R12" s="10">
        <f>'RC Customers by plan'!R33*'RC Revenue &amp; billing by plan'!R8</f>
        <v>34.49013191679495</v>
      </c>
      <c r="S12" s="10">
        <f>'RC Customers by plan'!S33*'RC Revenue &amp; billing by plan'!S8</f>
        <v>37.32966786604862</v>
      </c>
    </row>
    <row r="13">
      <c r="A13" t="inlineStr" s="6">
        <is>
          <t xml:space="preserve">Monthly payers</t>
        </is>
      </c>
      <c r="B13" s="8">
        <f>SUM('RC Revenue &amp; billing by plan'!B14,'RC Revenue &amp; billing by plan'!B15,'RC Revenue &amp; billing by plan'!B16)</f>
        <v>47</v>
      </c>
      <c r="C13" s="8">
        <f>SUM('RC Revenue &amp; billing by plan'!C14,'RC Revenue &amp; billing by plan'!C15,'RC Revenue &amp; billing by plan'!C16)</f>
        <v>84.28831944444444</v>
      </c>
      <c r="D13" s="8">
        <f>SUM('RC Revenue &amp; billing by plan'!D14,'RC Revenue &amp; billing by plan'!D15,'RC Revenue &amp; billing by plan'!D16)</f>
        <v>109.25034907407408</v>
      </c>
      <c r="E13" s="8">
        <f>SUM('RC Revenue &amp; billing by plan'!E14,'RC Revenue &amp; billing by plan'!E15,'RC Revenue &amp; billing by plan'!E16)</f>
        <v>134.7368020271412</v>
      </c>
      <c r="F13" s="8">
        <f>SUM('RC Revenue &amp; billing by plan'!F14,'RC Revenue &amp; billing by plan'!F15,'RC Revenue &amp; billing by plan'!F16)</f>
        <v>160.83115808675663</v>
      </c>
      <c r="G13" s="8">
        <f>SUM('RC Revenue &amp; billing by plan'!G14,'RC Revenue &amp; billing by plan'!G15,'RC Revenue &amp; billing by plan'!G16)</f>
        <v>187.61840642148002</v>
      </c>
      <c r="H13" s="8">
        <f>SUM('RC Revenue &amp; billing by plan'!H14,'RC Revenue &amp; billing by plan'!H15,'RC Revenue &amp; billing by plan'!H16)</f>
        <v>215.18498548540106</v>
      </c>
      <c r="I13" s="8">
        <f>SUM('RC Revenue &amp; billing by plan'!I14,'RC Revenue &amp; billing by plan'!I15,'RC Revenue &amp; billing by plan'!I16)</f>
        <v>245.98907499409157</v>
      </c>
      <c r="J13" s="8">
        <f>SUM('RC Revenue &amp; billing by plan'!J14,'RC Revenue &amp; billing by plan'!J15,'RC Revenue &amp; billing by plan'!J16)</f>
        <v>278.52651277477236</v>
      </c>
      <c r="K13" s="8">
        <f>SUM('RC Revenue &amp; billing by plan'!K14,'RC Revenue &amp; billing by plan'!K15,'RC Revenue &amp; billing by plan'!K16)</f>
        <v>311.0472605388994</v>
      </c>
      <c r="L13" s="8">
        <f>SUM('RC Revenue &amp; billing by plan'!L14,'RC Revenue &amp; billing by plan'!L15,'RC Revenue &amp; billing by plan'!L16)</f>
        <v>343.6320029904277</v>
      </c>
      <c r="M13" s="8">
        <f>SUM('RC Revenue &amp; billing by plan'!M14,'RC Revenue &amp; billing by plan'!M15,'RC Revenue &amp; billing by plan'!M16)</f>
        <v>376.35942008791267</v>
      </c>
      <c r="N13" s="8">
        <f>SUM('RC Revenue &amp; billing by plan'!N14,'RC Revenue &amp; billing by plan'!N15,'RC Revenue &amp; billing by plan'!N16)</f>
        <v>409.3064496004066</v>
      </c>
      <c r="O13" s="8">
        <f>SUM('RC Revenue &amp; billing by plan'!O14,'RC Revenue &amp; billing by plan'!O15,'RC Revenue &amp; billing by plan'!O16)</f>
        <v>442.54853751591446</v>
      </c>
      <c r="P13" s="8">
        <f>SUM('RC Revenue &amp; billing by plan'!P14,'RC Revenue &amp; billing by plan'!P15,'RC Revenue &amp; billing by plan'!P16)</f>
        <v>476.15987731976287</v>
      </c>
      <c r="Q13" s="8">
        <f>SUM('RC Revenue &amp; billing by plan'!Q14,'RC Revenue &amp; billing by plan'!Q15,'RC Revenue &amp; billing by plan'!Q16)</f>
        <v>510.21363910094044</v>
      </c>
      <c r="R13" s="8">
        <f>SUM('RC Revenue &amp; billing by plan'!R14,'RC Revenue &amp; billing by plan'!R15,'RC Revenue &amp; billing by plan'!R16)</f>
        <v>544.7821893894609</v>
      </c>
      <c r="S13" s="8">
        <f>SUM('RC Revenue &amp; billing by plan'!S14,'RC Revenue &amp; billing by plan'!S15,'RC Revenue &amp; billing by plan'!S16)</f>
        <v>579.9373025768048</v>
      </c>
    </row>
    <row r="14" outlineLevel="1">
      <c r="A14" t="inlineStr" s="9">
        <is>
          <t xml:space="preserve">Indie</t>
        </is>
      </c>
      <c r="B14" s="10">
        <f>'RC Customers by plan'!B31-'RC Revenue &amp; billing by plan'!B10</f>
        <v>40</v>
      </c>
      <c r="C14" s="10">
        <f>'RC Customers by plan'!C31-'RC Revenue &amp; billing by plan'!C10</f>
        <v>74.33333333333333</v>
      </c>
      <c r="D14" s="10">
        <f>'RC Customers by plan'!D31-'RC Revenue &amp; billing by plan'!D10</f>
        <v>96.37777777777778</v>
      </c>
      <c r="E14" s="10">
        <f>'RC Customers by plan'!E31-'RC Revenue &amp; billing by plan'!E10</f>
        <v>119.1125925925926</v>
      </c>
      <c r="F14" s="10">
        <f>'RC Customers by plan'!F31-'RC Revenue &amp; billing by plan'!F10</f>
        <v>142.66455308641977</v>
      </c>
      <c r="G14" s="10">
        <f>'RC Customers by plan'!G31-'RC Revenue &amp; billing by plan'!G10</f>
        <v>167.16580688065847</v>
      </c>
      <c r="H14" s="10">
        <f>'RC Customers by plan'!H31-'RC Revenue &amp; billing by plan'!H10</f>
        <v>192.75462167528124</v>
      </c>
      <c r="I14" s="10">
        <f>'RC Customers by plan'!I31-'RC Revenue &amp; billing by plan'!I10</f>
        <v>219.57617163719584</v>
      </c>
      <c r="J14" s="10">
        <f>'RC Customers by plan'!J31-'RC Revenue &amp; billing by plan'!J10</f>
        <v>247.78336691420412</v>
      </c>
      <c r="K14" s="10">
        <f>'RC Customers by plan'!K31-'RC Revenue &amp; billing by plan'!K10</f>
        <v>275.8239067748581</v>
      </c>
      <c r="L14" s="10">
        <f>'RC Customers by plan'!L31-'RC Revenue &amp; billing by plan'!L10</f>
        <v>303.77745455099915</v>
      </c>
      <c r="M14" s="10">
        <f>'RC Customers by plan'!M31-'RC Revenue &amp; billing by plan'!M10</f>
        <v>331.7211048045094</v>
      </c>
      <c r="N14" s="10">
        <f>'RC Customers by plan'!N31-'RC Revenue &amp; billing by plan'!N10</f>
        <v>359.72966426339536</v>
      </c>
      <c r="O14" s="10">
        <f>'RC Customers by plan'!O31-'RC Revenue &amp; billing by plan'!O10</f>
        <v>387.87591841618973</v>
      </c>
      <c r="P14" s="10">
        <f>'RC Customers by plan'!P31-'RC Revenue &amp; billing by plan'!P10</f>
        <v>416.23088489627867</v>
      </c>
      <c r="Q14" s="10">
        <f>'RC Customers by plan'!Q31-'RC Revenue &amp; billing by plan'!Q10</f>
        <v>444.8640547193417</v>
      </c>
      <c r="R14" s="10">
        <f>'RC Customers by plan'!R31-'RC Revenue &amp; billing by plan'!R10</f>
        <v>473.8436223735132</v>
      </c>
      <c r="S14" s="10">
        <f>'RC Customers by plan'!S31-'RC Revenue &amp; billing by plan'!S10</f>
        <v>503.23670570282496</v>
      </c>
    </row>
    <row r="15" outlineLevel="1">
      <c r="A15" t="inlineStr" s="9">
        <is>
          <t xml:space="preserve">Launch</t>
        </is>
      </c>
      <c r="B15" s="10">
        <f>'RC Customers by plan'!B32-'RC Revenue &amp; billing by plan'!B11</f>
        <v>1</v>
      </c>
      <c r="C15" s="10">
        <f>'RC Customers by plan'!C32-'RC Revenue &amp; billing by plan'!C11</f>
        <v>1.4219166666666667</v>
      </c>
      <c r="D15" s="10">
        <f>'RC Customers by plan'!D32-'RC Revenue &amp; billing by plan'!D11</f>
        <v>1.7888444675925923</v>
      </c>
      <c r="E15" s="10">
        <f>'RC Customers by plan'!E32-'RC Revenue &amp; billing by plan'!E11</f>
        <v>2.101284958246527</v>
      </c>
      <c r="F15" s="10">
        <f>'RC Customers by plan'!F32-'RC Revenue &amp; billing by plan'!F11</f>
        <v>2.3591134407294554</v>
      </c>
      <c r="G15" s="10">
        <f>'RC Customers by plan'!G32-'RC Revenue &amp; billing by plan'!G11</f>
        <v>2.5619412255699414</v>
      </c>
      <c r="H15" s="10">
        <f>'RC Customers by plan'!H32-'RC Revenue &amp; billing by plan'!H11</f>
        <v>2.709098921329357</v>
      </c>
      <c r="I15" s="10">
        <f>'RC Customers by plan'!I32-'RC Revenue &amp; billing by plan'!I11</f>
        <v>3.075634374546044</v>
      </c>
      <c r="J15" s="10">
        <f>'RC Customers by plan'!J32-'RC Revenue &amp; billing by plan'!J11</f>
        <v>3.4517384796876436</v>
      </c>
      <c r="K15" s="10">
        <f>'RC Customers by plan'!K32-'RC Revenue &amp; billing by plan'!K11</f>
        <v>3.838676599912665</v>
      </c>
      <c r="L15" s="10">
        <f>'RC Customers by plan'!L32-'RC Revenue &amp; billing by plan'!L11</f>
        <v>4.236865939097845</v>
      </c>
      <c r="M15" s="10">
        <f>'RC Customers by plan'!M32-'RC Revenue &amp; billing by plan'!M11</f>
        <v>4.646719960429421</v>
      </c>
      <c r="N15" s="10">
        <f>'RC Customers by plan'!N32-'RC Revenue &amp; billing by plan'!N11</f>
        <v>5.0686508082020385</v>
      </c>
      <c r="O15" s="10">
        <f>'RC Customers by plan'!O32-'RC Revenue &amp; billing by plan'!O11</f>
        <v>5.503071606615713</v>
      </c>
      <c r="P15" s="10">
        <f>'RC Customers by plan'!P32-'RC Revenue &amp; billing by plan'!P11</f>
        <v>5.950398647071097</v>
      </c>
      <c r="Q15" s="10">
        <f>'RC Customers by plan'!Q32-'RC Revenue &amp; billing by plan'!Q11</f>
        <v>6.411053474766752</v>
      </c>
      <c r="R15" s="10">
        <f>'RC Customers by plan'!R32-'RC Revenue &amp; billing by plan'!R11</f>
        <v>6.8854648847570505</v>
      </c>
      <c r="S15" s="10">
        <f>'RC Customers by plan'!S32-'RC Revenue &amp; billing by plan'!S11</f>
        <v>7.374070837032322</v>
      </c>
    </row>
    <row r="16" outlineLevel="1">
      <c r="A16" t="inlineStr" s="9">
        <is>
          <t xml:space="preserve">Team</t>
        </is>
      </c>
      <c r="B16" s="10">
        <f>'RC Customers by plan'!B33-'RC Revenue &amp; billing by plan'!B12</f>
        <v>6</v>
      </c>
      <c r="C16" s="10">
        <f>'RC Customers by plan'!C33-'RC Revenue &amp; billing by plan'!C12</f>
        <v>8.533069444444445</v>
      </c>
      <c r="D16" s="10">
        <f>'RC Customers by plan'!D33-'RC Revenue &amp; billing by plan'!D12</f>
        <v>11.083726828703703</v>
      </c>
      <c r="E16" s="10">
        <f>'RC Customers by plan'!E33-'RC Revenue &amp; billing by plan'!E12</f>
        <v>13.522924476302084</v>
      </c>
      <c r="F16" s="10">
        <f>'RC Customers by plan'!F33-'RC Revenue &amp; billing by plan'!F12</f>
        <v>15.807491559607413</v>
      </c>
      <c r="G16" s="10">
        <f>'RC Customers by plan'!G33-'RC Revenue &amp; billing by plan'!G12</f>
        <v>17.890658315251613</v>
      </c>
      <c r="H16" s="10">
        <f>'RC Customers by plan'!H33-'RC Revenue &amp; billing by plan'!H12</f>
        <v>19.721264888790465</v>
      </c>
      <c r="I16" s="10">
        <f>'RC Customers by plan'!I33-'RC Revenue &amp; billing by plan'!I12</f>
        <v>23.337268982349677</v>
      </c>
      <c r="J16" s="10">
        <f>'RC Customers by plan'!J33-'RC Revenue &amp; billing by plan'!J12</f>
        <v>27.291407380880578</v>
      </c>
      <c r="K16" s="10">
        <f>'RC Customers by plan'!K33-'RC Revenue &amp; billing by plan'!K12</f>
        <v>31.384677164128714</v>
      </c>
      <c r="L16" s="10">
        <f>'RC Customers by plan'!L33-'RC Revenue &amp; billing by plan'!L12</f>
        <v>35.6176825003307</v>
      </c>
      <c r="M16" s="10">
        <f>'RC Customers by plan'!M33-'RC Revenue &amp; billing by plan'!M12</f>
        <v>39.99159532297382</v>
      </c>
      <c r="N16" s="10">
        <f>'RC Customers by plan'!N33-'RC Revenue &amp; billing by plan'!N12</f>
        <v>44.50813452880918</v>
      </c>
      <c r="O16" s="10">
        <f>'RC Customers by plan'!O33-'RC Revenue &amp; billing by plan'!O12</f>
        <v>49.16954749310902</v>
      </c>
      <c r="P16" s="10">
        <f>'RC Customers by plan'!P33-'RC Revenue &amp; billing by plan'!P12</f>
        <v>53.97859377641311</v>
      </c>
      <c r="Q16" s="10">
        <f>'RC Customers by plan'!Q33-'RC Revenue &amp; billing by plan'!Q12</f>
        <v>58.93853090683197</v>
      </c>
      <c r="R16" s="10">
        <f>'RC Customers by plan'!R33-'RC Revenue &amp; billing by plan'!R12</f>
        <v>64.05310213119063</v>
      </c>
      <c r="S16" s="10">
        <f>'RC Customers by plan'!S33-'RC Revenue &amp; billing by plan'!S12</f>
        <v>69.32652603694743</v>
      </c>
    </row>
    <row r="17">
      <c r="A17" t="inlineStr" s="6">
        <is>
          <t xml:space="preserve">Subscription revenue</t>
        </is>
      </c>
      <c r="B17" s="15">
        <f>SUM('RC Revenue &amp; billing by plan'!B18,'RC Revenue &amp; billing by plan'!B19,'RC Revenue &amp; billing by plan'!B20)</f>
        <v>2553</v>
      </c>
      <c r="C17" s="15">
        <f>SUM('RC Revenue &amp; billing by plan'!C18,'RC Revenue &amp; billing by plan'!C19,'RC Revenue &amp; billing by plan'!C20)</f>
        <v>4238.892571759259</v>
      </c>
      <c r="D17" s="15">
        <f>SUM('RC Revenue &amp; billing by plan'!D18,'RC Revenue &amp; billing by plan'!D19,'RC Revenue &amp; billing by plan'!D20)</f>
        <v>5619.07620474537</v>
      </c>
      <c r="E17" s="15">
        <f>SUM('RC Revenue &amp; billing by plan'!E18,'RC Revenue &amp; billing by plan'!E19,'RC Revenue &amp; billing by plan'!E20)</f>
        <v>7059.242292681289</v>
      </c>
      <c r="F17" s="15">
        <f>SUM('RC Revenue &amp; billing by plan'!F18,'RC Revenue &amp; billing by plan'!F19,'RC Revenue &amp; billing by plan'!F20)</f>
        <v>8565.713314360173</v>
      </c>
      <c r="G17" s="15">
        <f>SUM('RC Revenue &amp; billing by plan'!G18,'RC Revenue &amp; billing by plan'!G19,'RC Revenue &amp; billing by plan'!G20)</f>
        <v>10145.298558292714</v>
      </c>
      <c r="H17" s="15">
        <f>SUM('RC Revenue &amp; billing by plan'!H18,'RC Revenue &amp; billing by plan'!H19,'RC Revenue &amp; billing by plan'!H20)</f>
        <v>11805.331436398072</v>
      </c>
      <c r="I17" s="15">
        <f>SUM('RC Revenue &amp; billing by plan'!I18,'RC Revenue &amp; billing by plan'!I19,'RC Revenue &amp; billing by plan'!I20)</f>
        <v>13628.675558675464</v>
      </c>
      <c r="J17" s="15">
        <f>SUM('RC Revenue &amp; billing by plan'!J18,'RC Revenue &amp; billing by plan'!J19,'RC Revenue &amp; billing by plan'!J20)</f>
        <v>15572.109995973886</v>
      </c>
      <c r="K17" s="15">
        <f>SUM('RC Revenue &amp; billing by plan'!K18,'RC Revenue &amp; billing by plan'!K19,'RC Revenue &amp; billing by plan'!K20)</f>
        <v>17548.576204826146</v>
      </c>
      <c r="L17" s="15">
        <f>SUM('RC Revenue &amp; billing by plan'!L18,'RC Revenue &amp; billing by plan'!L19,'RC Revenue &amp; billing by plan'!L20)</f>
        <v>19560.816437953057</v>
      </c>
      <c r="M17" s="15">
        <f>SUM('RC Revenue &amp; billing by plan'!M18,'RC Revenue &amp; billing by plan'!M19,'RC Revenue &amp; billing by plan'!M20)</f>
        <v>21611.61830678775</v>
      </c>
      <c r="N17" s="15">
        <f>SUM('RC Revenue &amp; billing by plan'!N18,'RC Revenue &amp; billing by plan'!N19,'RC Revenue &amp; billing by plan'!N20)</f>
        <v>23703.820189069855</v>
      </c>
      <c r="O17" s="15">
        <f>SUM('RC Revenue &amp; billing by plan'!O18,'RC Revenue &amp; billing by plan'!O19,'RC Revenue &amp; billing by plan'!O20)</f>
        <v>25840.31663180946</v>
      </c>
      <c r="P17" s="15">
        <f>SUM('RC Revenue &amp; billing by plan'!P18,'RC Revenue &amp; billing by plan'!P19,'RC Revenue &amp; billing by plan'!P20)</f>
        <v>28024.063763605744</v>
      </c>
      <c r="Q17" s="15">
        <f>SUM('RC Revenue &amp; billing by plan'!Q18,'RC Revenue &amp; billing by plan'!Q19,'RC Revenue &amp; billing by plan'!Q20)</f>
        <v>30258.08472993787</v>
      </c>
      <c r="R17" s="15">
        <f>SUM('RC Revenue &amp; billing by plan'!R18,'RC Revenue &amp; billing by plan'!R19,'RC Revenue &amp; billing by plan'!R20)</f>
        <v>32545.475164724863</v>
      </c>
      <c r="S17" s="15">
        <f>SUM('RC Revenue &amp; billing by plan'!S18,'RC Revenue &amp; billing by plan'!S19,'RC Revenue &amp; billing by plan'!S20)</f>
        <v>34889.40871117456</v>
      </c>
    </row>
    <row r="18" outlineLevel="1">
      <c r="A18" t="inlineStr" s="9">
        <is>
          <t xml:space="preserve">Indie</t>
        </is>
      </c>
      <c r="B18" s="16">
        <f>'RC Revenue &amp; billing by plan'!B14*'Model inputs'!AG61+'RC Revenue &amp; billing by plan'!B10*'Model inputs'!AG11/12</f>
        <v>1160</v>
      </c>
      <c r="C18" s="16">
        <f>'RC Revenue &amp; billing by plan'!C14*'Model inputs'!AG61+'RC Revenue &amp; billing by plan'!C10*'Model inputs'!AG11/12</f>
        <v>2155.6666666666665</v>
      </c>
      <c r="D18" s="16">
        <f>'RC Revenue &amp; billing by plan'!D14*'Model inputs'!AG61+'RC Revenue &amp; billing by plan'!D10*'Model inputs'!AG11/12</f>
        <v>2794.9555555555557</v>
      </c>
      <c r="E18" s="16">
        <f>'RC Revenue &amp; billing by plan'!E14*'Model inputs'!AG61+'RC Revenue &amp; billing by plan'!E10*'Model inputs'!AG11/12</f>
        <v>3454.2651851851856</v>
      </c>
      <c r="F18" s="16">
        <f>'RC Revenue &amp; billing by plan'!F14*'Model inputs'!AG61+'RC Revenue &amp; billing by plan'!F10*'Model inputs'!AG11/12</f>
        <v>4137.272039506173</v>
      </c>
      <c r="G18" s="16">
        <f>'RC Revenue &amp; billing by plan'!G14*'Model inputs'!AG61+'RC Revenue &amp; billing by plan'!G10*'Model inputs'!AG11/12</f>
        <v>4847.808399539095</v>
      </c>
      <c r="H18" s="16">
        <f>'RC Revenue &amp; billing by plan'!H14*'Model inputs'!AG61+'RC Revenue &amp; billing by plan'!H10*'Model inputs'!AG11/12</f>
        <v>5589.884028583156</v>
      </c>
      <c r="I18" s="16">
        <f>'RC Revenue &amp; billing by plan'!I14*'Model inputs'!AG61+'RC Revenue &amp; billing by plan'!I10*'Model inputs'!AG11/12</f>
        <v>6367.708977478679</v>
      </c>
      <c r="J18" s="16">
        <f>'RC Revenue &amp; billing by plan'!J14*'Model inputs'!AG61+'RC Revenue &amp; billing by plan'!J10*'Model inputs'!AG11/12</f>
        <v>7185.71764051192</v>
      </c>
      <c r="K18" s="16">
        <f>'RC Revenue &amp; billing by plan'!K14*'Model inputs'!AG61+'RC Revenue &amp; billing by plan'!K10*'Model inputs'!AG11/12</f>
        <v>7998.893296470884</v>
      </c>
      <c r="L18" s="16">
        <f>'RC Revenue &amp; billing by plan'!L14*'Model inputs'!AG61+'RC Revenue &amp; billing by plan'!L10*'Model inputs'!AG11/12</f>
        <v>8809.546181978976</v>
      </c>
      <c r="M18" s="16">
        <f>'RC Revenue &amp; billing by plan'!M14*'Model inputs'!AG61+'RC Revenue &amp; billing by plan'!M10*'Model inputs'!AG11/12</f>
        <v>9619.912039330773</v>
      </c>
      <c r="N18" s="16">
        <f>'RC Revenue &amp; billing by plan'!N14*'Model inputs'!AG61+'RC Revenue &amp; billing by plan'!N10*'Model inputs'!AG11/12</f>
        <v>10432.160263638465</v>
      </c>
      <c r="O18" s="16">
        <f>'RC Revenue &amp; billing by plan'!O14*'Model inputs'!AG61+'RC Revenue &amp; billing by plan'!O10*'Model inputs'!AG11/12</f>
        <v>11248.401634069502</v>
      </c>
      <c r="P18" s="16">
        <f>'RC Revenue &amp; billing by plan'!P14*'Model inputs'!AG61+'RC Revenue &amp; billing by plan'!P10*'Model inputs'!AG11/12</f>
        <v>12070.695661992082</v>
      </c>
      <c r="Q18" s="16">
        <f>'RC Revenue &amp; billing by plan'!Q14*'Model inputs'!AG61+'RC Revenue &amp; billing by plan'!Q10*'Model inputs'!AG11/12</f>
        <v>12901.05758686091</v>
      </c>
      <c r="R18" s="16">
        <f>'RC Revenue &amp; billing by plan'!R14*'Model inputs'!AG61+'RC Revenue &amp; billing by plan'!R10*'Model inputs'!AG11/12</f>
        <v>13741.465048831882</v>
      </c>
      <c r="S18" s="16">
        <f>'RC Revenue &amp; billing by plan'!S14*'Model inputs'!AG61+'RC Revenue &amp; billing by plan'!S10*'Model inputs'!AG11/12</f>
        <v>14593.864465381925</v>
      </c>
    </row>
    <row r="19" outlineLevel="1">
      <c r="A19" t="inlineStr" s="9">
        <is>
          <t xml:space="preserve">Launch</t>
        </is>
      </c>
      <c r="B19" s="16">
        <f>'RC Revenue &amp; billing by plan'!B15*'Model inputs'!AG62+'RC Revenue &amp; billing by plan'!B11*'Model inputs'!AG12/12</f>
        <v>499</v>
      </c>
      <c r="C19" s="16">
        <f>'RC Revenue &amp; billing by plan'!C15*'Model inputs'!AG62+'RC Revenue &amp; billing by plan'!C11*'Model inputs'!AG12/12</f>
        <v>746.1644027777778</v>
      </c>
      <c r="D19" s="16">
        <f>'RC Revenue &amp; billing by plan'!D15*'Model inputs'!AG62+'RC Revenue &amp; billing by plan'!D11*'Model inputs'!AG12/12</f>
        <v>990.8792026195986</v>
      </c>
      <c r="E19" s="16">
        <f>'RC Revenue &amp; billing by plan'!E15*'Model inputs'!AG62+'RC Revenue &amp; billing by plan'!E11*'Model inputs'!AG12/12</f>
        <v>1233.8893850527725</v>
      </c>
      <c r="F19" s="16">
        <f>'RC Revenue &amp; billing by plan'!F15*'Model inputs'!AG62+'RC Revenue &amp; billing by plan'!F11*'Model inputs'!AG12/12</f>
        <v>1475.7622173757368</v>
      </c>
      <c r="G19" s="16">
        <f>'RC Revenue &amp; billing by plan'!G15*'Model inputs'!AG62+'RC Revenue &amp; billing by plan'!G11*'Model inputs'!AG12/12</f>
        <v>1717.0783137611559</v>
      </c>
      <c r="H19" s="16">
        <f>'RC Revenue &amp; billing by plan'!H15*'Model inputs'!AG62+'RC Revenue &amp; billing by plan'!H11*'Model inputs'!AG12/12</f>
        <v>1958.4353958589545</v>
      </c>
      <c r="I19" s="16">
        <f>'RC Revenue &amp; billing by plan'!I15*'Model inputs'!AG62+'RC Revenue &amp; billing by plan'!I11*'Model inputs'!AG12/12</f>
        <v>2223.407634327279</v>
      </c>
      <c r="J19" s="16">
        <f>'RC Revenue &amp; billing by plan'!J15*'Model inputs'!AG62+'RC Revenue &amp; billing by plan'!J11*'Model inputs'!AG12/12</f>
        <v>2495.297149412143</v>
      </c>
      <c r="K19" s="16">
        <f>'RC Revenue &amp; billing by plan'!K15*'Model inputs'!AG62+'RC Revenue &amp; billing by plan'!K11*'Model inputs'!AG12/12</f>
        <v>2775.0186851189155</v>
      </c>
      <c r="L19" s="16">
        <f>'RC Revenue &amp; billing by plan'!L15*'Model inputs'!AG62+'RC Revenue &amp; billing by plan'!L11*'Model inputs'!AG12/12</f>
        <v>3062.873842409105</v>
      </c>
      <c r="M19" s="16">
        <f>'RC Revenue &amp; billing by plan'!M15*'Model inputs'!AG62+'RC Revenue &amp; billing by plan'!M11*'Model inputs'!AG12/12</f>
        <v>3359.1615180606896</v>
      </c>
      <c r="N19" s="16">
        <f>'RC Revenue &amp; billing by plan'!N15*'Model inputs'!AG62+'RC Revenue &amp; billing by plan'!N11*'Model inputs'!AG12/12</f>
        <v>3664.179655411389</v>
      </c>
      <c r="O19" s="16">
        <f>'RC Revenue &amp; billing by plan'!O15*'Model inputs'!AG62+'RC Revenue &amp; billing by plan'!O11*'Model inputs'!AG12/12</f>
        <v>3978.2269061825664</v>
      </c>
      <c r="P19" s="16">
        <f>'RC Revenue &amp; billing by plan'!P15*'Model inputs'!AG62+'RC Revenue &amp; billing by plan'!P11*'Model inputs'!AG12/12</f>
        <v>4301.6042116974095</v>
      </c>
      <c r="Q19" s="16">
        <f>'RC Revenue &amp; billing by plan'!Q15*'Model inputs'!AG62+'RC Revenue &amp; billing by plan'!Q11*'Model inputs'!AG12/12</f>
        <v>4634.616311303498</v>
      </c>
      <c r="R19" s="16">
        <f>'RC Revenue &amp; billing by plan'!R15*'Model inputs'!AG62+'RC Revenue &amp; billing by plan'!R11*'Model inputs'!AG12/12</f>
        <v>4977.573185343535</v>
      </c>
      <c r="S19" s="16">
        <f>'RC Revenue &amp; billing by plan'!S15*'Model inputs'!AG62+'RC Revenue &amp; billing by plan'!S11*'Model inputs'!AG12/12</f>
        <v>5330.79143958643</v>
      </c>
    </row>
    <row r="20" outlineLevel="1">
      <c r="A20" t="inlineStr" s="9">
        <is>
          <t xml:space="preserve">Team</t>
        </is>
      </c>
      <c r="B20" s="16">
        <f>'RC Revenue &amp; billing by plan'!B16*'Model inputs'!AG63+'RC Revenue &amp; billing by plan'!B12*'Model inputs'!AG13/12</f>
        <v>894</v>
      </c>
      <c r="C20" s="16">
        <f>'RC Revenue &amp; billing by plan'!C16*'Model inputs'!AG63+'RC Revenue &amp; billing by plan'!C12*'Model inputs'!AG13/12</f>
        <v>1337.061502314815</v>
      </c>
      <c r="D20" s="16">
        <f>'RC Revenue &amp; billing by plan'!D16*'Model inputs'!AG63+'RC Revenue &amp; billing by plan'!D12*'Model inputs'!AG13/12</f>
        <v>1833.241446570216</v>
      </c>
      <c r="E20" s="16">
        <f>'RC Revenue &amp; billing by plan'!E16*'Model inputs'!AG63+'RC Revenue &amp; billing by plan'!E12*'Model inputs'!AG13/12</f>
        <v>2371.0877224433307</v>
      </c>
      <c r="F20" s="16">
        <f>'RC Revenue &amp; billing by plan'!F16*'Model inputs'!AG63+'RC Revenue &amp; billing by plan'!F12*'Model inputs'!AG13/12</f>
        <v>2952.679057478263</v>
      </c>
      <c r="G20" s="16">
        <f>'RC Revenue &amp; billing by plan'!G16*'Model inputs'!AG63+'RC Revenue &amp; billing by plan'!G12*'Model inputs'!AG13/12</f>
        <v>3580.4118449924626</v>
      </c>
      <c r="H20" s="16">
        <f>'RC Revenue &amp; billing by plan'!H16*'Model inputs'!AG63+'RC Revenue &amp; billing by plan'!H12*'Model inputs'!AG13/12</f>
        <v>4257.012011955962</v>
      </c>
      <c r="I20" s="16">
        <f>'RC Revenue &amp; billing by plan'!I16*'Model inputs'!AG63+'RC Revenue &amp; billing by plan'!I12*'Model inputs'!AG13/12</f>
        <v>5037.558946869506</v>
      </c>
      <c r="J20" s="16">
        <f>'RC Revenue &amp; billing by plan'!J16*'Model inputs'!AG63+'RC Revenue &amp; billing by plan'!J12*'Model inputs'!AG13/12</f>
        <v>5891.095206049824</v>
      </c>
      <c r="K20" s="16">
        <f>'RC Revenue &amp; billing by plan'!K16*'Model inputs'!AG63+'RC Revenue &amp; billing by plan'!K12*'Model inputs'!AG13/12</f>
        <v>6774.664223236348</v>
      </c>
      <c r="L20" s="16">
        <f>'RC Revenue &amp; billing by plan'!L16*'Model inputs'!AG63+'RC Revenue &amp; billing by plan'!L12*'Model inputs'!AG13/12</f>
        <v>7688.396413564975</v>
      </c>
      <c r="M20" s="16">
        <f>'RC Revenue &amp; billing by plan'!M16*'Model inputs'!AG63+'RC Revenue &amp; billing by plan'!M12*'Model inputs'!AG13/12</f>
        <v>8632.544749396286</v>
      </c>
      <c r="N20" s="16">
        <f>'RC Revenue &amp; billing by plan'!N16*'Model inputs'!AG63+'RC Revenue &amp; billing by plan'!N12*'Model inputs'!AG13/12</f>
        <v>9607.480270020002</v>
      </c>
      <c r="O20" s="16">
        <f>'RC Revenue &amp; billing by plan'!O16*'Model inputs'!AG63+'RC Revenue &amp; billing by plan'!O12*'Model inputs'!AG13/12</f>
        <v>10613.688091557391</v>
      </c>
      <c r="P20" s="16">
        <f>'RC Revenue &amp; billing by plan'!P16*'Model inputs'!AG63+'RC Revenue &amp; billing by plan'!P12*'Model inputs'!AG13/12</f>
        <v>11651.76388991625</v>
      </c>
      <c r="Q20" s="16">
        <f>'RC Revenue &amp; billing by plan'!Q16*'Model inputs'!AG63+'RC Revenue &amp; billing by plan'!Q12*'Model inputs'!AG13/12</f>
        <v>12722.41083177346</v>
      </c>
      <c r="R20" s="16">
        <f>'RC Revenue &amp; billing by plan'!R16*'Model inputs'!AG63+'RC Revenue &amp; billing by plan'!R12*'Model inputs'!AG13/12</f>
        <v>13826.436930549444</v>
      </c>
      <c r="S20" s="16">
        <f>'RC Revenue &amp; billing by plan'!S16*'Model inputs'!AG63+'RC Revenue &amp; billing by plan'!S12*'Model inputs'!AG13/12</f>
        <v>14964.752806206205</v>
      </c>
    </row>
    <row r="21">
      <c r="A21" t="inlineStr" s="6">
        <is>
          <t xml:space="preserve">Kits generated</t>
        </is>
      </c>
      <c r="B21" s="7">
        <f>SUM('RC Revenue &amp; billing by plan'!B22,'RC Revenue &amp; billing by plan'!B23,'RC Revenue &amp; billing by plan'!B24)</f>
        <v>828</v>
      </c>
      <c r="C21" s="7">
        <f>SUM('RC Revenue &amp; billing by plan'!C22,'RC Revenue &amp; billing by plan'!C23,'RC Revenue &amp; billing by plan'!C24)</f>
        <v>1368.7916666666665</v>
      </c>
      <c r="D21" s="7">
        <f>SUM('RC Revenue &amp; billing by plan'!D22,'RC Revenue &amp; billing by plan'!D23,'RC Revenue &amp; billing by plan'!D24)</f>
        <v>1826.121059722222</v>
      </c>
      <c r="E21" s="7">
        <f>SUM('RC Revenue &amp; billing by plan'!E22,'RC Revenue &amp; billing by plan'!E23,'RC Revenue &amp; billing by plan'!E24)</f>
        <v>2307.5384331400464</v>
      </c>
      <c r="F21" s="7">
        <f>SUM('RC Revenue &amp; billing by plan'!F22,'RC Revenue &amp; billing by plan'!F23,'RC Revenue &amp; billing by plan'!F24)</f>
        <v>2815.60018657172</v>
      </c>
      <c r="G21" s="7">
        <f>SUM('RC Revenue &amp; billing by plan'!G22,'RC Revenue &amp; billing by plan'!G23,'RC Revenue &amp; billing by plan'!G24)</f>
        <v>3353.0799466515737</v>
      </c>
      <c r="H21" s="7">
        <f>SUM('RC Revenue &amp; billing by plan'!H22,'RC Revenue &amp; billing by plan'!H23,'RC Revenue &amp; billing by plan'!H24)</f>
        <v>3922.9894035737357</v>
      </c>
      <c r="I21" s="7">
        <f>SUM('RC Revenue &amp; billing by plan'!I22,'RC Revenue &amp; billing by plan'!I23,'RC Revenue &amp; billing by plan'!I24)</f>
        <v>4528.601033265272</v>
      </c>
      <c r="J21" s="7">
        <f>SUM('RC Revenue &amp; billing by plan'!J22,'RC Revenue &amp; billing by plan'!J23,'RC Revenue &amp; billing by plan'!J24)</f>
        <v>5173.472886027722</v>
      </c>
      <c r="K21" s="7">
        <f>SUM('RC Revenue &amp; billing by plan'!K22,'RC Revenue &amp; billing by plan'!K23,'RC Revenue &amp; billing by plan'!K24)</f>
        <v>5830.4219865033065</v>
      </c>
      <c r="L21" s="7">
        <f>SUM('RC Revenue &amp; billing by plan'!L22,'RC Revenue &amp; billing by plan'!L23,'RC Revenue &amp; billing by plan'!L24)</f>
        <v>6500.301380559953</v>
      </c>
      <c r="M21" s="7">
        <f>SUM('RC Revenue &amp; billing by plan'!M22,'RC Revenue &amp; billing by plan'!M23,'RC Revenue &amp; billing by plan'!M24)</f>
        <v>7183.982147804838</v>
      </c>
      <c r="N21" s="7">
        <f>SUM('RC Revenue &amp; billing by plan'!N22,'RC Revenue &amp; billing by plan'!N23,'RC Revenue &amp; billing by plan'!N24)</f>
        <v>7882.355052921401</v>
      </c>
      <c r="O21" s="7">
        <f>SUM('RC Revenue &amp; billing by plan'!O22,'RC Revenue &amp; billing by plan'!O23,'RC Revenue &amp; billing by plan'!O24)</f>
        <v>8596.332203674476</v>
      </c>
      <c r="P21" s="7">
        <f>SUM('RC Revenue &amp; billing by plan'!P22,'RC Revenue &amp; billing by plan'!P23,'RC Revenue &amp; billing by plan'!P24)</f>
        <v>9326.848719753849</v>
      </c>
      <c r="Q21" s="7">
        <f>SUM('RC Revenue &amp; billing by plan'!Q22,'RC Revenue &amp; billing by plan'!Q23,'RC Revenue &amp; billing by plan'!Q24)</f>
        <v>10074.864416534487</v>
      </c>
      <c r="R21" s="7">
        <f>SUM('RC Revenue &amp; billing by plan'!R22,'RC Revenue &amp; billing by plan'!R23,'RC Revenue &amp; billing by plan'!R24)</f>
        <v>10841.365507753188</v>
      </c>
      <c r="S21" s="7">
        <f>SUM('RC Revenue &amp; billing by plan'!S22,'RC Revenue &amp; billing by plan'!S23,'RC Revenue &amp; billing by plan'!S24)</f>
        <v>11627.366331035839</v>
      </c>
    </row>
    <row r="22" outlineLevel="1">
      <c r="A22" t="inlineStr" s="9">
        <is>
          <t xml:space="preserve">Indie</t>
        </is>
      </c>
      <c r="B22" s="17">
        <f>'RC Customers by plan'!B31*('Model inputs'!AG42+'Model inputs'!AG81)</f>
        <v>340</v>
      </c>
      <c r="C22" s="17">
        <f>'RC Customers by plan'!C31*('Model inputs'!AG42+'Model inputs'!AG81)</f>
        <v>631.8333333333333</v>
      </c>
      <c r="D22" s="17">
        <f>'RC Customers by plan'!D31*('Model inputs'!AG42+'Model inputs'!AG81)</f>
        <v>819.2111111111111</v>
      </c>
      <c r="E22" s="17">
        <f>'RC Customers by plan'!E31*('Model inputs'!AG42+'Model inputs'!AG81)</f>
        <v>1012.4570370370371</v>
      </c>
      <c r="F22" s="17">
        <f>'RC Customers by plan'!F31*('Model inputs'!AG42+'Model inputs'!AG81)</f>
        <v>1212.648701234568</v>
      </c>
      <c r="G22" s="17">
        <f>'RC Customers by plan'!G31*('Model inputs'!AG42+'Model inputs'!AG81)</f>
        <v>1420.9093584855968</v>
      </c>
      <c r="H22" s="17">
        <f>'RC Customers by plan'!H31*('Model inputs'!AG42+'Model inputs'!AG81)</f>
        <v>1638.4142842398905</v>
      </c>
      <c r="I22" s="17">
        <f>'RC Customers by plan'!I31*('Model inputs'!AG42+'Model inputs'!AG81)</f>
        <v>1866.3974589161646</v>
      </c>
      <c r="J22" s="17">
        <f>'RC Customers by plan'!J31*('Model inputs'!AG42+'Model inputs'!AG81)</f>
        <v>2106.158618770735</v>
      </c>
      <c r="K22" s="17">
        <f>'RC Customers by plan'!K31*('Model inputs'!AG42+'Model inputs'!AG81)</f>
        <v>2344.5032075862937</v>
      </c>
      <c r="L22" s="17">
        <f>'RC Customers by plan'!L31*('Model inputs'!AG42+'Model inputs'!AG81)</f>
        <v>2582.108363683493</v>
      </c>
      <c r="M22" s="17">
        <f>'RC Customers by plan'!M31*('Model inputs'!AG42+'Model inputs'!AG81)</f>
        <v>2819.62939083833</v>
      </c>
      <c r="N22" s="17">
        <f>'RC Customers by plan'!N31*('Model inputs'!AG42+'Model inputs'!AG81)</f>
        <v>3057.7021462388607</v>
      </c>
      <c r="O22" s="17">
        <f>'RC Customers by plan'!O31*('Model inputs'!AG42+'Model inputs'!AG81)</f>
        <v>3296.945306537613</v>
      </c>
      <c r="P22" s="17">
        <f>'RC Customers by plan'!P31*('Model inputs'!AG42+'Model inputs'!AG81)</f>
        <v>3537.9625216183686</v>
      </c>
      <c r="Q22" s="17">
        <f>'RC Customers by plan'!Q31*('Model inputs'!AG42+'Model inputs'!AG81)</f>
        <v>3781.3444651144046</v>
      </c>
      <c r="R22" s="17">
        <f>'RC Customers by plan'!R31*('Model inputs'!AG42+'Model inputs'!AG81)</f>
        <v>4027.6707901748623</v>
      </c>
      <c r="S22" s="17">
        <f>'RC Customers by plan'!S31*('Model inputs'!AG42+'Model inputs'!AG81)</f>
        <v>4277.511998474012</v>
      </c>
    </row>
    <row r="23" outlineLevel="1">
      <c r="A23" t="inlineStr" s="9">
        <is>
          <t xml:space="preserve">Launch</t>
        </is>
      </c>
      <c r="B23" s="17">
        <f>'RC Customers by plan'!B32*('Model inputs'!AG43+'Model inputs'!AG82)</f>
        <v>206</v>
      </c>
      <c r="C23" s="17">
        <f>'RC Customers by plan'!C32*('Model inputs'!AG43+'Model inputs'!AG82)</f>
        <v>311.06</v>
      </c>
      <c r="D23" s="17">
        <f>'RC Customers by plan'!D32*('Model inputs'!AG43+'Model inputs'!AG82)</f>
        <v>417.17203055555547</v>
      </c>
      <c r="E23" s="17">
        <f>'RC Customers by plan'!E32*('Model inputs'!AG43+'Model inputs'!AG82)</f>
        <v>524.6844865439813</v>
      </c>
      <c r="F23" s="17">
        <f>'RC Customers by plan'!F32*('Model inputs'!AG43+'Model inputs'!AG82)</f>
        <v>633.883524509045</v>
      </c>
      <c r="G23" s="17">
        <f>'RC Customers by plan'!G32*('Model inputs'!AG43+'Model inputs'!AG82)</f>
        <v>745.0727893657524</v>
      </c>
      <c r="H23" s="17">
        <f>'RC Customers by plan'!H32*('Model inputs'!AG43+'Model inputs'!AG82)</f>
        <v>858.5759658366885</v>
      </c>
      <c r="I23" s="17">
        <f>'RC Customers by plan'!I32*('Model inputs'!AG43+'Model inputs'!AG82)</f>
        <v>974.7395094715155</v>
      </c>
      <c r="J23" s="17">
        <f>'RC Customers by plan'!J32*('Model inputs'!AG43+'Model inputs'!AG82)</f>
        <v>1093.9355797163917</v>
      </c>
      <c r="K23" s="17">
        <f>'RC Customers by plan'!K32*('Model inputs'!AG43+'Model inputs'!AG82)</f>
        <v>1216.5651993569368</v>
      </c>
      <c r="L23" s="17">
        <f>'RC Customers by plan'!L32*('Model inputs'!AG43+'Model inputs'!AG82)</f>
        <v>1342.7605899294706</v>
      </c>
      <c r="M23" s="17">
        <f>'RC Customers by plan'!M32*('Model inputs'!AG43+'Model inputs'!AG82)</f>
        <v>1472.6527874591704</v>
      </c>
      <c r="N23" s="17">
        <f>'RC Customers by plan'!N32*('Model inputs'!AG43+'Model inputs'!AG82)</f>
        <v>1606.3724099840306</v>
      </c>
      <c r="O23" s="17">
        <f>'RC Customers by plan'!O32*('Model inputs'!AG43+'Model inputs'!AG82)</f>
        <v>1744.050386096672</v>
      </c>
      <c r="P23" s="17">
        <f>'RC Customers by plan'!P32*('Model inputs'!AG43+'Model inputs'!AG82)</f>
        <v>1885.8186481486862</v>
      </c>
      <c r="Q23" s="17">
        <f>'RC Customers by plan'!Q32*('Model inputs'!AG43+'Model inputs'!AG82)</f>
        <v>2031.810793541463</v>
      </c>
      <c r="R23" s="17">
        <f>'RC Customers by plan'!R32*('Model inputs'!AG43+'Model inputs'!AG82)</f>
        <v>2182.1627173230036</v>
      </c>
      <c r="S23" s="17">
        <f>'RC Customers by plan'!S32*('Model inputs'!AG43+'Model inputs'!AG82)</f>
        <v>2337.013219121013</v>
      </c>
    </row>
    <row r="24" outlineLevel="1">
      <c r="A24" t="inlineStr" s="9">
        <is>
          <t xml:space="preserve">Team</t>
        </is>
      </c>
      <c r="B24" s="17">
        <f>'RC Customers by plan'!B33*('Model inputs'!AG44+'Model inputs'!AG83)</f>
        <v>282</v>
      </c>
      <c r="C24" s="17">
        <f>'RC Customers by plan'!C33*('Model inputs'!AG44+'Model inputs'!AG83)</f>
        <v>425.89833333333337</v>
      </c>
      <c r="D24" s="17">
        <f>'RC Customers by plan'!D33*('Model inputs'!AG44+'Model inputs'!AG83)</f>
        <v>589.7379180555556</v>
      </c>
      <c r="E24" s="17">
        <f>'RC Customers by plan'!E33*('Model inputs'!AG44+'Model inputs'!AG83)</f>
        <v>770.3969095590278</v>
      </c>
      <c r="F24" s="17">
        <f>'RC Customers by plan'!F33*('Model inputs'!AG44+'Model inputs'!AG83)</f>
        <v>969.0679608281067</v>
      </c>
      <c r="G24" s="17">
        <f>'RC Customers by plan'!G33*('Model inputs'!AG44+'Model inputs'!AG83)</f>
        <v>1187.0977988002246</v>
      </c>
      <c r="H24" s="17">
        <f>'RC Customers by plan'!H33*('Model inputs'!AG44+'Model inputs'!AG83)</f>
        <v>1425.9991534971566</v>
      </c>
      <c r="I24" s="17">
        <f>'RC Customers by plan'!I33*('Model inputs'!AG44+'Model inputs'!AG83)</f>
        <v>1687.464064877592</v>
      </c>
      <c r="J24" s="17">
        <f>'RC Customers by plan'!J33*('Model inputs'!AG44+'Model inputs'!AG83)</f>
        <v>1973.3786875405954</v>
      </c>
      <c r="K24" s="17">
        <f>'RC Customers by plan'!K33*('Model inputs'!AG44+'Model inputs'!AG83)</f>
        <v>2269.3535795600765</v>
      </c>
      <c r="L24" s="17">
        <f>'RC Customers by plan'!L33*('Model inputs'!AG44+'Model inputs'!AG83)</f>
        <v>2575.4324269469894</v>
      </c>
      <c r="M24" s="17">
        <f>'RC Customers by plan'!M33*('Model inputs'!AG44+'Model inputs'!AG83)</f>
        <v>2891.6999695073378</v>
      </c>
      <c r="N24" s="17">
        <f>'RC Customers by plan'!N33*('Model inputs'!AG44+'Model inputs'!AG83)</f>
        <v>3218.28049669851</v>
      </c>
      <c r="O24" s="17">
        <f>'RC Customers by plan'!O33*('Model inputs'!AG44+'Model inputs'!AG83)</f>
        <v>3555.336511040191</v>
      </c>
      <c r="P24" s="17">
        <f>'RC Customers by plan'!P33*('Model inputs'!AG44+'Model inputs'!AG83)</f>
        <v>3903.0675499867943</v>
      </c>
      <c r="Q24" s="17">
        <f>'RC Customers by plan'!Q33*('Model inputs'!AG44+'Model inputs'!AG83)</f>
        <v>4261.709157878619</v>
      </c>
      <c r="R24" s="17">
        <f>'RC Customers by plan'!R33*('Model inputs'!AG44+'Model inputs'!AG83)</f>
        <v>4631.532000255323</v>
      </c>
      <c r="S24" s="17">
        <f>'RC Customers by plan'!S33*('Model inputs'!AG44+'Model inputs'!AG83)</f>
        <v>5012.841113440814</v>
      </c>
    </row>
    <row r="25">
      <c r="A25" t="inlineStr" s="6">
        <is>
          <t xml:space="preserve">Overage revenue</t>
        </is>
      </c>
      <c r="B25" s="15">
        <f>SUM('RC Revenue &amp; billing by plan'!B26,'RC Revenue &amp; billing by plan'!B27,'RC Revenue &amp; billing by plan'!B28)</f>
        <v>95</v>
      </c>
      <c r="C25" s="15">
        <f>SUM('RC Revenue &amp; billing by plan'!C26,'RC Revenue &amp; billing by plan'!C27,'RC Revenue &amp; billing by plan'!C28)</f>
        <v>160.875</v>
      </c>
      <c r="D25" s="15">
        <f>SUM('RC Revenue &amp; billing by plan'!D26,'RC Revenue &amp; billing by plan'!D27,'RC Revenue &amp; billing by plan'!D28)</f>
        <v>213.58690277777777</v>
      </c>
      <c r="E25" s="15">
        <f>SUM('RC Revenue &amp; billing by plan'!E26,'RC Revenue &amp; billing by plan'!E27,'RC Revenue &amp; billing by plan'!E28)</f>
        <v>269.05303983796296</v>
      </c>
      <c r="F25" s="15">
        <f>SUM('RC Revenue &amp; billing by plan'!F26,'RC Revenue &amp; billing by plan'!F27,'RC Revenue &amp; billing by plan'!F28)</f>
        <v>327.5795949349537</v>
      </c>
      <c r="G25" s="15">
        <f>SUM('RC Revenue &amp; billing by plan'!G26,'RC Revenue &amp; billing by plan'!G27,'RC Revenue &amp; billing by plan'!G28)</f>
        <v>389.4971314852568</v>
      </c>
      <c r="H25" s="15">
        <f>SUM('RC Revenue &amp; billing by plan'!H26,'RC Revenue &amp; billing by plan'!H27,'RC Revenue &amp; billing by plan'!H28)</f>
        <v>455.1629821154749</v>
      </c>
      <c r="I25" s="15">
        <f>SUM('RC Revenue &amp; billing by plan'!I26,'RC Revenue &amp; billing by plan'!I27,'RC Revenue &amp; billing by plan'!I28)</f>
        <v>524.9638461310163</v>
      </c>
      <c r="J25" s="15">
        <f>SUM('RC Revenue &amp; billing by plan'!J26,'RC Revenue &amp; billing by plan'!J27,'RC Revenue &amp; billing by plan'!J28)</f>
        <v>599.3186149500129</v>
      </c>
      <c r="K25" s="15">
        <f>SUM('RC Revenue &amp; billing by plan'!K26,'RC Revenue &amp; billing by plan'!K27,'RC Revenue &amp; billing by plan'!K28)</f>
        <v>674.7853216521627</v>
      </c>
      <c r="L25" s="15">
        <f>SUM('RC Revenue &amp; billing by plan'!L26,'RC Revenue &amp; billing by plan'!L27,'RC Revenue &amp; billing by plan'!L28)</f>
        <v>751.4778206320123</v>
      </c>
      <c r="M25" s="15">
        <f>SUM('RC Revenue &amp; billing by plan'!M26,'RC Revenue &amp; billing by plan'!M27,'RC Revenue &amp; billing by plan'!M28)</f>
        <v>829.5110364230375</v>
      </c>
      <c r="N25" s="15">
        <f>SUM('RC Revenue &amp; billing by plan'!N26,'RC Revenue &amp; billing by plan'!N27,'RC Revenue &amp; billing by plan'!N28)</f>
        <v>909.001210740131</v>
      </c>
      <c r="O25" s="15">
        <f>SUM('RC Revenue &amp; billing by plan'!O26,'RC Revenue &amp; billing by plan'!O27,'RC Revenue &amp; billing by plan'!O28)</f>
        <v>990.0661465814385</v>
      </c>
      <c r="P25" s="15">
        <f>SUM('RC Revenue &amp; billing by plan'!P26,'RC Revenue &amp; billing by plan'!P27,'RC Revenue &amp; billing by plan'!P28)</f>
        <v>1072.82545010209</v>
      </c>
      <c r="Q25" s="15">
        <f>SUM('RC Revenue &amp; billing by plan'!Q26,'RC Revenue &amp; billing by plan'!Q27,'RC Revenue &amp; billing by plan'!Q28)</f>
        <v>1157.400770946348</v>
      </c>
      <c r="R25" s="15">
        <f>SUM('RC Revenue &amp; billing by plan'!R26,'RC Revenue &amp; billing by plan'!R27,'RC Revenue &amp; billing by plan'!R28)</f>
        <v>1243.916041701213</v>
      </c>
      <c r="S25" s="15">
        <f>SUM('RC Revenue &amp; billing by plan'!S26,'RC Revenue &amp; billing by plan'!S27,'RC Revenue &amp; billing by plan'!S28)</f>
        <v>1332.497717113488</v>
      </c>
    </row>
    <row r="26" outlineLevel="1">
      <c r="A26" t="inlineStr" s="9">
        <is>
          <t xml:space="preserve">Indie</t>
        </is>
      </c>
      <c r="B26" s="16">
        <f>'RC Customers by plan'!B31*'Model inputs'!AG81*'Model inputs'!AG84</f>
        <v>50</v>
      </c>
      <c r="C26" s="16">
        <f>'RC Customers by plan'!C31*'Model inputs'!AG81*'Model inputs'!AG84</f>
        <v>92.91666666666666</v>
      </c>
      <c r="D26" s="16">
        <f>'RC Customers by plan'!D31*'Model inputs'!AG81*'Model inputs'!AG84</f>
        <v>120.47222222222223</v>
      </c>
      <c r="E26" s="16">
        <f>'RC Customers by plan'!E31*'Model inputs'!AG81*'Model inputs'!AG84</f>
        <v>148.89074074074077</v>
      </c>
      <c r="F26" s="16">
        <f>'RC Customers by plan'!F31*'Model inputs'!AG81*'Model inputs'!AG84</f>
        <v>178.33069135802472</v>
      </c>
      <c r="G26" s="16">
        <f>'RC Customers by plan'!G31*'Model inputs'!AG81*'Model inputs'!AG84</f>
        <v>208.95725860082308</v>
      </c>
      <c r="H26" s="16">
        <f>'RC Customers by plan'!H31*'Model inputs'!AG81*'Model inputs'!AG84</f>
        <v>240.94327709410155</v>
      </c>
      <c r="I26" s="16">
        <f>'RC Customers by plan'!I31*'Model inputs'!AG81*'Model inputs'!AG84</f>
        <v>274.4702145464948</v>
      </c>
      <c r="J26" s="16">
        <f>'RC Customers by plan'!J31*'Model inputs'!AG81*'Model inputs'!AG84</f>
        <v>309.72920864275517</v>
      </c>
      <c r="K26" s="16">
        <f>'RC Customers by plan'!K31*'Model inputs'!AG81*'Model inputs'!AG84</f>
        <v>344.7798834685726</v>
      </c>
      <c r="L26" s="16">
        <f>'RC Customers by plan'!L31*'Model inputs'!AG81*'Model inputs'!AG84</f>
        <v>379.72181818874895</v>
      </c>
      <c r="M26" s="16">
        <f>'RC Customers by plan'!M31*'Model inputs'!AG81*'Model inputs'!AG84</f>
        <v>414.6513810056368</v>
      </c>
      <c r="N26" s="16">
        <f>'RC Customers by plan'!N31*'Model inputs'!AG81*'Model inputs'!AG84</f>
        <v>449.6620803292442</v>
      </c>
      <c r="O26" s="16">
        <f>'RC Customers by plan'!O31*'Model inputs'!AG81*'Model inputs'!AG84</f>
        <v>484.84489802023717</v>
      </c>
      <c r="P26" s="16">
        <f>'RC Customers by plan'!P31*'Model inputs'!AG81*'Model inputs'!AG84</f>
        <v>520.2886061203483</v>
      </c>
      <c r="Q26" s="16">
        <f>'RC Customers by plan'!Q31*'Model inputs'!AG81*'Model inputs'!AG84</f>
        <v>556.0800683991771</v>
      </c>
      <c r="R26" s="16">
        <f>'RC Customers by plan'!R31*'Model inputs'!AG81*'Model inputs'!AG84</f>
        <v>592.3045279668916</v>
      </c>
      <c r="S26" s="16">
        <f>'RC Customers by plan'!S31*'Model inputs'!AG81*'Model inputs'!AG84</f>
        <v>629.0458821285312</v>
      </c>
    </row>
    <row r="27" outlineLevel="1">
      <c r="A27" t="inlineStr" s="9">
        <is>
          <t xml:space="preserve">Launch</t>
        </is>
      </c>
      <c r="B27" s="16">
        <f>'RC Customers by plan'!B32*'Model inputs'!AG82*'Model inputs'!AG84</f>
        <v>15</v>
      </c>
      <c r="C27" s="16">
        <f>'RC Customers by plan'!C32*'Model inputs'!AG82*'Model inputs'!AG84</f>
        <v>22.650000000000002</v>
      </c>
      <c r="D27" s="16">
        <f>'RC Customers by plan'!D32*'Model inputs'!AG82*'Model inputs'!AG84</f>
        <v>30.376604166666663</v>
      </c>
      <c r="E27" s="16">
        <f>'RC Customers by plan'!E32*'Model inputs'!AG82*'Model inputs'!AG84</f>
        <v>38.205181059027765</v>
      </c>
      <c r="F27" s="16">
        <f>'RC Customers by plan'!F32*'Model inputs'!AG82*'Model inputs'!AG84</f>
        <v>46.156567318619786</v>
      </c>
      <c r="G27" s="16">
        <f>'RC Customers by plan'!G32*'Model inputs'!AG82*'Model inputs'!AG84</f>
        <v>54.25287301206935</v>
      </c>
      <c r="H27" s="16">
        <f>'RC Customers by plan'!H32*'Model inputs'!AG82*'Model inputs'!AG84</f>
        <v>62.51766741529286</v>
      </c>
      <c r="I27" s="16">
        <f>'RC Customers by plan'!I32*'Model inputs'!AG82*'Model inputs'!AG84</f>
        <v>70.97617787413947</v>
      </c>
      <c r="J27" s="16">
        <f>'RC Customers by plan'!J32*'Model inputs'!AG82*'Model inputs'!AG84</f>
        <v>79.65550337740716</v>
      </c>
      <c r="K27" s="16">
        <f>'RC Customers by plan'!K32*'Model inputs'!AG82*'Model inputs'!AG84</f>
        <v>88.58484461336917</v>
      </c>
      <c r="L27" s="16">
        <f>'RC Customers by plan'!L32*'Model inputs'!AG82*'Model inputs'!AG84</f>
        <v>97.7738293637964</v>
      </c>
      <c r="M27" s="16">
        <f>'RC Customers by plan'!M32*'Model inputs'!AG82*'Model inputs'!AG84</f>
        <v>107.23199908683281</v>
      </c>
      <c r="N27" s="16">
        <f>'RC Customers by plan'!N32*'Model inputs'!AG82*'Model inputs'!AG84</f>
        <v>116.96886480466242</v>
      </c>
      <c r="O27" s="16">
        <f>'RC Customers by plan'!O32*'Model inputs'!AG82*'Model inputs'!AG84</f>
        <v>126.99396015267028</v>
      </c>
      <c r="P27" s="16">
        <f>'RC Customers by plan'!P32*'Model inputs'!AG82*'Model inputs'!AG84</f>
        <v>137.31689185548686</v>
      </c>
      <c r="Q27" s="16">
        <f>'RC Customers by plan'!Q32*'Model inputs'!AG82*'Model inputs'!AG84</f>
        <v>147.94738787923274</v>
      </c>
      <c r="R27" s="16">
        <f>'RC Customers by plan'!R32*'Model inputs'!AG82*'Model inputs'!AG84</f>
        <v>158.89534349439347</v>
      </c>
      <c r="S27" s="16">
        <f>'RC Customers by plan'!S32*'Model inputs'!AG82*'Model inputs'!AG84</f>
        <v>170.17086546997666</v>
      </c>
    </row>
    <row r="28" outlineLevel="1">
      <c r="A28" t="inlineStr" s="9">
        <is>
          <t xml:space="preserve">Team</t>
        </is>
      </c>
      <c r="B28" s="16">
        <f>'RC Customers by plan'!B33*'Model inputs'!AG83*'Model inputs'!AG84</f>
        <v>30</v>
      </c>
      <c r="C28" s="16">
        <f>'RC Customers by plan'!C33*'Model inputs'!AG83*'Model inputs'!AG84</f>
        <v>45.30833333333334</v>
      </c>
      <c r="D28" s="16">
        <f>'RC Customers by plan'!D33*'Model inputs'!AG83*'Model inputs'!AG84</f>
        <v>62.73807638888889</v>
      </c>
      <c r="E28" s="16">
        <f>'RC Customers by plan'!E33*'Model inputs'!AG83*'Model inputs'!AG84</f>
        <v>81.95711803819444</v>
      </c>
      <c r="F28" s="16">
        <f>'RC Customers by plan'!F33*'Model inputs'!AG83*'Model inputs'!AG84</f>
        <v>103.09233625830922</v>
      </c>
      <c r="G28" s="16">
        <f>'RC Customers by plan'!G33*'Model inputs'!AG83*'Model inputs'!AG84</f>
        <v>126.28699987236432</v>
      </c>
      <c r="H28" s="16">
        <f>'RC Customers by plan'!H33*'Model inputs'!AG83*'Model inputs'!AG84</f>
        <v>151.7020376060805</v>
      </c>
      <c r="I28" s="16">
        <f>'RC Customers by plan'!I33*'Model inputs'!AG83*'Model inputs'!AG84</f>
        <v>179.5174537103821</v>
      </c>
      <c r="J28" s="16">
        <f>'RC Customers by plan'!J33*'Model inputs'!AG83*'Model inputs'!AG84</f>
        <v>209.93390292985057</v>
      </c>
      <c r="K28" s="16">
        <f>'RC Customers by plan'!K33*'Model inputs'!AG83*'Model inputs'!AG84</f>
        <v>241.4205935702209</v>
      </c>
      <c r="L28" s="16">
        <f>'RC Customers by plan'!L33*'Model inputs'!AG83*'Model inputs'!AG84</f>
        <v>273.982173079467</v>
      </c>
      <c r="M28" s="16">
        <f>'RC Customers by plan'!M33*'Model inputs'!AG83*'Model inputs'!AG84</f>
        <v>307.62765633056785</v>
      </c>
      <c r="N28" s="16">
        <f>'RC Customers by plan'!N33*'Model inputs'!AG83*'Model inputs'!AG84</f>
        <v>342.37026560622445</v>
      </c>
      <c r="O28" s="16">
        <f>'RC Customers by plan'!O33*'Model inputs'!AG83*'Model inputs'!AG84</f>
        <v>378.22728840853097</v>
      </c>
      <c r="P28" s="16">
        <f>'RC Customers by plan'!P33*'Model inputs'!AG83*'Model inputs'!AG84</f>
        <v>415.2199521262547</v>
      </c>
      <c r="Q28" s="16">
        <f>'RC Customers by plan'!Q33*'Model inputs'!AG83*'Model inputs'!AG84</f>
        <v>453.3733146679382</v>
      </c>
      <c r="R28" s="16">
        <f>'RC Customers by plan'!R33*'Model inputs'!AG83*'Model inputs'!AG84</f>
        <v>492.7161702399279</v>
      </c>
      <c r="S28" s="16">
        <f>'RC Customers by plan'!S33*'Model inputs'!AG83*'Model inputs'!AG84</f>
        <v>533.2809695149803</v>
      </c>
    </row>
    <row r="29">
      <c r="A29" t="inlineStr" s="6">
        <is>
          <t xml:space="preserve">Long-trailer revenue</t>
        </is>
      </c>
      <c r="B29" s="15">
        <f>SUM('RC Revenue &amp; billing by plan'!B30,'RC Revenue &amp; billing by plan'!B31,'RC Revenue &amp; billing by plan'!B32)</f>
        <v>49.68</v>
      </c>
      <c r="C29" s="15">
        <f>SUM('RC Revenue &amp; billing by plan'!C30,'RC Revenue &amp; billing by plan'!C31,'RC Revenue &amp; billing by plan'!C32)</f>
        <v>82.1275</v>
      </c>
      <c r="D29" s="15">
        <f>SUM('RC Revenue &amp; billing by plan'!D30,'RC Revenue &amp; billing by plan'!D31,'RC Revenue &amp; billing by plan'!D32)</f>
        <v>109.56726358333333</v>
      </c>
      <c r="E29" s="15">
        <f>SUM('RC Revenue &amp; billing by plan'!E30,'RC Revenue &amp; billing by plan'!E31,'RC Revenue &amp; billing by plan'!E32)</f>
        <v>138.45230598840277</v>
      </c>
      <c r="F29" s="15">
        <f>SUM('RC Revenue &amp; billing by plan'!F30,'RC Revenue &amp; billing by plan'!F31,'RC Revenue &amp; billing by plan'!F32)</f>
        <v>168.9360111943032</v>
      </c>
      <c r="G29" s="15">
        <f>SUM('RC Revenue &amp; billing by plan'!G30,'RC Revenue &amp; billing by plan'!G31,'RC Revenue &amp; billing by plan'!G32)</f>
        <v>201.18479679909444</v>
      </c>
      <c r="H29" s="15">
        <f>SUM('RC Revenue &amp; billing by plan'!H30,'RC Revenue &amp; billing by plan'!H31,'RC Revenue &amp; billing by plan'!H32)</f>
        <v>235.37936421442416</v>
      </c>
      <c r="I29" s="15">
        <f>SUM('RC Revenue &amp; billing by plan'!I30,'RC Revenue &amp; billing by plan'!I31,'RC Revenue &amp; billing by plan'!I32)</f>
        <v>271.71606199591633</v>
      </c>
      <c r="J29" s="15">
        <f>SUM('RC Revenue &amp; billing by plan'!J30,'RC Revenue &amp; billing by plan'!J31,'RC Revenue &amp; billing by plan'!J32)</f>
        <v>310.4083731616633</v>
      </c>
      <c r="K29" s="15">
        <f>SUM('RC Revenue &amp; billing by plan'!K30,'RC Revenue &amp; billing by plan'!K31,'RC Revenue &amp; billing by plan'!K32)</f>
        <v>349.8253191901984</v>
      </c>
      <c r="L29" s="15">
        <f>SUM('RC Revenue &amp; billing by plan'!L30,'RC Revenue &amp; billing by plan'!L31,'RC Revenue &amp; billing by plan'!L32)</f>
        <v>390.0180828335972</v>
      </c>
      <c r="M29" s="15">
        <f>SUM('RC Revenue &amp; billing by plan'!M30,'RC Revenue &amp; billing by plan'!M31,'RC Revenue &amp; billing by plan'!M32)</f>
        <v>431.0389288682903</v>
      </c>
      <c r="N29" s="15">
        <f>SUM('RC Revenue &amp; billing by plan'!N30,'RC Revenue &amp; billing by plan'!N31,'RC Revenue &amp; billing by plan'!N32)</f>
        <v>472.9413031752841</v>
      </c>
      <c r="O29" s="15">
        <f>SUM('RC Revenue &amp; billing by plan'!O30,'RC Revenue &amp; billing by plan'!O31,'RC Revenue &amp; billing by plan'!O32)</f>
        <v>515.7799322204686</v>
      </c>
      <c r="P29" s="15">
        <f>SUM('RC Revenue &amp; billing by plan'!P30,'RC Revenue &amp; billing by plan'!P31,'RC Revenue &amp; billing by plan'!P32)</f>
        <v>559.610923185231</v>
      </c>
      <c r="Q29" s="15">
        <f>SUM('RC Revenue &amp; billing by plan'!Q30,'RC Revenue &amp; billing by plan'!Q31,'RC Revenue &amp; billing by plan'!Q32)</f>
        <v>604.4918649920692</v>
      </c>
      <c r="R29" s="15">
        <f>SUM('RC Revenue &amp; billing by plan'!R30,'RC Revenue &amp; billing by plan'!R31,'RC Revenue &amp; billing by plan'!R32)</f>
        <v>650.4819304651912</v>
      </c>
      <c r="S29" s="15">
        <f>SUM('RC Revenue &amp; billing by plan'!S30,'RC Revenue &amp; billing by plan'!S31,'RC Revenue &amp; billing by plan'!S32)</f>
        <v>697.6419798621504</v>
      </c>
    </row>
    <row r="30" outlineLevel="1">
      <c r="A30" t="inlineStr" s="9">
        <is>
          <t xml:space="preserve">Indie</t>
        </is>
      </c>
      <c r="B30" s="16">
        <f>'RC Revenue &amp; billing by plan'!B22*'Model inputs'!AG54*'Model inputs'!AG53</f>
        <v>20.400000000000002</v>
      </c>
      <c r="C30" s="16">
        <f>'RC Revenue &amp; billing by plan'!C22*'Model inputs'!AG54*'Model inputs'!AG53</f>
        <v>37.91</v>
      </c>
      <c r="D30" s="16">
        <f>'RC Revenue &amp; billing by plan'!D22*'Model inputs'!AG54*'Model inputs'!AG53</f>
        <v>49.15266666666667</v>
      </c>
      <c r="E30" s="16">
        <f>'RC Revenue &amp; billing by plan'!E22*'Model inputs'!AG54*'Model inputs'!AG53</f>
        <v>60.74742222222223</v>
      </c>
      <c r="F30" s="16">
        <f>'RC Revenue &amp; billing by plan'!F22*'Model inputs'!AG54*'Model inputs'!AG53</f>
        <v>72.75892207407409</v>
      </c>
      <c r="G30" s="16">
        <f>'RC Revenue &amp; billing by plan'!G22*'Model inputs'!AG54*'Model inputs'!AG53</f>
        <v>85.25456150913581</v>
      </c>
      <c r="H30" s="16">
        <f>'RC Revenue &amp; billing by plan'!H22*'Model inputs'!AG54*'Model inputs'!AG53</f>
        <v>98.30485705439344</v>
      </c>
      <c r="I30" s="16">
        <f>'RC Revenue &amp; billing by plan'!I22*'Model inputs'!AG54*'Model inputs'!AG53</f>
        <v>111.98384753496987</v>
      </c>
      <c r="J30" s="16">
        <f>'RC Revenue &amp; billing by plan'!J22*'Model inputs'!AG54*'Model inputs'!AG53</f>
        <v>126.36951712624409</v>
      </c>
      <c r="K30" s="16">
        <f>'RC Revenue &amp; billing by plan'!K22*'Model inputs'!AG54*'Model inputs'!AG53</f>
        <v>140.6701924551776</v>
      </c>
      <c r="L30" s="16">
        <f>'RC Revenue &amp; billing by plan'!L22*'Model inputs'!AG54*'Model inputs'!AG53</f>
        <v>154.92650182100957</v>
      </c>
      <c r="M30" s="16">
        <f>'RC Revenue &amp; billing by plan'!M22*'Model inputs'!AG54*'Model inputs'!AG53</f>
        <v>169.1777634502998</v>
      </c>
      <c r="N30" s="16">
        <f>'RC Revenue &amp; billing by plan'!N22*'Model inputs'!AG54*'Model inputs'!AG53</f>
        <v>183.46212877433163</v>
      </c>
      <c r="O30" s="16">
        <f>'RC Revenue &amp; billing by plan'!O22*'Model inputs'!AG54*'Model inputs'!AG53</f>
        <v>197.81671839225677</v>
      </c>
      <c r="P30" s="16">
        <f>'RC Revenue &amp; billing by plan'!P22*'Model inputs'!AG54*'Model inputs'!AG53</f>
        <v>212.27775129710213</v>
      </c>
      <c r="Q30" s="16">
        <f>'RC Revenue &amp; billing by plan'!Q22*'Model inputs'!AG54*'Model inputs'!AG53</f>
        <v>226.88066790686426</v>
      </c>
      <c r="R30" s="16">
        <f>'RC Revenue &amp; billing by plan'!R22*'Model inputs'!AG54*'Model inputs'!AG53</f>
        <v>241.66024741049173</v>
      </c>
      <c r="S30" s="16">
        <f>'RC Revenue &amp; billing by plan'!S22*'Model inputs'!AG54*'Model inputs'!AG53</f>
        <v>256.65071990844075</v>
      </c>
    </row>
    <row r="31" outlineLevel="1">
      <c r="A31" t="inlineStr" s="9">
        <is>
          <t xml:space="preserve">Launch</t>
        </is>
      </c>
      <c r="B31" s="16">
        <f>'RC Revenue &amp; billing by plan'!B23*'Model inputs'!AG54*'Model inputs'!AG53</f>
        <v>12.36</v>
      </c>
      <c r="C31" s="16">
        <f>'RC Revenue &amp; billing by plan'!C23*'Model inputs'!AG54*'Model inputs'!AG53</f>
        <v>18.6636</v>
      </c>
      <c r="D31" s="16">
        <f>'RC Revenue &amp; billing by plan'!D23*'Model inputs'!AG54*'Model inputs'!AG53</f>
        <v>25.03032183333333</v>
      </c>
      <c r="E31" s="16">
        <f>'RC Revenue &amp; billing by plan'!E23*'Model inputs'!AG54*'Model inputs'!AG53</f>
        <v>31.481069192638877</v>
      </c>
      <c r="F31" s="16">
        <f>'RC Revenue &amp; billing by plan'!F23*'Model inputs'!AG54*'Model inputs'!AG53</f>
        <v>38.0330114705427</v>
      </c>
      <c r="G31" s="16">
        <f>'RC Revenue &amp; billing by plan'!G23*'Model inputs'!AG54*'Model inputs'!AG53</f>
        <v>44.704367361945145</v>
      </c>
      <c r="H31" s="16">
        <f>'RC Revenue &amp; billing by plan'!H23*'Model inputs'!AG54*'Model inputs'!AG53</f>
        <v>51.514557950201315</v>
      </c>
      <c r="I31" s="16">
        <f>'RC Revenue &amp; billing by plan'!I23*'Model inputs'!AG54*'Model inputs'!AG53</f>
        <v>58.48437056829093</v>
      </c>
      <c r="J31" s="16">
        <f>'RC Revenue &amp; billing by plan'!J23*'Model inputs'!AG54*'Model inputs'!AG53</f>
        <v>65.63613478298349</v>
      </c>
      <c r="K31" s="16">
        <f>'RC Revenue &amp; billing by plan'!K23*'Model inputs'!AG54*'Model inputs'!AG53</f>
        <v>72.9939119614162</v>
      </c>
      <c r="L31" s="16">
        <f>'RC Revenue &amp; billing by plan'!L23*'Model inputs'!AG54*'Model inputs'!AG53</f>
        <v>80.56563539576824</v>
      </c>
      <c r="M31" s="16">
        <f>'RC Revenue &amp; billing by plan'!M23*'Model inputs'!AG54*'Model inputs'!AG53</f>
        <v>88.35916724755023</v>
      </c>
      <c r="N31" s="16">
        <f>'RC Revenue &amp; billing by plan'!N23*'Model inputs'!AG54*'Model inputs'!AG53</f>
        <v>96.38234459904184</v>
      </c>
      <c r="O31" s="16">
        <f>'RC Revenue &amp; billing by plan'!O23*'Model inputs'!AG54*'Model inputs'!AG53</f>
        <v>104.64302316580032</v>
      </c>
      <c r="P31" s="16">
        <f>'RC Revenue &amp; billing by plan'!P23*'Model inputs'!AG54*'Model inputs'!AG53</f>
        <v>113.14911888892117</v>
      </c>
      <c r="Q31" s="16">
        <f>'RC Revenue &amp; billing by plan'!Q23*'Model inputs'!AG54*'Model inputs'!AG53</f>
        <v>121.90864761248777</v>
      </c>
      <c r="R31" s="16">
        <f>'RC Revenue &amp; billing by plan'!R23*'Model inputs'!AG54*'Model inputs'!AG53</f>
        <v>130.92976303938022</v>
      </c>
      <c r="S31" s="16">
        <f>'RC Revenue &amp; billing by plan'!S23*'Model inputs'!AG54*'Model inputs'!AG53</f>
        <v>140.2207931472608</v>
      </c>
    </row>
    <row r="32" outlineLevel="1">
      <c r="A32" t="inlineStr" s="9">
        <is>
          <t xml:space="preserve">Team</t>
        </is>
      </c>
      <c r="B32" s="16">
        <f>'RC Revenue &amp; billing by plan'!B24*'Model inputs'!AG54*'Model inputs'!AG53</f>
        <v>16.919999999999998</v>
      </c>
      <c r="C32" s="16">
        <f>'RC Revenue &amp; billing by plan'!C24*'Model inputs'!AG54*'Model inputs'!AG53</f>
        <v>25.553900000000002</v>
      </c>
      <c r="D32" s="16">
        <f>'RC Revenue &amp; billing by plan'!D24*'Model inputs'!AG54*'Model inputs'!AG53</f>
        <v>35.384275083333335</v>
      </c>
      <c r="E32" s="16">
        <f>'RC Revenue &amp; billing by plan'!E24*'Model inputs'!AG54*'Model inputs'!AG53</f>
        <v>46.22381457354167</v>
      </c>
      <c r="F32" s="16">
        <f>'RC Revenue &amp; billing by plan'!F24*'Model inputs'!AG54*'Model inputs'!AG53</f>
        <v>58.14407764968641</v>
      </c>
      <c r="G32" s="16">
        <f>'RC Revenue &amp; billing by plan'!G24*'Model inputs'!AG54*'Model inputs'!AG53</f>
        <v>71.22586792801347</v>
      </c>
      <c r="H32" s="16">
        <f>'RC Revenue &amp; billing by plan'!H24*'Model inputs'!AG54*'Model inputs'!AG53</f>
        <v>85.5599492098294</v>
      </c>
      <c r="I32" s="16">
        <f>'RC Revenue &amp; billing by plan'!I24*'Model inputs'!AG54*'Model inputs'!AG53</f>
        <v>101.24784389265551</v>
      </c>
      <c r="J32" s="16">
        <f>'RC Revenue &amp; billing by plan'!J24*'Model inputs'!AG54*'Model inputs'!AG53</f>
        <v>118.40272125243571</v>
      </c>
      <c r="K32" s="16">
        <f>'RC Revenue &amp; billing by plan'!K24*'Model inputs'!AG54*'Model inputs'!AG53</f>
        <v>136.1612147736046</v>
      </c>
      <c r="L32" s="16">
        <f>'RC Revenue &amp; billing by plan'!L24*'Model inputs'!AG54*'Model inputs'!AG53</f>
        <v>154.52594561681937</v>
      </c>
      <c r="M32" s="16">
        <f>'RC Revenue &amp; billing by plan'!M24*'Model inputs'!AG54*'Model inputs'!AG53</f>
        <v>173.5019981704403</v>
      </c>
      <c r="N32" s="16">
        <f>'RC Revenue &amp; billing by plan'!N24*'Model inputs'!AG54*'Model inputs'!AG53</f>
        <v>193.09682980191062</v>
      </c>
      <c r="O32" s="16">
        <f>'RC Revenue &amp; billing by plan'!O24*'Model inputs'!AG54*'Model inputs'!AG53</f>
        <v>213.32019066241148</v>
      </c>
      <c r="P32" s="16">
        <f>'RC Revenue &amp; billing by plan'!P24*'Model inputs'!AG54*'Model inputs'!AG53</f>
        <v>234.18405299920767</v>
      </c>
      <c r="Q32" s="16">
        <f>'RC Revenue &amp; billing by plan'!Q24*'Model inputs'!AG54*'Model inputs'!AG53</f>
        <v>255.70254947271715</v>
      </c>
      <c r="R32" s="16">
        <f>'RC Revenue &amp; billing by plan'!R24*'Model inputs'!AG54*'Model inputs'!AG53</f>
        <v>277.89192001531933</v>
      </c>
      <c r="S32" s="16">
        <f>'RC Revenue &amp; billing by plan'!S24*'Model inputs'!AG54*'Model inputs'!AG53</f>
        <v>300.77046680644884</v>
      </c>
    </row>
    <row r="33">
      <c r="A33" t="inlineStr" s="6">
        <is>
          <t xml:space="preserve">Total revenue</t>
        </is>
      </c>
      <c r="B33" s="15">
        <f>SUM('RC Revenue &amp; billing by plan'!B34,'RC Revenue &amp; billing by plan'!B35,'RC Revenue &amp; billing by plan'!B36)</f>
        <v>2697.6800000000003</v>
      </c>
      <c r="C33" s="15">
        <f>SUM('RC Revenue &amp; billing by plan'!C34,'RC Revenue &amp; billing by plan'!C35,'RC Revenue &amp; billing by plan'!C36)</f>
        <v>4481.89507175926</v>
      </c>
      <c r="D33" s="15">
        <f>SUM('RC Revenue &amp; billing by plan'!D34,'RC Revenue &amp; billing by plan'!D35,'RC Revenue &amp; billing by plan'!D36)</f>
        <v>5942.2303711064815</v>
      </c>
      <c r="E33" s="15">
        <f>SUM('RC Revenue &amp; billing by plan'!E34,'RC Revenue &amp; billing by plan'!E35,'RC Revenue &amp; billing by plan'!E36)</f>
        <v>7466.747638507654</v>
      </c>
      <c r="F33" s="15">
        <f>SUM('RC Revenue &amp; billing by plan'!F34,'RC Revenue &amp; billing by plan'!F35,'RC Revenue &amp; billing by plan'!F36)</f>
        <v>9062.22892048943</v>
      </c>
      <c r="G33" s="15">
        <f>SUM('RC Revenue &amp; billing by plan'!G34,'RC Revenue &amp; billing by plan'!G35,'RC Revenue &amp; billing by plan'!G36)</f>
        <v>10735.980486577066</v>
      </c>
      <c r="H33" s="15">
        <f>SUM('RC Revenue &amp; billing by plan'!H34,'RC Revenue &amp; billing by plan'!H35,'RC Revenue &amp; billing by plan'!H36)</f>
        <v>12495.873782727971</v>
      </c>
      <c r="I33" s="15">
        <f>SUM('RC Revenue &amp; billing by plan'!I34,'RC Revenue &amp; billing by plan'!I35,'RC Revenue &amp; billing by plan'!I36)</f>
        <v>14425.355466802397</v>
      </c>
      <c r="J33" s="15">
        <f>SUM('RC Revenue &amp; billing by plan'!J34,'RC Revenue &amp; billing by plan'!J35,'RC Revenue &amp; billing by plan'!J36)</f>
        <v>16481.836984085563</v>
      </c>
      <c r="K33" s="15">
        <f>SUM('RC Revenue &amp; billing by plan'!K34,'RC Revenue &amp; billing by plan'!K35,'RC Revenue &amp; billing by plan'!K36)</f>
        <v>18573.18684566851</v>
      </c>
      <c r="L33" s="15">
        <f>SUM('RC Revenue &amp; billing by plan'!L34,'RC Revenue &amp; billing by plan'!L35,'RC Revenue &amp; billing by plan'!L36)</f>
        <v>20702.312341418667</v>
      </c>
      <c r="M33" s="15">
        <f>SUM('RC Revenue &amp; billing by plan'!M34,'RC Revenue &amp; billing by plan'!M35,'RC Revenue &amp; billing by plan'!M36)</f>
        <v>22872.168272079078</v>
      </c>
      <c r="N33" s="15">
        <f>SUM('RC Revenue &amp; billing by plan'!N34,'RC Revenue &amp; billing by plan'!N35,'RC Revenue &amp; billing by plan'!N36)</f>
        <v>25085.762702985274</v>
      </c>
      <c r="O33" s="15">
        <f>SUM('RC Revenue &amp; billing by plan'!O34,'RC Revenue &amp; billing by plan'!O35,'RC Revenue &amp; billing by plan'!O36)</f>
        <v>27346.162710611366</v>
      </c>
      <c r="P33" s="15">
        <f>SUM('RC Revenue &amp; billing by plan'!P34,'RC Revenue &amp; billing by plan'!P35,'RC Revenue &amp; billing by plan'!P36)</f>
        <v>29656.50013689306</v>
      </c>
      <c r="Q33" s="15">
        <f>SUM('RC Revenue &amp; billing by plan'!Q34,'RC Revenue &amp; billing by plan'!Q35,'RC Revenue &amp; billing by plan'!Q36)</f>
        <v>32019.977365876286</v>
      </c>
      <c r="R33" s="15">
        <f>SUM('RC Revenue &amp; billing by plan'!R34,'RC Revenue &amp; billing by plan'!R35,'RC Revenue &amp; billing by plan'!R36)</f>
        <v>34439.87313689126</v>
      </c>
      <c r="S33" s="15">
        <f>SUM('RC Revenue &amp; billing by plan'!S34,'RC Revenue &amp; billing by plan'!S35,'RC Revenue &amp; billing by plan'!S36)</f>
        <v>36919.5484081502</v>
      </c>
    </row>
    <row r="34" outlineLevel="1">
      <c r="A34" t="inlineStr" s="11">
        <is>
          <t xml:space="preserve">Indie</t>
        </is>
      </c>
      <c r="B34" s="18">
        <f>'RC Revenue &amp; billing by plan'!B18+'RC Revenue &amp; billing by plan'!B26+'RC Revenue &amp; billing by plan'!B30</f>
        <v>1230.4</v>
      </c>
      <c r="C34" s="18">
        <f>'RC Revenue &amp; billing by plan'!C18+'RC Revenue &amp; billing by plan'!C26+'RC Revenue &amp; billing by plan'!C30</f>
        <v>2286.4933333333333</v>
      </c>
      <c r="D34" s="18">
        <f>'RC Revenue &amp; billing by plan'!D18+'RC Revenue &amp; billing by plan'!D26+'RC Revenue &amp; billing by plan'!D30</f>
        <v>2964.5804444444448</v>
      </c>
      <c r="E34" s="18">
        <f>'RC Revenue &amp; billing by plan'!E18+'RC Revenue &amp; billing by plan'!E26+'RC Revenue &amp; billing by plan'!E30</f>
        <v>3663.903348148149</v>
      </c>
      <c r="F34" s="18">
        <f>'RC Revenue &amp; billing by plan'!F18+'RC Revenue &amp; billing by plan'!F26+'RC Revenue &amp; billing by plan'!F30</f>
        <v>4388.3616529382725</v>
      </c>
      <c r="G34" s="18">
        <f>'RC Revenue &amp; billing by plan'!G18+'RC Revenue &amp; billing by plan'!G26+'RC Revenue &amp; billing by plan'!G30</f>
        <v>5142.0202196490545</v>
      </c>
      <c r="H34" s="18">
        <f>'RC Revenue &amp; billing by plan'!H18+'RC Revenue &amp; billing by plan'!H26+'RC Revenue &amp; billing by plan'!H30</f>
        <v>5929.13216273165</v>
      </c>
      <c r="I34" s="18">
        <f>'RC Revenue &amp; billing by plan'!I18+'RC Revenue &amp; billing by plan'!I26+'RC Revenue &amp; billing by plan'!I30</f>
        <v>6754.163039560144</v>
      </c>
      <c r="J34" s="18">
        <f>'RC Revenue &amp; billing by plan'!J18+'RC Revenue &amp; billing by plan'!J26+'RC Revenue &amp; billing by plan'!J30</f>
        <v>7621.816366280919</v>
      </c>
      <c r="K34" s="18">
        <f>'RC Revenue &amp; billing by plan'!K18+'RC Revenue &amp; billing by plan'!K26+'RC Revenue &amp; billing by plan'!K30</f>
        <v>8484.343372394635</v>
      </c>
      <c r="L34" s="18">
        <f>'RC Revenue &amp; billing by plan'!L18+'RC Revenue &amp; billing by plan'!L26+'RC Revenue &amp; billing by plan'!L30</f>
        <v>9344.194501988735</v>
      </c>
      <c r="M34" s="18">
        <f>'RC Revenue &amp; billing by plan'!M18+'RC Revenue &amp; billing by plan'!M26+'RC Revenue &amp; billing by plan'!M30</f>
        <v>10203.74118378671</v>
      </c>
      <c r="N34" s="18">
        <f>'RC Revenue &amp; billing by plan'!N18+'RC Revenue &amp; billing by plan'!N26+'RC Revenue &amp; billing by plan'!N30</f>
        <v>11065.284472742042</v>
      </c>
      <c r="O34" s="18">
        <f>'RC Revenue &amp; billing by plan'!O18+'RC Revenue &amp; billing by plan'!O26+'RC Revenue &amp; billing by plan'!O30</f>
        <v>11931.063250481995</v>
      </c>
      <c r="P34" s="18">
        <f>'RC Revenue &amp; billing by plan'!P18+'RC Revenue &amp; billing by plan'!P26+'RC Revenue &amp; billing by plan'!P30</f>
        <v>12803.262019409533</v>
      </c>
      <c r="Q34" s="18">
        <f>'RC Revenue &amp; billing by plan'!Q18+'RC Revenue &amp; billing by plan'!Q26+'RC Revenue &amp; billing by plan'!Q30</f>
        <v>13684.01832316695</v>
      </c>
      <c r="R34" s="18">
        <f>'RC Revenue &amp; billing by plan'!R18+'RC Revenue &amp; billing by plan'!R26+'RC Revenue &amp; billing by plan'!R30</f>
        <v>14575.429824209265</v>
      </c>
      <c r="S34" s="18">
        <f>'RC Revenue &amp; billing by plan'!S18+'RC Revenue &amp; billing by plan'!S26+'RC Revenue &amp; billing by plan'!S30</f>
        <v>15479.561067418897</v>
      </c>
    </row>
    <row r="35" outlineLevel="1">
      <c r="A35" t="inlineStr" s="11">
        <is>
          <t xml:space="preserve">Launch</t>
        </is>
      </c>
      <c r="B35" s="18">
        <f>'RC Revenue &amp; billing by plan'!B19+'RC Revenue &amp; billing by plan'!B27+'RC Revenue &amp; billing by plan'!B31</f>
        <v>526.36</v>
      </c>
      <c r="C35" s="18">
        <f>'RC Revenue &amp; billing by plan'!C19+'RC Revenue &amp; billing by plan'!C27+'RC Revenue &amp; billing by plan'!C31</f>
        <v>787.4780027777778</v>
      </c>
      <c r="D35" s="18">
        <f>'RC Revenue &amp; billing by plan'!D19+'RC Revenue &amp; billing by plan'!D27+'RC Revenue &amp; billing by plan'!D31</f>
        <v>1046.2861286195985</v>
      </c>
      <c r="E35" s="18">
        <f>'RC Revenue &amp; billing by plan'!E19+'RC Revenue &amp; billing by plan'!E27+'RC Revenue &amp; billing by plan'!E31</f>
        <v>1303.5756353044392</v>
      </c>
      <c r="F35" s="18">
        <f>'RC Revenue &amp; billing by plan'!F19+'RC Revenue &amp; billing by plan'!F27+'RC Revenue &amp; billing by plan'!F31</f>
        <v>1559.9517961648992</v>
      </c>
      <c r="G35" s="18">
        <f>'RC Revenue &amp; billing by plan'!G19+'RC Revenue &amp; billing by plan'!G27+'RC Revenue &amp; billing by plan'!G31</f>
        <v>1816.0355541351703</v>
      </c>
      <c r="H35" s="18">
        <f>'RC Revenue &amp; billing by plan'!H19+'RC Revenue &amp; billing by plan'!H27+'RC Revenue &amp; billing by plan'!H31</f>
        <v>2072.4676212244485</v>
      </c>
      <c r="I35" s="18">
        <f>'RC Revenue &amp; billing by plan'!I19+'RC Revenue &amp; billing by plan'!I27+'RC Revenue &amp; billing by plan'!I31</f>
        <v>2352.8681827697096</v>
      </c>
      <c r="J35" s="18">
        <f>'RC Revenue &amp; billing by plan'!J19+'RC Revenue &amp; billing by plan'!J27+'RC Revenue &amp; billing by plan'!J31</f>
        <v>2640.5887875725334</v>
      </c>
      <c r="K35" s="18">
        <f>'RC Revenue &amp; billing by plan'!K19+'RC Revenue &amp; billing by plan'!K27+'RC Revenue &amp; billing by plan'!K31</f>
        <v>2936.597441693701</v>
      </c>
      <c r="L35" s="18">
        <f>'RC Revenue &amp; billing by plan'!L19+'RC Revenue &amp; billing by plan'!L27+'RC Revenue &amp; billing by plan'!L31</f>
        <v>3241.2133071686694</v>
      </c>
      <c r="M35" s="18">
        <f>'RC Revenue &amp; billing by plan'!M19+'RC Revenue &amp; billing by plan'!M27+'RC Revenue &amp; billing by plan'!M31</f>
        <v>3554.7526843950727</v>
      </c>
      <c r="N35" s="18">
        <f>'RC Revenue &amp; billing by plan'!N19+'RC Revenue &amp; billing by plan'!N27+'RC Revenue &amp; billing by plan'!N31</f>
        <v>3877.530864815093</v>
      </c>
      <c r="O35" s="18">
        <f>'RC Revenue &amp; billing by plan'!O19+'RC Revenue &amp; billing by plan'!O27+'RC Revenue &amp; billing by plan'!O31</f>
        <v>4209.863889501037</v>
      </c>
      <c r="P35" s="18">
        <f>'RC Revenue &amp; billing by plan'!P19+'RC Revenue &amp; billing by plan'!P27+'RC Revenue &amp; billing by plan'!P31</f>
        <v>4552.070222441817</v>
      </c>
      <c r="Q35" s="18">
        <f>'RC Revenue &amp; billing by plan'!Q19+'RC Revenue &amp; billing by plan'!Q27+'RC Revenue &amp; billing by plan'!Q31</f>
        <v>4904.472346795219</v>
      </c>
      <c r="R35" s="18">
        <f>'RC Revenue &amp; billing by plan'!R19+'RC Revenue &amp; billing by plan'!R27+'RC Revenue &amp; billing by plan'!R31</f>
        <v>5267.398291877309</v>
      </c>
      <c r="S35" s="18">
        <f>'RC Revenue &amp; billing by plan'!S19+'RC Revenue &amp; billing by plan'!S27+'RC Revenue &amp; billing by plan'!S31</f>
        <v>5641.183098203667</v>
      </c>
    </row>
    <row r="36" outlineLevel="1">
      <c r="A36" t="inlineStr" s="11">
        <is>
          <t xml:space="preserve">Team</t>
        </is>
      </c>
      <c r="B36" s="18">
        <f>'RC Revenue &amp; billing by plan'!B20+'RC Revenue &amp; billing by plan'!B28+'RC Revenue &amp; billing by plan'!B32</f>
        <v>940.92</v>
      </c>
      <c r="C36" s="18">
        <f>'RC Revenue &amp; billing by plan'!C20+'RC Revenue &amp; billing by plan'!C28+'RC Revenue &amp; billing by plan'!C32</f>
        <v>1407.9237356481483</v>
      </c>
      <c r="D36" s="18">
        <f>'RC Revenue &amp; billing by plan'!D20+'RC Revenue &amp; billing by plan'!D28+'RC Revenue &amp; billing by plan'!D32</f>
        <v>1931.3637980424382</v>
      </c>
      <c r="E36" s="18">
        <f>'RC Revenue &amp; billing by plan'!E20+'RC Revenue &amp; billing by plan'!E28+'RC Revenue &amp; billing by plan'!E32</f>
        <v>2499.2686550550666</v>
      </c>
      <c r="F36" s="18">
        <f>'RC Revenue &amp; billing by plan'!F20+'RC Revenue &amp; billing by plan'!F28+'RC Revenue &amp; billing by plan'!F32</f>
        <v>3113.9154713862586</v>
      </c>
      <c r="G36" s="18">
        <f>'RC Revenue &amp; billing by plan'!G20+'RC Revenue &amp; billing by plan'!G28+'RC Revenue &amp; billing by plan'!G32</f>
        <v>3777.9247127928406</v>
      </c>
      <c r="H36" s="18">
        <f>'RC Revenue &amp; billing by plan'!H20+'RC Revenue &amp; billing by plan'!H28+'RC Revenue &amp; billing by plan'!H32</f>
        <v>4494.273998771872</v>
      </c>
      <c r="I36" s="18">
        <f>'RC Revenue &amp; billing by plan'!I20+'RC Revenue &amp; billing by plan'!I28+'RC Revenue &amp; billing by plan'!I32</f>
        <v>5318.324244472544</v>
      </c>
      <c r="J36" s="18">
        <f>'RC Revenue &amp; billing by plan'!J20+'RC Revenue &amp; billing by plan'!J28+'RC Revenue &amp; billing by plan'!J32</f>
        <v>6219.43183023211</v>
      </c>
      <c r="K36" s="18">
        <f>'RC Revenue &amp; billing by plan'!K20+'RC Revenue &amp; billing by plan'!K28+'RC Revenue &amp; billing by plan'!K32</f>
        <v>7152.246031580174</v>
      </c>
      <c r="L36" s="18">
        <f>'RC Revenue &amp; billing by plan'!L20+'RC Revenue &amp; billing by plan'!L28+'RC Revenue &amp; billing by plan'!L32</f>
        <v>8116.904532261261</v>
      </c>
      <c r="M36" s="18">
        <f>'RC Revenue &amp; billing by plan'!M20+'RC Revenue &amp; billing by plan'!M28+'RC Revenue &amp; billing by plan'!M32</f>
        <v>9113.674403897294</v>
      </c>
      <c r="N36" s="18">
        <f>'RC Revenue &amp; billing by plan'!N20+'RC Revenue &amp; billing by plan'!N28+'RC Revenue &amp; billing by plan'!N32</f>
        <v>10142.947365428137</v>
      </c>
      <c r="O36" s="18">
        <f>'RC Revenue &amp; billing by plan'!O20+'RC Revenue &amp; billing by plan'!O28+'RC Revenue &amp; billing by plan'!O32</f>
        <v>11205.235570628334</v>
      </c>
      <c r="P36" s="18">
        <f>'RC Revenue &amp; billing by plan'!P20+'RC Revenue &amp; billing by plan'!P28+'RC Revenue &amp; billing by plan'!P32</f>
        <v>12301.167895041712</v>
      </c>
      <c r="Q36" s="18">
        <f>'RC Revenue &amp; billing by plan'!Q20+'RC Revenue &amp; billing by plan'!Q28+'RC Revenue &amp; billing by plan'!Q32</f>
        <v>13431.486695914116</v>
      </c>
      <c r="R36" s="18">
        <f>'RC Revenue &amp; billing by plan'!R20+'RC Revenue &amp; billing by plan'!R28+'RC Revenue &amp; billing by plan'!R32</f>
        <v>14597.045020804691</v>
      </c>
      <c r="S36" s="18">
        <f>'RC Revenue &amp; billing by plan'!S20+'RC Revenue &amp; billing by plan'!S28+'RC Revenue &amp; billing by plan'!S32</f>
        <v>15798.804242527634</v>
      </c>
    </row>
    <row r="37">
      <c r="A37" t="inlineStr" s="6">
        <is>
          <t xml:space="preserve">New annual prepayments</t>
        </is>
      </c>
      <c r="B37" s="8">
        <f>SUM('RC Revenue &amp; billing by plan'!B38,'RC Revenue &amp; billing by plan'!B39,'RC Revenue &amp; billing by plan'!B40)</f>
        <v>0</v>
      </c>
      <c r="C37" s="8">
        <f>SUM('RC Revenue &amp; billing by plan'!C38,'RC Revenue &amp; billing by plan'!C39,'RC Revenue &amp; billing by plan'!C40)</f>
        <v>0.6166805555555555</v>
      </c>
      <c r="D37" s="8">
        <f>SUM('RC Revenue &amp; billing by plan'!D38,'RC Revenue &amp; billing by plan'!D39,'RC Revenue &amp; billing by plan'!D40)</f>
        <v>1.100649537037037</v>
      </c>
      <c r="E37" s="8">
        <f>SUM('RC Revenue &amp; billing by plan'!E38,'RC Revenue &amp; billing by plan'!E39,'RC Revenue &amp; billing by plan'!E40)</f>
        <v>1.6615359083912034</v>
      </c>
      <c r="F37" s="8">
        <f>SUM('RC Revenue &amp; billing by plan'!F38,'RC Revenue &amp; billing by plan'!F39,'RC Revenue &amp; billing by plan'!F40)</f>
        <v>2.3074813761662645</v>
      </c>
      <c r="G37" s="8">
        <f>SUM('RC Revenue &amp; billing by plan'!G38,'RC Revenue &amp; billing by plan'!G39,'RC Revenue &amp; billing by plan'!G40)</f>
        <v>3.0477910316922854</v>
      </c>
      <c r="H37" s="8">
        <f>SUM('RC Revenue &amp; billing by plan'!H38,'RC Revenue &amp; billing by plan'!H39,'RC Revenue &amp; billing by plan'!H40)</f>
        <v>3.893055575398357</v>
      </c>
      <c r="I37" s="8">
        <f>SUM('RC Revenue &amp; billing by plan'!I38,'RC Revenue &amp; billing by plan'!I39,'RC Revenue &amp; billing by plan'!I40)</f>
        <v>2.4848998339089894</v>
      </c>
      <c r="J37" s="8">
        <f>SUM('RC Revenue &amp; billing by plan'!J38,'RC Revenue &amp; billing by plan'!J39,'RC Revenue &amp; billing by plan'!J40)</f>
        <v>2.733497355486792</v>
      </c>
      <c r="K37" s="8">
        <f>SUM('RC Revenue &amp; billing by plan'!K38,'RC Revenue &amp; billing by plan'!K39,'RC Revenue &amp; billing by plan'!K40)</f>
        <v>2.881160262666482</v>
      </c>
      <c r="L37" s="8">
        <f>SUM('RC Revenue &amp; billing by plan'!L38,'RC Revenue &amp; billing by plan'!L39,'RC Revenue &amp; billing by plan'!L40)</f>
        <v>3.0317081519360025</v>
      </c>
      <c r="M37" s="8">
        <f>SUM('RC Revenue &amp; billing by plan'!M38,'RC Revenue &amp; billing by plan'!M39,'RC Revenue &amp; billing by plan'!M40)</f>
        <v>3.1854578581921253</v>
      </c>
      <c r="N37" s="8">
        <f>SUM('RC Revenue &amp; billing by plan'!N38,'RC Revenue &amp; billing by plan'!N39,'RC Revenue &amp; billing by plan'!N40)</f>
        <v>3.3427254606865704</v>
      </c>
      <c r="O37" s="8">
        <f>SUM('RC Revenue &amp; billing by plan'!O38,'RC Revenue &amp; billing by plan'!O39,'RC Revenue &amp; billing by plan'!O40)</f>
        <v>3.503827148069677</v>
      </c>
      <c r="P37" s="8">
        <f>SUM('RC Revenue &amp; billing by plan'!P38,'RC Revenue &amp; billing by plan'!P39,'RC Revenue &amp; billing by plan'!P40)</f>
        <v>3.6690800583510628</v>
      </c>
      <c r="Q37" s="8">
        <f>SUM('RC Revenue &amp; billing by plan'!Q38,'RC Revenue &amp; billing by plan'!Q39,'RC Revenue &amp; billing by plan'!Q40)</f>
        <v>3.838803096753139</v>
      </c>
      <c r="R37" s="8">
        <f>SUM('RC Revenue &amp; billing by plan'!R38,'RC Revenue &amp; billing by plan'!R39,'RC Revenue &amp; billing by plan'!R40)</f>
        <v>4.013317734286764</v>
      </c>
      <c r="S37" s="8">
        <f>SUM('RC Revenue &amp; billing by plan'!S38,'RC Revenue &amp; billing by plan'!S39,'RC Revenue &amp; billing by plan'!S40)</f>
        <v>4.192948789744163</v>
      </c>
    </row>
    <row r="38" outlineLevel="1">
      <c r="A38" t="inlineStr" s="9">
        <is>
          <t xml:space="preserve">Indie</t>
        </is>
      </c>
      <c r="B38" s="10">
        <f>IF(IF(IF(ISERROR('RC Customers by plan'!B5&lt;1),'RC Customers by plan'!B5&lt;1,IF('RC Customers by plan'!B5="","",'RC Customers by plan'!B5&lt;1))="",FALSE,IF(ISERROR('RC Customers by plan'!B5&lt;1),'RC Customers by plan'!B5&lt;1,IF('RC Customers by plan'!B5="","",'RC Customers by plan'!B5&lt;1))),0,MAX('RC Revenue &amp; billing by plan'!B10-'Model inputs'!N7*(1-'Model inputs'!AG57),0))</f>
        <v>0</v>
      </c>
      <c r="C38" s="10">
        <f>IF(IF(IF(ISERROR('RC Customers by plan'!C5&lt;1),'RC Customers by plan'!C5&lt;1,IF('RC Customers by plan'!C5="","",'RC Customers by plan'!C5&lt;1))="",FALSE,IF(ISERROR('RC Customers by plan'!C5&lt;1),'RC Customers by plan'!C5&lt;1,IF('RC Customers by plan'!C5="","",'RC Customers by plan'!C5&lt;1))),0,MAX('RC Revenue &amp; billing by plan'!C10-'RC Revenue &amp; billing by plan'!B10*(1-'Model inputs'!AG57),0))</f>
        <v>0</v>
      </c>
      <c r="D38" s="10">
        <f>IF(IF(IF(ISERROR('RC Customers by plan'!D5&lt;1),'RC Customers by plan'!D5&lt;1,IF('RC Customers by plan'!D5="","",'RC Customers by plan'!D5&lt;1))="",FALSE,IF(ISERROR('RC Customers by plan'!D5&lt;1),'RC Customers by plan'!D5&lt;1,IF('RC Customers by plan'!D5="","",'RC Customers by plan'!D5&lt;1))),0,MAX('RC Revenue &amp; billing by plan'!D10-'RC Revenue &amp; billing by plan'!C10*(1-'Model inputs'!AG57),0))</f>
        <v>0</v>
      </c>
      <c r="E38" s="10">
        <f>IF(IF(IF(ISERROR('RC Customers by plan'!E5&lt;1),'RC Customers by plan'!E5&lt;1,IF('RC Customers by plan'!E5="","",'RC Customers by plan'!E5&lt;1))="",FALSE,IF(ISERROR('RC Customers by plan'!E5&lt;1),'RC Customers by plan'!E5&lt;1,IF('RC Customers by plan'!E5="","",'RC Customers by plan'!E5&lt;1))),0,MAX('RC Revenue &amp; billing by plan'!E10-'RC Revenue &amp; billing by plan'!D10*(1-'Model inputs'!AG57),0))</f>
        <v>0</v>
      </c>
      <c r="F38" s="10">
        <f>IF(IF(IF(ISERROR('RC Customers by plan'!F5&lt;1),'RC Customers by plan'!F5&lt;1,IF('RC Customers by plan'!F5="","",'RC Customers by plan'!F5&lt;1))="",FALSE,IF(ISERROR('RC Customers by plan'!F5&lt;1),'RC Customers by plan'!F5&lt;1,IF('RC Customers by plan'!F5="","",'RC Customers by plan'!F5&lt;1))),0,MAX('RC Revenue &amp; billing by plan'!F10-'RC Revenue &amp; billing by plan'!E10*(1-'Model inputs'!AG57),0))</f>
        <v>0</v>
      </c>
      <c r="G38" s="10">
        <f>IF(IF(IF(ISERROR('RC Customers by plan'!G5&lt;1),'RC Customers by plan'!G5&lt;1,IF('RC Customers by plan'!G5="","",'RC Customers by plan'!G5&lt;1))="",FALSE,IF(ISERROR('RC Customers by plan'!G5&lt;1),'RC Customers by plan'!G5&lt;1,IF('RC Customers by plan'!G5="","",'RC Customers by plan'!G5&lt;1))),0,MAX('RC Revenue &amp; billing by plan'!G10-'RC Revenue &amp; billing by plan'!F10*(1-'Model inputs'!AG57),0))</f>
        <v>0</v>
      </c>
      <c r="H38" s="10">
        <f>IF(IF(IF(ISERROR('RC Customers by plan'!H5&lt;1),'RC Customers by plan'!H5&lt;1,IF('RC Customers by plan'!H5="","",'RC Customers by plan'!H5&lt;1))="",FALSE,IF(ISERROR('RC Customers by plan'!H5&lt;1),'RC Customers by plan'!H5&lt;1,IF('RC Customers by plan'!H5="","",'RC Customers by plan'!H5&lt;1))),0,MAX('RC Revenue &amp; billing by plan'!H10-'RC Revenue &amp; billing by plan'!G10*(1-'Model inputs'!AG57),0))</f>
        <v>0</v>
      </c>
      <c r="I38" s="10">
        <f>IF(IF(IF(ISERROR('RC Customers by plan'!I5&lt;1),'RC Customers by plan'!I5&lt;1,IF('RC Customers by plan'!I5="","",'RC Customers by plan'!I5&lt;1))="",FALSE,IF(ISERROR('RC Customers by plan'!I5&lt;1),'RC Customers by plan'!I5&lt;1,IF('RC Customers by plan'!I5="","",'RC Customers by plan'!I5&lt;1))),0,MAX('RC Revenue &amp; billing by plan'!I10-'RC Revenue &amp; billing by plan'!H10*(1-'Model inputs'!AG57),0))</f>
        <v>0</v>
      </c>
      <c r="J38" s="10">
        <f>IF(IF(IF(ISERROR('RC Customers by plan'!J5&lt;1),'RC Customers by plan'!J5&lt;1,IF('RC Customers by plan'!J5="","",'RC Customers by plan'!J5&lt;1))="",FALSE,IF(ISERROR('RC Customers by plan'!J5&lt;1),'RC Customers by plan'!J5&lt;1,IF('RC Customers by plan'!J5="","",'RC Customers by plan'!J5&lt;1))),0,MAX('RC Revenue &amp; billing by plan'!J10-'RC Revenue &amp; billing by plan'!I10*(1-'Model inputs'!AG57),0))</f>
        <v>0</v>
      </c>
      <c r="K38" s="10">
        <f>IF(IF(IF(ISERROR('RC Customers by plan'!K5&lt;1),'RC Customers by plan'!K5&lt;1,IF('RC Customers by plan'!K5="","",'RC Customers by plan'!K5&lt;1))="",FALSE,IF(ISERROR('RC Customers by plan'!K5&lt;1),'RC Customers by plan'!K5&lt;1,IF('RC Customers by plan'!K5="","",'RC Customers by plan'!K5&lt;1))),0,MAX('RC Revenue &amp; billing by plan'!K10-'RC Revenue &amp; billing by plan'!J10*(1-'Model inputs'!AG57),0))</f>
        <v>0</v>
      </c>
      <c r="L38" s="10">
        <f>IF(IF(IF(ISERROR('RC Customers by plan'!L5&lt;1),'RC Customers by plan'!L5&lt;1,IF('RC Customers by plan'!L5="","",'RC Customers by plan'!L5&lt;1))="",FALSE,IF(ISERROR('RC Customers by plan'!L5&lt;1),'RC Customers by plan'!L5&lt;1,IF('RC Customers by plan'!L5="","",'RC Customers by plan'!L5&lt;1))),0,MAX('RC Revenue &amp; billing by plan'!L10-'RC Revenue &amp; billing by plan'!K10*(1-'Model inputs'!AG57),0))</f>
        <v>0</v>
      </c>
      <c r="M38" s="10">
        <f>IF(IF(IF(ISERROR('RC Customers by plan'!M5&lt;1),'RC Customers by plan'!M5&lt;1,IF('RC Customers by plan'!M5="","",'RC Customers by plan'!M5&lt;1))="",FALSE,IF(ISERROR('RC Customers by plan'!M5&lt;1),'RC Customers by plan'!M5&lt;1,IF('RC Customers by plan'!M5="","",'RC Customers by plan'!M5&lt;1))),0,MAX('RC Revenue &amp; billing by plan'!M10-'RC Revenue &amp; billing by plan'!L10*(1-'Model inputs'!AG57),0))</f>
        <v>0</v>
      </c>
      <c r="N38" s="10">
        <f>IF(IF(IF(ISERROR('RC Customers by plan'!N5&lt;1),'RC Customers by plan'!N5&lt;1,IF('RC Customers by plan'!N5="","",'RC Customers by plan'!N5&lt;1))="",FALSE,IF(ISERROR('RC Customers by plan'!N5&lt;1),'RC Customers by plan'!N5&lt;1,IF('RC Customers by plan'!N5="","",'RC Customers by plan'!N5&lt;1))),0,MAX('RC Revenue &amp; billing by plan'!N10-'RC Revenue &amp; billing by plan'!M10*(1-'Model inputs'!AG57),0))</f>
        <v>0</v>
      </c>
      <c r="O38" s="10">
        <f>IF(IF(IF(ISERROR('RC Customers by plan'!O5&lt;1),'RC Customers by plan'!O5&lt;1,IF('RC Customers by plan'!O5="","",'RC Customers by plan'!O5&lt;1))="",FALSE,IF(ISERROR('RC Customers by plan'!O5&lt;1),'RC Customers by plan'!O5&lt;1,IF('RC Customers by plan'!O5="","",'RC Customers by plan'!O5&lt;1))),0,MAX('RC Revenue &amp; billing by plan'!O10-'RC Revenue &amp; billing by plan'!N10*(1-'Model inputs'!AG57),0))</f>
        <v>0</v>
      </c>
      <c r="P38" s="10">
        <f>IF(IF(IF(ISERROR('RC Customers by plan'!P5&lt;1),'RC Customers by plan'!P5&lt;1,IF('RC Customers by plan'!P5="","",'RC Customers by plan'!P5&lt;1))="",FALSE,IF(ISERROR('RC Customers by plan'!P5&lt;1),'RC Customers by plan'!P5&lt;1,IF('RC Customers by plan'!P5="","",'RC Customers by plan'!P5&lt;1))),0,MAX('RC Revenue &amp; billing by plan'!P10-'RC Revenue &amp; billing by plan'!O10*(1-'Model inputs'!AG57),0))</f>
        <v>0</v>
      </c>
      <c r="Q38" s="10">
        <f>IF(IF(IF(ISERROR('RC Customers by plan'!Q5&lt;1),'RC Customers by plan'!Q5&lt;1,IF('RC Customers by plan'!Q5="","",'RC Customers by plan'!Q5&lt;1))="",FALSE,IF(ISERROR('RC Customers by plan'!Q5&lt;1),'RC Customers by plan'!Q5&lt;1,IF('RC Customers by plan'!Q5="","",'RC Customers by plan'!Q5&lt;1))),0,MAX('RC Revenue &amp; billing by plan'!Q10-'RC Revenue &amp; billing by plan'!P10*(1-'Model inputs'!AG57),0))</f>
        <v>0</v>
      </c>
      <c r="R38" s="10">
        <f>IF(IF(IF(ISERROR('RC Customers by plan'!R5&lt;1),'RC Customers by plan'!R5&lt;1,IF('RC Customers by plan'!R5="","",'RC Customers by plan'!R5&lt;1))="",FALSE,IF(ISERROR('RC Customers by plan'!R5&lt;1),'RC Customers by plan'!R5&lt;1,IF('RC Customers by plan'!R5="","",'RC Customers by plan'!R5&lt;1))),0,MAX('RC Revenue &amp; billing by plan'!R10-'RC Revenue &amp; billing by plan'!Q10*(1-'Model inputs'!AG57),0))</f>
        <v>0</v>
      </c>
      <c r="S38" s="10">
        <f>IF(IF(IF(ISERROR('RC Customers by plan'!S5&lt;1),'RC Customers by plan'!S5&lt;1,IF('RC Customers by plan'!S5="","",'RC Customers by plan'!S5&lt;1))="",FALSE,IF(ISERROR('RC Customers by plan'!S5&lt;1),'RC Customers by plan'!S5&lt;1,IF('RC Customers by plan'!S5="","",'RC Customers by plan'!S5&lt;1))),0,MAX('RC Revenue &amp; billing by plan'!S10-'RC Revenue &amp; billing by plan'!R10*(1-'Model inputs'!AG57),0))</f>
        <v>0</v>
      </c>
    </row>
    <row r="39" outlineLevel="1">
      <c r="A39" t="inlineStr" s="9">
        <is>
          <t xml:space="preserve">Launch</t>
        </is>
      </c>
      <c r="B39" s="10">
        <f>IF(IF(IF(ISERROR('RC Customers by plan'!B5&lt;1),'RC Customers by plan'!B5&lt;1,IF('RC Customers by plan'!B5="","",'RC Customers by plan'!B5&lt;1))="",FALSE,IF(ISERROR('RC Customers by plan'!B5&lt;1),'RC Customers by plan'!B5&lt;1,IF('RC Customers by plan'!B5="","",'RC Customers by plan'!B5&lt;1))),0,MAX('RC Revenue &amp; billing by plan'!B11-'Model inputs'!N8*(1-'Model inputs'!AG58),0))</f>
        <v>0</v>
      </c>
      <c r="C39" s="10">
        <f>IF(IF(IF(ISERROR('RC Customers by plan'!C5&lt;1),'RC Customers by plan'!C5&lt;1,IF('RC Customers by plan'!C5="","",'RC Customers by plan'!C5&lt;1))="",FALSE,IF(ISERROR('RC Customers by plan'!C5&lt;1),'RC Customers by plan'!C5&lt;1,IF('RC Customers by plan'!C5="","",'RC Customers by plan'!C5&lt;1))),0,MAX('RC Revenue &amp; billing by plan'!C11-'RC Revenue &amp; billing by plan'!B11*(1-'Model inputs'!AG58),0))</f>
        <v>0.08808333333333332</v>
      </c>
      <c r="D39" s="10">
        <f>IF(IF(IF(ISERROR('RC Customers by plan'!D5&lt;1),'RC Customers by plan'!D5&lt;1,IF('RC Customers by plan'!D5="","",'RC Customers by plan'!D5&lt;1))="",FALSE,IF(ISERROR('RC Customers by plan'!D5&lt;1),'RC Customers by plan'!D5&lt;1,IF('RC Customers by plan'!D5="","",'RC Customers by plan'!D5&lt;1))),0,MAX('RC Revenue &amp; billing by plan'!D11-'RC Revenue &amp; billing by plan'!C11*(1-'Model inputs'!AG58),0))</f>
        <v>0.14950039351851846</v>
      </c>
      <c r="E39" s="10">
        <f>IF(IF(IF(ISERROR('RC Customers by plan'!E5&lt;1),'RC Customers by plan'!E5&lt;1,IF('RC Customers by plan'!E5="","",'RC Customers by plan'!E5&lt;1))="",FALSE,IF(ISERROR('RC Customers by plan'!E5&lt;1),'RC Customers by plan'!E5&lt;1,IF('RC Customers by plan'!E5="","",'RC Customers by plan'!E5&lt;1))),0,MAX('RC Revenue &amp; billing by plan'!E11-'RC Revenue &amp; billing by plan'!D11*(1-'Model inputs'!AG58),0))</f>
        <v>0.21300857265624992</v>
      </c>
      <c r="F39" s="10">
        <f>IF(IF(IF(ISERROR('RC Customers by plan'!F5&lt;1),'RC Customers by plan'!F5&lt;1,IF('RC Customers by plan'!F5="","",'RC Customers by plan'!F5&lt;1))="",FALSE,IF(ISERROR('RC Customers by plan'!F5&lt;1),'RC Customers by plan'!F5&lt;1,IF('RC Customers by plan'!F5="","",'RC Customers by plan'!F5&lt;1))),0,MAX('RC Revenue &amp; billing by plan'!F11-'RC Revenue &amp; billing by plan'!E11*(1-'Model inputs'!AG58),0))</f>
        <v>0.27894984150853586</v>
      </c>
      <c r="G39" s="10">
        <f>IF(IF(IF(ISERROR('RC Customers by plan'!G5&lt;1),'RC Customers by plan'!G5&lt;1,IF('RC Customers by plan'!G5="","",'RC Customers by plan'!G5&lt;1))="",FALSE,IF(ISERROR('RC Customers by plan'!G5&lt;1),'RC Customers by plan'!G5&lt;1,IF('RC Customers by plan'!G5="","",'RC Customers by plan'!G5&lt;1))),0,MAX('RC Revenue &amp; billing by plan'!G11-'RC Revenue &amp; billing by plan'!F11*(1-'Model inputs'!AG58),0))</f>
        <v>0.34769579376382986</v>
      </c>
      <c r="H39" s="10">
        <f>IF(IF(IF(ISERROR('RC Customers by plan'!H5&lt;1),'RC Customers by plan'!H5&lt;1,IF('RC Customers by plan'!H5="","",'RC Customers by plan'!H5&lt;1))="",FALSE,IF(ISERROR('RC Customers by plan'!H5&lt;1),'RC Customers by plan'!H5&lt;1,IF('RC Customers by plan'!H5="","",'RC Customers by plan'!H5&lt;1))),0,MAX('RC Revenue &amp; billing by plan'!H11-'RC Revenue &amp; billing by plan'!G11*(1-'Model inputs'!AG58),0))</f>
        <v>0.41965235241733834</v>
      </c>
      <c r="I39" s="10">
        <f>IF(IF(IF(ISERROR('RC Customers by plan'!I5&lt;1),'RC Customers by plan'!I5&lt;1,IF('RC Customers by plan'!I5="","",'RC Customers by plan'!I5&lt;1))="",FALSE,IF(ISERROR('RC Customers by plan'!I5&lt;1),'RC Customers by plan'!I5&lt;1,IF('RC Customers by plan'!I5="","",'RC Customers by plan'!I5&lt;1))),0,MAX('RC Revenue &amp; billing by plan'!I11-'RC Revenue &amp; billing by plan'!H11*(1-'Model inputs'!AG58),0))</f>
        <v>0.21924642763510693</v>
      </c>
      <c r="J39" s="10">
        <f>IF(IF(IF(ISERROR('RC Customers by plan'!J5&lt;1),'RC Customers by plan'!J5&lt;1,IF('RC Customers by plan'!J5="","",'RC Customers by plan'!J5&lt;1))="",FALSE,IF(ISERROR('RC Customers by plan'!J5&lt;1),'RC Customers by plan'!J5&lt;1,IF('RC Customers by plan'!J5="","",'RC Customers by plan'!J5&lt;1))),0,MAX('RC Revenue &amp; billing by plan'!J11-'RC Revenue &amp; billing by plan'!I11*(1-'Model inputs'!AG58),0))</f>
        <v>0.22735925733219475</v>
      </c>
      <c r="K39" s="10">
        <f>IF(IF(IF(ISERROR('RC Customers by plan'!K5&lt;1),'RC Customers by plan'!K5&lt;1,IF('RC Customers by plan'!K5="","",'RC Customers by plan'!K5&lt;1))="",FALSE,IF(ISERROR('RC Customers by plan'!K5&lt;1),'RC Customers by plan'!K5&lt;1,IF('RC Customers by plan'!K5="","",'RC Customers by plan'!K5&lt;1))),0,MAX('RC Revenue &amp; billing by plan'!K11-'RC Revenue &amp; billing by plan'!J11*(1-'Model inputs'!AG58),0))</f>
        <v>0.23623072168787318</v>
      </c>
      <c r="L39" s="10">
        <f>IF(IF(IF(ISERROR('RC Customers by plan'!L5&lt;1),'RC Customers by plan'!L5&lt;1,IF('RC Customers by plan'!L5="","",'RC Customers by plan'!L5&lt;1))="",FALSE,IF(ISERROR('RC Customers by plan'!L5&lt;1),'RC Customers by plan'!L5&lt;1,IF('RC Customers by plan'!L5="","",'RC Customers by plan'!L5&lt;1))),0,MAX('RC Revenue &amp; billing by plan'!L11-'RC Revenue &amp; billing by plan'!K11*(1-'Model inputs'!AG58),0))</f>
        <v>0.24541433979131444</v>
      </c>
      <c r="M39" s="10">
        <f>IF(IF(IF(ISERROR('RC Customers by plan'!M5&lt;1),'RC Customers by plan'!M5&lt;1,IF('RC Customers by plan'!M5="","",'RC Customers by plan'!M5&lt;1))="",FALSE,IF(ISERROR('RC Customers by plan'!M5&lt;1),'RC Customers by plan'!M5&lt;1,IF('RC Customers by plan'!M5="","",'RC Customers by plan'!M5&lt;1))),0,MAX('RC Revenue &amp; billing by plan'!M11-'RC Revenue &amp; billing by plan'!L11*(1-'Model inputs'!AG58),0))</f>
        <v>0.25491146714817825</v>
      </c>
      <c r="N39" s="10">
        <f>IF(IF(IF(ISERROR('RC Customers by plan'!N5&lt;1),'RC Customers by plan'!N5&lt;1,IF('RC Customers by plan'!N5="","",'RC Customers by plan'!N5&lt;1))="",FALSE,IF(ISERROR('RC Customers by plan'!N5&lt;1),'RC Customers by plan'!N5&lt;1,IF('RC Customers by plan'!N5="","",'RC Customers by plan'!N5&lt;1))),0,MAX('RC Revenue &amp; billing by plan'!N11-'RC Revenue &amp; billing by plan'!M11*(1-'Model inputs'!AG58),0))</f>
        <v>0.26472473309641575</v>
      </c>
      <c r="O39" s="10">
        <f>IF(IF(IF(ISERROR('RC Customers by plan'!O5&lt;1),'RC Customers by plan'!O5&lt;1,IF('RC Customers by plan'!O5="","",'RC Customers by plan'!O5&lt;1))="",FALSE,IF(ISERROR('RC Customers by plan'!O5&lt;1),'RC Customers by plan'!O5&lt;1,IF('RC Customers by plan'!O5="","",'RC Customers by plan'!O5&lt;1))),0,MAX('RC Revenue &amp; billing by plan'!O11-'RC Revenue &amp; billing by plan'!N11*(1-'Model inputs'!AG58),0))</f>
        <v>0.2748579941351488</v>
      </c>
      <c r="P39" s="10">
        <f>IF(IF(IF(ISERROR('RC Customers by plan'!P5&lt;1),'RC Customers by plan'!P5&lt;1,IF('RC Customers by plan'!P5="","",'RC Customers by plan'!P5&lt;1))="",FALSE,IF(ISERROR('RC Customers by plan'!P5&lt;1),'RC Customers by plan'!P5&lt;1,IF('RC Customers by plan'!P5="","",'RC Customers by plan'!P5&lt;1))),0,MAX('RC Revenue &amp; billing by plan'!P11-'RC Revenue &amp; billing by plan'!O11*(1-'Model inputs'!AG58),0))</f>
        <v>0.2853162924524879</v>
      </c>
      <c r="Q39" s="10">
        <f>IF(IF(IF(ISERROR('RC Customers by plan'!Q5&lt;1),'RC Customers by plan'!Q5&lt;1,IF('RC Customers by plan'!Q5="","",'RC Customers by plan'!Q5&lt;1))="",FALSE,IF(ISERROR('RC Customers by plan'!Q5&lt;1),'RC Customers by plan'!Q5&lt;1,IF('RC Customers by plan'!Q5="","",'RC Customers by plan'!Q5&lt;1))),0,MAX('RC Revenue &amp; billing by plan'!Q11-'RC Revenue &amp; billing by plan'!P11*(1-'Model inputs'!AG58),0))</f>
        <v>0.2961058193701578</v>
      </c>
      <c r="R39" s="10">
        <f>IF(IF(IF(ISERROR('RC Customers by plan'!R5&lt;1),'RC Customers by plan'!R5&lt;1,IF('RC Customers by plan'!R5="","",'RC Customers by plan'!R5&lt;1))="",FALSE,IF(ISERROR('RC Customers by plan'!R5&lt;1),'RC Customers by plan'!R5&lt;1,IF('RC Customers by plan'!R5="","",'RC Customers by plan'!R5&lt;1))),0,MAX('RC Revenue &amp; billing by plan'!R11-'RC Revenue &amp; billing by plan'!Q11*(1-'Model inputs'!AG58),0))</f>
        <v>0.3072338834448147</v>
      </c>
      <c r="S39" s="10">
        <f>IF(IF(IF(ISERROR('RC Customers by plan'!S5&lt;1),'RC Customers by plan'!S5&lt;1,IF('RC Customers by plan'!S5="","",'RC Customers by plan'!S5&lt;1))="",FALSE,IF(ISERROR('RC Customers by plan'!S5&lt;1),'RC Customers by plan'!S5&lt;1,IF('RC Customers by plan'!S5="","",'RC Customers by plan'!S5&lt;1))),0,MAX('RC Revenue &amp; billing by plan'!S11-'RC Revenue &amp; billing by plan'!R11*(1-'Model inputs'!AG58),0))</f>
        <v>0.318708882986646</v>
      </c>
    </row>
    <row r="40" outlineLevel="1">
      <c r="A40" t="inlineStr" s="9">
        <is>
          <t xml:space="preserve">Team</t>
        </is>
      </c>
      <c r="B40" s="10">
        <f>IF(IF(IF(ISERROR('RC Customers by plan'!B5&lt;1),'RC Customers by plan'!B5&lt;1,IF('RC Customers by plan'!B5="","",'RC Customers by plan'!B5&lt;1))="",FALSE,IF(ISERROR('RC Customers by plan'!B5&lt;1),'RC Customers by plan'!B5&lt;1,IF('RC Customers by plan'!B5="","",'RC Customers by plan'!B5&lt;1))),0,MAX('RC Revenue &amp; billing by plan'!B12-'Model inputs'!N9*(1-'Model inputs'!AG59),0))</f>
        <v>0</v>
      </c>
      <c r="C40" s="10">
        <f>IF(IF(IF(ISERROR('RC Customers by plan'!C5&lt;1),'RC Customers by plan'!C5&lt;1,IF('RC Customers by plan'!C5="","",'RC Customers by plan'!C5&lt;1))="",FALSE,IF(ISERROR('RC Customers by plan'!C5&lt;1),'RC Customers by plan'!C5&lt;1,IF('RC Customers by plan'!C5="","",'RC Customers by plan'!C5&lt;1))),0,MAX('RC Revenue &amp; billing by plan'!C12-'RC Revenue &amp; billing by plan'!B12*(1-'Model inputs'!AG59),0))</f>
        <v>0.5285972222222222</v>
      </c>
      <c r="D40" s="10">
        <f>IF(IF(IF(ISERROR('RC Customers by plan'!D5&lt;1),'RC Customers by plan'!D5&lt;1,IF('RC Customers by plan'!D5="","",'RC Customers by plan'!D5&lt;1))="",FALSE,IF(ISERROR('RC Customers by plan'!D5&lt;1),'RC Customers by plan'!D5&lt;1,IF('RC Customers by plan'!D5="","",'RC Customers by plan'!D5&lt;1))),0,MAX('RC Revenue &amp; billing by plan'!D12-'RC Revenue &amp; billing by plan'!C12*(1-'Model inputs'!AG59),0))</f>
        <v>0.9511491435185185</v>
      </c>
      <c r="E40" s="10">
        <f>IF(IF(IF(ISERROR('RC Customers by plan'!E5&lt;1),'RC Customers by plan'!E5&lt;1,IF('RC Customers by plan'!E5="","",'RC Customers by plan'!E5&lt;1))="",FALSE,IF(ISERROR('RC Customers by plan'!E5&lt;1),'RC Customers by plan'!E5&lt;1,IF('RC Customers by plan'!E5="","",'RC Customers by plan'!E5&lt;1))),0,MAX('RC Revenue &amp; billing by plan'!E12-'RC Revenue &amp; billing by plan'!D12*(1-'Model inputs'!AG59),0))</f>
        <v>1.4485273357349535</v>
      </c>
      <c r="F40" s="10">
        <f>IF(IF(IF(ISERROR('RC Customers by plan'!F5&lt;1),'RC Customers by plan'!F5&lt;1,IF('RC Customers by plan'!F5="","",'RC Customers by plan'!F5&lt;1))="",FALSE,IF(ISERROR('RC Customers by plan'!F5&lt;1),'RC Customers by plan'!F5&lt;1,IF('RC Customers by plan'!F5="","",'RC Customers by plan'!F5&lt;1))),0,MAX('RC Revenue &amp; billing by plan'!F12-'RC Revenue &amp; billing by plan'!E12*(1-'Model inputs'!AG59),0))</f>
        <v>2.028531534657729</v>
      </c>
      <c r="G40" s="10">
        <f>IF(IF(IF(ISERROR('RC Customers by plan'!G5&lt;1),'RC Customers by plan'!G5&lt;1,IF('RC Customers by plan'!G5="","",'RC Customers by plan'!G5&lt;1))="",FALSE,IF(ISERROR('RC Customers by plan'!G5&lt;1),'RC Customers by plan'!G5&lt;1,IF('RC Customers by plan'!G5="","",'RC Customers by plan'!G5&lt;1))),0,MAX('RC Revenue &amp; billing by plan'!G12-'RC Revenue &amp; billing by plan'!F12*(1-'Model inputs'!AG59),0))</f>
        <v>2.7000952379284557</v>
      </c>
      <c r="H40" s="10">
        <f>IF(IF(IF(ISERROR('RC Customers by plan'!H5&lt;1),'RC Customers by plan'!H5&lt;1,IF('RC Customers by plan'!H5="","",'RC Customers by plan'!H5&lt;1))="",FALSE,IF(ISERROR('RC Customers by plan'!H5&lt;1),'RC Customers by plan'!H5&lt;1,IF('RC Customers by plan'!H5="","",'RC Customers by plan'!H5&lt;1))),0,MAX('RC Revenue &amp; billing by plan'!H12-'RC Revenue &amp; billing by plan'!G12*(1-'Model inputs'!AG59),0))</f>
        <v>3.473403222981019</v>
      </c>
      <c r="I40" s="10">
        <f>IF(IF(IF(ISERROR('RC Customers by plan'!I5&lt;1),'RC Customers by plan'!I5&lt;1,IF('RC Customers by plan'!I5="","",'RC Customers by plan'!I5&lt;1))="",FALSE,IF(ISERROR('RC Customers by plan'!I5&lt;1),'RC Customers by plan'!I5&lt;1,IF('RC Customers by plan'!I5="","",'RC Customers by plan'!I5&lt;1))),0,MAX('RC Revenue &amp; billing by plan'!I12-'RC Revenue &amp; billing by plan'!H12*(1-'Model inputs'!AG59),0))</f>
        <v>2.2656534062738825</v>
      </c>
      <c r="J40" s="10">
        <f>IF(IF(IF(ISERROR('RC Customers by plan'!J5&lt;1),'RC Customers by plan'!J5&lt;1,IF('RC Customers by plan'!J5="","",'RC Customers by plan'!J5&lt;1))="",FALSE,IF(ISERROR('RC Customers by plan'!J5&lt;1),'RC Customers by plan'!J5&lt;1,IF('RC Customers by plan'!J5="","",'RC Customers by plan'!J5&lt;1))),0,MAX('RC Revenue &amp; billing by plan'!J12-'RC Revenue &amp; billing by plan'!I12*(1-'Model inputs'!AG59),0))</f>
        <v>2.5061380981545973</v>
      </c>
      <c r="K40" s="10">
        <f>IF(IF(IF(ISERROR('RC Customers by plan'!K5&lt;1),'RC Customers by plan'!K5&lt;1,IF('RC Customers by plan'!K5="","",'RC Customers by plan'!K5&lt;1))="",FALSE,IF(ISERROR('RC Customers by plan'!K5&lt;1),'RC Customers by plan'!K5&lt;1,IF('RC Customers by plan'!K5="","",'RC Customers by plan'!K5&lt;1))),0,MAX('RC Revenue &amp; billing by plan'!K12-'RC Revenue &amp; billing by plan'!J12*(1-'Model inputs'!AG59),0))</f>
        <v>2.644929540978609</v>
      </c>
      <c r="L40" s="10">
        <f>IF(IF(IF(ISERROR('RC Customers by plan'!L5&lt;1),'RC Customers by plan'!L5&lt;1,IF('RC Customers by plan'!L5="","",'RC Customers by plan'!L5&lt;1))="",FALSE,IF(ISERROR('RC Customers by plan'!L5&lt;1),'RC Customers by plan'!L5&lt;1,IF('RC Customers by plan'!L5="","",'RC Customers by plan'!L5&lt;1))),0,MAX('RC Revenue &amp; billing by plan'!L12-'RC Revenue &amp; billing by plan'!K12*(1-'Model inputs'!AG59),0))</f>
        <v>2.786293812144688</v>
      </c>
      <c r="M40" s="10">
        <f>IF(IF(IF(ISERROR('RC Customers by plan'!M5&lt;1),'RC Customers by plan'!M5&lt;1,IF('RC Customers by plan'!M5="","",'RC Customers by plan'!M5&lt;1))="",FALSE,IF(ISERROR('RC Customers by plan'!M5&lt;1),'RC Customers by plan'!M5&lt;1,IF('RC Customers by plan'!M5="","",'RC Customers by plan'!M5&lt;1))),0,MAX('RC Revenue &amp; billing by plan'!M12-'RC Revenue &amp; billing by plan'!L12*(1-'Model inputs'!AG59),0))</f>
        <v>2.930546391043947</v>
      </c>
      <c r="N40" s="10">
        <f>IF(IF(IF(ISERROR('RC Customers by plan'!N5&lt;1),'RC Customers by plan'!N5&lt;1,IF('RC Customers by plan'!N5="","",'RC Customers by plan'!N5&lt;1))="",FALSE,IF(ISERROR('RC Customers by plan'!N5&lt;1),'RC Customers by plan'!N5&lt;1,IF('RC Customers by plan'!N5="","",'RC Customers by plan'!N5&lt;1))),0,MAX('RC Revenue &amp; billing by plan'!N12-'RC Revenue &amp; billing by plan'!M12*(1-'Model inputs'!AG59),0))</f>
        <v>3.0780007275901546</v>
      </c>
      <c r="O40" s="10">
        <f>IF(IF(IF(ISERROR('RC Customers by plan'!O5&lt;1),'RC Customers by plan'!O5&lt;1,IF('RC Customers by plan'!O5="","",'RC Customers by plan'!O5&lt;1))="",FALSE,IF(ISERROR('RC Customers by plan'!O5&lt;1),'RC Customers by plan'!O5&lt;1,IF('RC Customers by plan'!O5="","",'RC Customers by plan'!O5&lt;1))),0,MAX('RC Revenue &amp; billing by plan'!O12-'RC Revenue &amp; billing by plan'!N12*(1-'Model inputs'!AG59),0))</f>
        <v>3.2289691539345284</v>
      </c>
      <c r="P40" s="10">
        <f>IF(IF(IF(ISERROR('RC Customers by plan'!P5&lt;1),'RC Customers by plan'!P5&lt;1,IF('RC Customers by plan'!P5="","",'RC Customers by plan'!P5&lt;1))="",FALSE,IF(ISERROR('RC Customers by plan'!P5&lt;1),'RC Customers by plan'!P5&lt;1,IF('RC Customers by plan'!P5="","",'RC Customers by plan'!P5&lt;1))),0,MAX('RC Revenue &amp; billing by plan'!P12-'RC Revenue &amp; billing by plan'!O12*(1-'Model inputs'!AG59),0))</f>
        <v>3.383763765898575</v>
      </c>
      <c r="Q40" s="10">
        <f>IF(IF(IF(ISERROR('RC Customers by plan'!Q5&lt;1),'RC Customers by plan'!Q5&lt;1,IF('RC Customers by plan'!Q5="","",'RC Customers by plan'!Q5&lt;1))="",FALSE,IF(ISERROR('RC Customers by plan'!Q5&lt;1),'RC Customers by plan'!Q5&lt;1,IF('RC Customers by plan'!Q5="","",'RC Customers by plan'!Q5&lt;1))),0,MAX('RC Revenue &amp; billing by plan'!Q12-'RC Revenue &amp; billing by plan'!P12*(1-'Model inputs'!AG59),0))</f>
        <v>3.542697277382981</v>
      </c>
      <c r="R40" s="10">
        <f>IF(IF(IF(ISERROR('RC Customers by plan'!R5&lt;1),'RC Customers by plan'!R5&lt;1,IF('RC Customers by plan'!R5="","",'RC Customers by plan'!R5&lt;1))="",FALSE,IF(ISERROR('RC Customers by plan'!R5&lt;1),'RC Customers by plan'!R5&lt;1,IF('RC Customers by plan'!R5="","",'RC Customers by plan'!R5&lt;1))),0,MAX('RC Revenue &amp; billing by plan'!R12-'RC Revenue &amp; billing by plan'!Q12*(1-'Model inputs'!AG59),0))</f>
        <v>3.7060838508419494</v>
      </c>
      <c r="S40" s="10">
        <f>IF(IF(IF(ISERROR('RC Customers by plan'!S5&lt;1),'RC Customers by plan'!S5&lt;1,IF('RC Customers by plan'!S5="","",'RC Customers by plan'!S5&lt;1))="",FALSE,IF(ISERROR('RC Customers by plan'!S5&lt;1),'RC Customers by plan'!S5&lt;1,IF('RC Customers by plan'!S5="","",'RC Customers by plan'!S5&lt;1))),0,MAX('RC Revenue &amp; billing by plan'!S12-'RC Revenue &amp; billing by plan'!R12*(1-'Model inputs'!AG59),0))</f>
        <v>3.8742399067575164</v>
      </c>
    </row>
    <row r="41">
      <c r="A41" t="inlineStr" s="6">
        <is>
          <t xml:space="preserve">Annual renewals</t>
        </is>
      </c>
      <c r="B41" s="8">
        <f>SUM('RC Revenue &amp; billing by plan'!B42,'RC Revenue &amp; billing by plan'!B43,'RC Revenue &amp; billing by plan'!B44)</f>
        <v>0</v>
      </c>
      <c r="C41" s="8">
        <f>SUM('RC Revenue &amp; billing by plan'!C42,'RC Revenue &amp; billing by plan'!C43,'RC Revenue &amp; billing by plan'!C44)</f>
        <v>0</v>
      </c>
      <c r="D41" s="8">
        <f>SUM('RC Revenue &amp; billing by plan'!D42,'RC Revenue &amp; billing by plan'!D43,'RC Revenue &amp; billing by plan'!D44)</f>
        <v>0</v>
      </c>
      <c r="E41" s="8">
        <f>SUM('RC Revenue &amp; billing by plan'!E42,'RC Revenue &amp; billing by plan'!E43,'RC Revenue &amp; billing by plan'!E44)</f>
        <v>0</v>
      </c>
      <c r="F41" s="8">
        <f>SUM('RC Revenue &amp; billing by plan'!F42,'RC Revenue &amp; billing by plan'!F43,'RC Revenue &amp; billing by plan'!F44)</f>
        <v>0</v>
      </c>
      <c r="G41" s="8">
        <f>SUM('RC Revenue &amp; billing by plan'!G42,'RC Revenue &amp; billing by plan'!G43,'RC Revenue &amp; billing by plan'!G44)</f>
        <v>0</v>
      </c>
      <c r="H41" s="8">
        <f>SUM('RC Revenue &amp; billing by plan'!H42,'RC Revenue &amp; billing by plan'!H43,'RC Revenue &amp; billing by plan'!H44)</f>
        <v>0</v>
      </c>
      <c r="I41" s="8">
        <f>SUM('RC Revenue &amp; billing by plan'!I42,'RC Revenue &amp; billing by plan'!I43,'RC Revenue &amp; billing by plan'!I44)</f>
        <v>0</v>
      </c>
      <c r="J41" s="8">
        <f>SUM('RC Revenue &amp; billing by plan'!J42,'RC Revenue &amp; billing by plan'!J43,'RC Revenue &amp; billing by plan'!J44)</f>
        <v>0</v>
      </c>
      <c r="K41" s="8">
        <f>SUM('RC Revenue &amp; billing by plan'!K42,'RC Revenue &amp; billing by plan'!K43,'RC Revenue &amp; billing by plan'!K44)</f>
        <v>0</v>
      </c>
      <c r="L41" s="8">
        <f>SUM('RC Revenue &amp; billing by plan'!L42,'RC Revenue &amp; billing by plan'!L43,'RC Revenue &amp; billing by plan'!L44)</f>
        <v>0</v>
      </c>
      <c r="M41" s="8">
        <f>SUM('RC Revenue &amp; billing by plan'!M42,'RC Revenue &amp; billing by plan'!M43,'RC Revenue &amp; billing by plan'!M44)</f>
        <v>0</v>
      </c>
      <c r="N41" s="8">
        <f>SUM('RC Revenue &amp; billing by plan'!N42,'RC Revenue &amp; billing by plan'!N43,'RC Revenue &amp; billing by plan'!N44)</f>
        <v>0</v>
      </c>
      <c r="O41" s="8">
        <f>SUM('RC Revenue &amp; billing by plan'!O42,'RC Revenue &amp; billing by plan'!O43,'RC Revenue &amp; billing by plan'!O44)</f>
        <v>0.44023626889365564</v>
      </c>
      <c r="P41" s="8">
        <f>SUM('RC Revenue &amp; billing by plan'!P42,'RC Revenue &amp; billing by plan'!P43,'RC Revenue &amp; billing by plan'!P44)</f>
        <v>0.7846506249110148</v>
      </c>
      <c r="Q41" s="8">
        <f>SUM('RC Revenue &amp; billing by plan'!Q42,'RC Revenue &amp; billing by plan'!Q43,'RC Revenue &amp; billing by plan'!Q44)</f>
        <v>1.1827268865760097</v>
      </c>
      <c r="R41" s="8">
        <f>SUM('RC Revenue &amp; billing by plan'!R42,'RC Revenue &amp; billing by plan'!R43,'RC Revenue &amp; billing by plan'!R44)</f>
        <v>1.640162089726508</v>
      </c>
      <c r="S41" s="8">
        <f>SUM('RC Revenue &amp; billing by plan'!S42,'RC Revenue &amp; billing by plan'!S43,'RC Revenue &amp; billing by plan'!S44)</f>
        <v>2.163464631632885</v>
      </c>
    </row>
    <row r="42" outlineLevel="1">
      <c r="A42" t="inlineStr" s="9">
        <is>
          <t xml:space="preserve">Indie</t>
        </is>
      </c>
      <c r="B42" s="10">
        <f>'Model inputs'!C65*(1-'Model inputs'!AG57)^12</f>
        <v>0</v>
      </c>
      <c r="C42" s="10">
        <f>'Model inputs'!D65*(1-'Model inputs'!AG57)^12</f>
        <v>0</v>
      </c>
      <c r="D42" s="10">
        <f>'Model inputs'!E65*(1-'Model inputs'!AG57)^12</f>
        <v>0</v>
      </c>
      <c r="E42" s="10">
        <f>'Model inputs'!F65*(1-'Model inputs'!AG57)^12</f>
        <v>0</v>
      </c>
      <c r="F42" s="10">
        <f>'Model inputs'!G65*(1-'Model inputs'!AG57)^12</f>
        <v>0</v>
      </c>
      <c r="G42" s="10">
        <f>'Model inputs'!H65*(1-'Model inputs'!AG57)^12</f>
        <v>0</v>
      </c>
      <c r="H42" s="10">
        <f>'Model inputs'!I65*(1-'Model inputs'!AG57)^12</f>
        <v>0</v>
      </c>
      <c r="I42" s="10">
        <f>'Model inputs'!J65*(1-'Model inputs'!AG57)^12</f>
        <v>0</v>
      </c>
      <c r="J42" s="10">
        <f>'Model inputs'!K65*(1-'Model inputs'!AG57)^12</f>
        <v>0</v>
      </c>
      <c r="K42" s="10">
        <f>'Model inputs'!L65*(1-'Model inputs'!AG57)^12</f>
        <v>0</v>
      </c>
      <c r="L42" s="10">
        <f>'Model inputs'!M65*(1-'Model inputs'!AG57)^12</f>
        <v>0</v>
      </c>
      <c r="M42" s="10">
        <f>'Model inputs'!N65*(1-'Model inputs'!AG57)^12</f>
        <v>0</v>
      </c>
      <c r="N42" s="10">
        <f>'RC Revenue &amp; billing by plan'!B38*(1-'Model inputs'!AG57)^12</f>
        <v>0</v>
      </c>
      <c r="O42" s="10">
        <f>'RC Revenue &amp; billing by plan'!C38*(1-'Model inputs'!AG57)^12</f>
        <v>0</v>
      </c>
      <c r="P42" s="10">
        <f>'RC Revenue &amp; billing by plan'!D38*(1-'Model inputs'!AG57)^12</f>
        <v>0</v>
      </c>
      <c r="Q42" s="10">
        <f>'RC Revenue &amp; billing by plan'!E38*(1-'Model inputs'!AG57)^12</f>
        <v>0</v>
      </c>
      <c r="R42" s="10">
        <f>'RC Revenue &amp; billing by plan'!F38*(1-'Model inputs'!AG57)^12</f>
        <v>0</v>
      </c>
      <c r="S42" s="10">
        <f>'RC Revenue &amp; billing by plan'!G38*(1-'Model inputs'!AG57)^12</f>
        <v>0</v>
      </c>
    </row>
    <row r="43" outlineLevel="1">
      <c r="A43" t="inlineStr" s="9">
        <is>
          <t xml:space="preserve">Launch</t>
        </is>
      </c>
      <c r="B43" s="10">
        <f>'Model inputs'!C66*(1-'Model inputs'!AG58)^12</f>
        <v>0</v>
      </c>
      <c r="C43" s="10">
        <f>'Model inputs'!D66*(1-'Model inputs'!AG58)^12</f>
        <v>0</v>
      </c>
      <c r="D43" s="10">
        <f>'Model inputs'!E66*(1-'Model inputs'!AG58)^12</f>
        <v>0</v>
      </c>
      <c r="E43" s="10">
        <f>'Model inputs'!F66*(1-'Model inputs'!AG58)^12</f>
        <v>0</v>
      </c>
      <c r="F43" s="10">
        <f>'Model inputs'!G66*(1-'Model inputs'!AG58)^12</f>
        <v>0</v>
      </c>
      <c r="G43" s="10">
        <f>'Model inputs'!H66*(1-'Model inputs'!AG58)^12</f>
        <v>0</v>
      </c>
      <c r="H43" s="10">
        <f>'Model inputs'!I66*(1-'Model inputs'!AG58)^12</f>
        <v>0</v>
      </c>
      <c r="I43" s="10">
        <f>'Model inputs'!J66*(1-'Model inputs'!AG58)^12</f>
        <v>0</v>
      </c>
      <c r="J43" s="10">
        <f>'Model inputs'!K66*(1-'Model inputs'!AG58)^12</f>
        <v>0</v>
      </c>
      <c r="K43" s="10">
        <f>'Model inputs'!L66*(1-'Model inputs'!AG58)^12</f>
        <v>0</v>
      </c>
      <c r="L43" s="10">
        <f>'Model inputs'!M66*(1-'Model inputs'!AG58)^12</f>
        <v>0</v>
      </c>
      <c r="M43" s="10">
        <f>'Model inputs'!N66*(1-'Model inputs'!AG58)^12</f>
        <v>0</v>
      </c>
      <c r="N43" s="10">
        <f>'RC Revenue &amp; billing by plan'!B39*(1-'Model inputs'!AG58)^12</f>
        <v>0</v>
      </c>
      <c r="O43" s="10">
        <f>'RC Revenue &amp; billing by plan'!C39*(1-'Model inputs'!AG58)^12</f>
        <v>0.0734731242113589</v>
      </c>
      <c r="P43" s="10">
        <f>'RC Revenue &amp; billing by plan'!D39*(1-'Model inputs'!AG58)^12</f>
        <v>0.12470305751333749</v>
      </c>
      <c r="Q43" s="10">
        <f>'RC Revenue &amp; billing by plan'!E39*(1-'Model inputs'!AG58)^12</f>
        <v>0.17767725998323847</v>
      </c>
      <c r="R43" s="10">
        <f>'RC Revenue &amp; billing by plan'!F39*(1-'Model inputs'!AG58)^12</f>
        <v>0.2326809803658907</v>
      </c>
      <c r="S43" s="10">
        <f>'RC Revenue &amp; billing by plan'!G39*(1-'Model inputs'!AG58)^12</f>
        <v>0.290024176836067</v>
      </c>
    </row>
    <row r="44" outlineLevel="1">
      <c r="A44" t="inlineStr" s="9">
        <is>
          <t xml:space="preserve">Team</t>
        </is>
      </c>
      <c r="B44" s="10">
        <f>'Model inputs'!C67*(1-'Model inputs'!AG59)^12</f>
        <v>0</v>
      </c>
      <c r="C44" s="10">
        <f>'Model inputs'!D67*(1-'Model inputs'!AG59)^12</f>
        <v>0</v>
      </c>
      <c r="D44" s="10">
        <f>'Model inputs'!E67*(1-'Model inputs'!AG59)^12</f>
        <v>0</v>
      </c>
      <c r="E44" s="10">
        <f>'Model inputs'!F67*(1-'Model inputs'!AG59)^12</f>
        <v>0</v>
      </c>
      <c r="F44" s="10">
        <f>'Model inputs'!G67*(1-'Model inputs'!AG59)^12</f>
        <v>0</v>
      </c>
      <c r="G44" s="10">
        <f>'Model inputs'!H67*(1-'Model inputs'!AG59)^12</f>
        <v>0</v>
      </c>
      <c r="H44" s="10">
        <f>'Model inputs'!I67*(1-'Model inputs'!AG59)^12</f>
        <v>0</v>
      </c>
      <c r="I44" s="10">
        <f>'Model inputs'!J67*(1-'Model inputs'!AG59)^12</f>
        <v>0</v>
      </c>
      <c r="J44" s="10">
        <f>'Model inputs'!K67*(1-'Model inputs'!AG59)^12</f>
        <v>0</v>
      </c>
      <c r="K44" s="10">
        <f>'Model inputs'!L67*(1-'Model inputs'!AG59)^12</f>
        <v>0</v>
      </c>
      <c r="L44" s="10">
        <f>'Model inputs'!M67*(1-'Model inputs'!AG59)^12</f>
        <v>0</v>
      </c>
      <c r="M44" s="10">
        <f>'Model inputs'!N67*(1-'Model inputs'!AG59)^12</f>
        <v>0</v>
      </c>
      <c r="N44" s="10">
        <f>'RC Revenue &amp; billing by plan'!B40*(1-'Model inputs'!AG59)^12</f>
        <v>0</v>
      </c>
      <c r="O44" s="10">
        <f>'RC Revenue &amp; billing by plan'!C40*(1-'Model inputs'!AG59)^12</f>
        <v>0.3667631446822967</v>
      </c>
      <c r="P44" s="10">
        <f>'RC Revenue &amp; billing by plan'!D40*(1-'Model inputs'!AG59)^12</f>
        <v>0.6599475673976773</v>
      </c>
      <c r="Q44" s="10">
        <f>'RC Revenue &amp; billing by plan'!E40*(1-'Model inputs'!AG59)^12</f>
        <v>1.0050496265927713</v>
      </c>
      <c r="R44" s="10">
        <f>'RC Revenue &amp; billing by plan'!F40*(1-'Model inputs'!AG59)^12</f>
        <v>1.4074811093606172</v>
      </c>
      <c r="S44" s="10">
        <f>'RC Revenue &amp; billing by plan'!G40*(1-'Model inputs'!AG59)^12</f>
        <v>1.873440454796818</v>
      </c>
    </row>
    <row r="45">
      <c r="A45" t="inlineStr" s="6">
        <is>
          <t xml:space="preserve">Cash collected</t>
        </is>
      </c>
      <c r="B45" s="15">
        <f>SUM('RC Revenue &amp; billing by plan'!B46,'RC Revenue &amp; billing by plan'!B47,'RC Revenue &amp; billing by plan'!B48)</f>
        <v>2697.6800000000003</v>
      </c>
      <c r="C45" s="15">
        <f>SUM('RC Revenue &amp; billing by plan'!C46,'RC Revenue &amp; billing by plan'!C47,'RC Revenue &amp; billing by plan'!C48)</f>
        <v>5606.778625</v>
      </c>
      <c r="D45" s="15">
        <f>SUM('RC Revenue &amp; billing by plan'!D46,'RC Revenue &amp; billing by plan'!D47,'RC Revenue &amp; billing by plan'!D48)</f>
        <v>7825.437596222222</v>
      </c>
      <c r="E45" s="15">
        <f>SUM('RC Revenue &amp; billing by plan'!E46,'RC Revenue &amp; billing by plan'!E47,'RC Revenue &amp; billing by plan'!E48)</f>
        <v>10146.445979945347</v>
      </c>
      <c r="F45" s="15">
        <f>SUM('RC Revenue &amp; billing by plan'!F46,'RC Revenue &amp; billing by plan'!F47,'RC Revenue &amp; billing by plan'!F48)</f>
        <v>12580.773190708544</v>
      </c>
      <c r="G45" s="15">
        <f>SUM('RC Revenue &amp; billing by plan'!G46,'RC Revenue &amp; billing by plan'!G47,'RC Revenue &amp; billing by plan'!G48)</f>
        <v>15140.751003750247</v>
      </c>
      <c r="H45" s="15">
        <f>SUM('RC Revenue &amp; billing by plan'!H46,'RC Revenue &amp; billing by plan'!H47,'RC Revenue &amp; billing by plan'!H48)</f>
        <v>17840.17124589042</v>
      </c>
      <c r="I45" s="15">
        <f>SUM('RC Revenue &amp; billing by plan'!I46,'RC Revenue &amp; billing by plan'!I47,'RC Revenue &amp; billing by plan'!I48)</f>
        <v>16646.246766121458</v>
      </c>
      <c r="J45" s="15">
        <f>SUM('RC Revenue &amp; billing by plan'!J46,'RC Revenue &amp; billing by plan'!J47,'RC Revenue &amp; billing by plan'!J48)</f>
        <v>18752.950290076937</v>
      </c>
      <c r="K45" s="15">
        <f>SUM('RC Revenue &amp; billing by plan'!K46,'RC Revenue &amp; billing by plan'!K47,'RC Revenue &amp; billing by plan'!K48)</f>
        <v>20735.056775405457</v>
      </c>
      <c r="L45" s="15">
        <f>SUM('RC Revenue &amp; billing by plan'!L46,'RC Revenue &amp; billing by plan'!L47,'RC Revenue &amp; billing by plan'!L48)</f>
        <v>22748.46821725793</v>
      </c>
      <c r="M45" s="15">
        <f>SUM('RC Revenue &amp; billing by plan'!M46,'RC Revenue &amp; billing by plan'!M47,'RC Revenue &amp; billing by plan'!M48)</f>
        <v>24796.445311724372</v>
      </c>
      <c r="N45" s="15">
        <f>SUM('RC Revenue &amp; billing by plan'!N46,'RC Revenue &amp; billing by plan'!N47,'RC Revenue &amp; billing by plan'!N48)</f>
        <v>26882.269077899713</v>
      </c>
      <c r="O45" s="15">
        <f>SUM('RC Revenue &amp; billing by plan'!O46,'RC Revenue &amp; billing by plan'!O47,'RC Revenue &amp; billing by plan'!O48)</f>
        <v>29922.356426534036</v>
      </c>
      <c r="P45" s="15">
        <f>SUM('RC Revenue &amp; billing by plan'!P46,'RC Revenue &amp; billing by plan'!P47,'RC Revenue &amp; billing by plan'!P48)</f>
        <v>32786.31787579432</v>
      </c>
      <c r="Q45" s="15">
        <f>SUM('RC Revenue &amp; billing by plan'!Q46,'RC Revenue &amp; billing by plan'!Q47,'RC Revenue &amp; billing by plan'!Q48)</f>
        <v>35784.22746472322</v>
      </c>
      <c r="R45" s="15">
        <f>SUM('RC Revenue &amp; billing by plan'!R46,'RC Revenue &amp; billing by plan'!R47,'RC Revenue &amp; billing by plan'!R48)</f>
        <v>38929.0091771567</v>
      </c>
      <c r="S45" s="15">
        <f>SUM('RC Revenue &amp; billing by plan'!S46,'RC Revenue &amp; billing by plan'!S47,'RC Revenue &amp; billing by plan'!S48)</f>
        <v>42234.939596773154</v>
      </c>
    </row>
    <row r="46" outlineLevel="1">
      <c r="A46" t="inlineStr" s="11">
        <is>
          <t xml:space="preserve">Indie</t>
        </is>
      </c>
      <c r="B46" s="18">
        <f>'RC Revenue &amp; billing by plan'!B14*'Model inputs'!AG61+('RC Revenue &amp; billing by plan'!B38+'RC Revenue &amp; billing by plan'!B42)*'Model inputs'!AG11+'RC Revenue &amp; billing by plan'!B26+'RC Revenue &amp; billing by plan'!B30</f>
        <v>1230.4</v>
      </c>
      <c r="C46" s="18">
        <f>'RC Revenue &amp; billing by plan'!C14*'Model inputs'!AG61+('RC Revenue &amp; billing by plan'!C38+'RC Revenue &amp; billing by plan'!C42)*'Model inputs'!AG11+'RC Revenue &amp; billing by plan'!C26+'RC Revenue &amp; billing by plan'!C30</f>
        <v>2286.4933333333333</v>
      </c>
      <c r="D46" s="18">
        <f>'RC Revenue &amp; billing by plan'!D14*'Model inputs'!AG61+('RC Revenue &amp; billing by plan'!D38+'RC Revenue &amp; billing by plan'!D42)*'Model inputs'!AG11+'RC Revenue &amp; billing by plan'!D26+'RC Revenue &amp; billing by plan'!D30</f>
        <v>2964.5804444444448</v>
      </c>
      <c r="E46" s="18">
        <f>'RC Revenue &amp; billing by plan'!E14*'Model inputs'!AG61+('RC Revenue &amp; billing by plan'!E38+'RC Revenue &amp; billing by plan'!E42)*'Model inputs'!AG11+'RC Revenue &amp; billing by plan'!E26+'RC Revenue &amp; billing by plan'!E30</f>
        <v>3663.903348148149</v>
      </c>
      <c r="F46" s="18">
        <f>'RC Revenue &amp; billing by plan'!F14*'Model inputs'!AG61+('RC Revenue &amp; billing by plan'!F38+'RC Revenue &amp; billing by plan'!F42)*'Model inputs'!AG11+'RC Revenue &amp; billing by plan'!F26+'RC Revenue &amp; billing by plan'!F30</f>
        <v>4388.3616529382725</v>
      </c>
      <c r="G46" s="18">
        <f>'RC Revenue &amp; billing by plan'!G14*'Model inputs'!AG61+('RC Revenue &amp; billing by plan'!G38+'RC Revenue &amp; billing by plan'!G42)*'Model inputs'!AG11+'RC Revenue &amp; billing by plan'!G26+'RC Revenue &amp; billing by plan'!G30</f>
        <v>5142.0202196490545</v>
      </c>
      <c r="H46" s="18">
        <f>'RC Revenue &amp; billing by plan'!H14*'Model inputs'!AG61+('RC Revenue &amp; billing by plan'!H38+'RC Revenue &amp; billing by plan'!H42)*'Model inputs'!AG11+'RC Revenue &amp; billing by plan'!H26+'RC Revenue &amp; billing by plan'!H30</f>
        <v>5929.13216273165</v>
      </c>
      <c r="I46" s="18">
        <f>'RC Revenue &amp; billing by plan'!I14*'Model inputs'!AG61+('RC Revenue &amp; billing by plan'!I38+'RC Revenue &amp; billing by plan'!I42)*'Model inputs'!AG11+'RC Revenue &amp; billing by plan'!I26+'RC Revenue &amp; billing by plan'!I30</f>
        <v>6754.163039560144</v>
      </c>
      <c r="J46" s="18">
        <f>'RC Revenue &amp; billing by plan'!J14*'Model inputs'!AG61+('RC Revenue &amp; billing by plan'!J38+'RC Revenue &amp; billing by plan'!J42)*'Model inputs'!AG11+'RC Revenue &amp; billing by plan'!J26+'RC Revenue &amp; billing by plan'!J30</f>
        <v>7621.816366280919</v>
      </c>
      <c r="K46" s="18">
        <f>'RC Revenue &amp; billing by plan'!K14*'Model inputs'!AG61+('RC Revenue &amp; billing by plan'!K38+'RC Revenue &amp; billing by plan'!K42)*'Model inputs'!AG11+'RC Revenue &amp; billing by plan'!K26+'RC Revenue &amp; billing by plan'!K30</f>
        <v>8484.343372394635</v>
      </c>
      <c r="L46" s="18">
        <f>'RC Revenue &amp; billing by plan'!L14*'Model inputs'!AG61+('RC Revenue &amp; billing by plan'!L38+'RC Revenue &amp; billing by plan'!L42)*'Model inputs'!AG11+'RC Revenue &amp; billing by plan'!L26+'RC Revenue &amp; billing by plan'!L30</f>
        <v>9344.194501988735</v>
      </c>
      <c r="M46" s="18">
        <f>'RC Revenue &amp; billing by plan'!M14*'Model inputs'!AG61+('RC Revenue &amp; billing by plan'!M38+'RC Revenue &amp; billing by plan'!M42)*'Model inputs'!AG11+'RC Revenue &amp; billing by plan'!M26+'RC Revenue &amp; billing by plan'!M30</f>
        <v>10203.74118378671</v>
      </c>
      <c r="N46" s="18">
        <f>'RC Revenue &amp; billing by plan'!N14*'Model inputs'!AG61+('RC Revenue &amp; billing by plan'!N38+'RC Revenue &amp; billing by plan'!N42)*'Model inputs'!AG11+'RC Revenue &amp; billing by plan'!N26+'RC Revenue &amp; billing by plan'!N30</f>
        <v>11065.284472742042</v>
      </c>
      <c r="O46" s="18">
        <f>'RC Revenue &amp; billing by plan'!O14*'Model inputs'!AG61+('RC Revenue &amp; billing by plan'!O38+'RC Revenue &amp; billing by plan'!O42)*'Model inputs'!AG11+'RC Revenue &amp; billing by plan'!O26+'RC Revenue &amp; billing by plan'!O30</f>
        <v>11931.063250481995</v>
      </c>
      <c r="P46" s="18">
        <f>'RC Revenue &amp; billing by plan'!P14*'Model inputs'!AG61+('RC Revenue &amp; billing by plan'!P38+'RC Revenue &amp; billing by plan'!P42)*'Model inputs'!AG11+'RC Revenue &amp; billing by plan'!P26+'RC Revenue &amp; billing by plan'!P30</f>
        <v>12803.262019409533</v>
      </c>
      <c r="Q46" s="18">
        <f>'RC Revenue &amp; billing by plan'!Q14*'Model inputs'!AG61+('RC Revenue &amp; billing by plan'!Q38+'RC Revenue &amp; billing by plan'!Q42)*'Model inputs'!AG11+'RC Revenue &amp; billing by plan'!Q26+'RC Revenue &amp; billing by plan'!Q30</f>
        <v>13684.01832316695</v>
      </c>
      <c r="R46" s="18">
        <f>'RC Revenue &amp; billing by plan'!R14*'Model inputs'!AG61+('RC Revenue &amp; billing by plan'!R38+'RC Revenue &amp; billing by plan'!R42)*'Model inputs'!AG11+'RC Revenue &amp; billing by plan'!R26+'RC Revenue &amp; billing by plan'!R30</f>
        <v>14575.429824209265</v>
      </c>
      <c r="S46" s="18">
        <f>'RC Revenue &amp; billing by plan'!S14*'Model inputs'!AG61+('RC Revenue &amp; billing by plan'!S38+'RC Revenue &amp; billing by plan'!S42)*'Model inputs'!AG11+'RC Revenue &amp; billing by plan'!S26+'RC Revenue &amp; billing by plan'!S30</f>
        <v>15479.561067418897</v>
      </c>
    </row>
    <row r="47" outlineLevel="1">
      <c r="A47" t="inlineStr" s="11">
        <is>
          <t xml:space="preserve">Launch</t>
        </is>
      </c>
      <c r="B47" s="18">
        <f>'RC Revenue &amp; billing by plan'!B15*'Model inputs'!AG62+('RC Revenue &amp; billing by plan'!B39+'RC Revenue &amp; billing by plan'!B43)*'Model inputs'!AG12+'RC Revenue &amp; billing by plan'!B27+'RC Revenue &amp; billing by plan'!B31</f>
        <v>526.36</v>
      </c>
      <c r="C47" s="18">
        <f>'RC Revenue &amp; billing by plan'!C15*'Model inputs'!AG62+('RC Revenue &amp; billing by plan'!C39+'RC Revenue &amp; billing by plan'!C43)*'Model inputs'!AG12+'RC Revenue &amp; billing by plan'!C27+'RC Revenue &amp; billing by plan'!C31</f>
        <v>1190.38585</v>
      </c>
      <c r="D47" s="18">
        <f>'RC Revenue &amp; billing by plan'!D15*'Model inputs'!AG62+('RC Revenue &amp; billing by plan'!D39+'RC Revenue &amp; billing by plan'!D43)*'Model inputs'!AG12+'RC Revenue &amp; billing by plan'!D27+'RC Revenue &amp; billing by plan'!D31</f>
        <v>1694.0472789861105</v>
      </c>
      <c r="E47" s="18">
        <f>'RC Revenue &amp; billing by plan'!E15*'Model inputs'!AG62+('RC Revenue &amp; billing by plan'!E39+'RC Revenue &amp; billing by plan'!E43)*'Model inputs'!AG12+'RC Revenue &amp; billing by plan'!E27+'RC Revenue &amp; billing by plan'!E31</f>
        <v>2181.1402219713705</v>
      </c>
      <c r="F47" s="18">
        <f>'RC Revenue &amp; billing by plan'!F15*'Model inputs'!AG62+('RC Revenue &amp; billing by plan'!F39+'RC Revenue &amp; billing by plan'!F43)*'Model inputs'!AG12+'RC Revenue &amp; billing by plan'!F27+'RC Revenue &amp; billing by plan'!F31</f>
        <v>2653.3468948407544</v>
      </c>
      <c r="G47" s="18">
        <f>'RC Revenue &amp; billing by plan'!G15*'Model inputs'!AG62+('RC Revenue &amp; billing by plan'!G39+'RC Revenue &amp; billing by plan'!G43)*'Model inputs'!AG12+'RC Revenue &amp; billing by plan'!G27+'RC Revenue &amp; billing by plan'!G31</f>
        <v>3112.3679228149263</v>
      </c>
      <c r="H47" s="18">
        <f>'RC Revenue &amp; billing by plan'!H15*'Model inputs'!AG62+('RC Revenue &amp; billing by plan'!H39+'RC Revenue &amp; billing by plan'!H43)*'Model inputs'!AG12+'RC Revenue &amp; billing by plan'!H27+'RC Revenue &amp; billing by plan'!H31</f>
        <v>3559.9378256713617</v>
      </c>
      <c r="I47" s="18">
        <f>'RC Revenue &amp; billing by plan'!I15*'Model inputs'!AG62+('RC Revenue &amp; billing by plan'!I39+'RC Revenue &amp; billing by plan'!I43)*'Model inputs'!AG12+'RC Revenue &amp; billing by plan'!I27+'RC Revenue &amp; billing by plan'!I31</f>
        <v>2758.24177524009</v>
      </c>
      <c r="J47" s="18">
        <f>'RC Revenue &amp; billing by plan'!J15*'Model inputs'!AG62+('RC Revenue &amp; billing by plan'!J39+'RC Revenue &amp; billing by plan'!J43)*'Model inputs'!AG12+'RC Revenue &amp; billing by plan'!J27+'RC Revenue &amp; billing by plan'!J31</f>
        <v>3002.2318336121766</v>
      </c>
      <c r="K47" s="18">
        <f>'RC Revenue &amp; billing by plan'!K15*'Model inputs'!AG62+('RC Revenue &amp; billing by plan'!K39+'RC Revenue &amp; billing by plan'!K43)*'Model inputs'!AG12+'RC Revenue &amp; billing by plan'!K27+'RC Revenue &amp; billing by plan'!K31</f>
        <v>3255.8696811536925</v>
      </c>
      <c r="L47" s="18">
        <f>'RC Revenue &amp; billing by plan'!L15*'Model inputs'!AG62+('RC Revenue &amp; billing by plan'!L39+'RC Revenue &amp; billing by plan'!L43)*'Model inputs'!AG12+'RC Revenue &amp; billing by plan'!L27+'RC Revenue &amp; billing by plan'!L31</f>
        <v>3517.153123928048</v>
      </c>
      <c r="M47" s="18">
        <f>'RC Revenue &amp; billing by plan'!M15*'Model inputs'!AG62+('RC Revenue &amp; billing by plan'!M39+'RC Revenue &amp; billing by plan'!M43)*'Model inputs'!AG12+'RC Revenue &amp; billing by plan'!M27+'RC Revenue &amp; billing by plan'!M31</f>
        <v>3786.3126476580737</v>
      </c>
      <c r="N47" s="18">
        <f>'RC Revenue &amp; billing by plan'!N15*'Model inputs'!AG62+('RC Revenue &amp; billing by plan'!N39+'RC Revenue &amp; billing by plan'!N43)*'Model inputs'!AG12+'RC Revenue &amp; billing by plan'!N27+'RC Revenue &amp; billing by plan'!N31</f>
        <v>4063.584380847636</v>
      </c>
      <c r="O47" s="18">
        <f>'RC Revenue &amp; billing by plan'!O15*'Model inputs'!AG62+('RC Revenue &amp; billing by plan'!O39+'RC Revenue &amp; billing by plan'!O43)*'Model inputs'!AG12+'RC Revenue &amp; billing by plan'!O27+'RC Revenue &amp; billing by plan'!O31</f>
        <v>4715.841995568784</v>
      </c>
      <c r="P47" s="18">
        <f>'RC Revenue &amp; billing by plan'!P15*'Model inputs'!AG62+('RC Revenue &amp; billing by plan'!P39+'RC Revenue &amp; billing by plan'!P43)*'Model inputs'!AG12+'RC Revenue &amp; billing by plan'!P27+'RC Revenue &amp; billing by plan'!P31</f>
        <v>5265.711491962355</v>
      </c>
      <c r="Q47" s="18">
        <f>'RC Revenue &amp; billing by plan'!Q15*'Model inputs'!AG62+('RC Revenue &amp; billing by plan'!Q39+'RC Revenue &amp; billing by plan'!Q43)*'Model inputs'!AG12+'RC Revenue &amp; billing by plan'!Q27+'RC Revenue &amp; billing by plan'!Q31</f>
        <v>5833.149285373777</v>
      </c>
      <c r="R47" s="18">
        <f>'RC Revenue &amp; billing by plan'!R15*'Model inputs'!AG62+('RC Revenue &amp; billing by plan'!R39+'RC Revenue &amp; billing by plan'!R43)*'Model inputs'!AG12+'RC Revenue &amp; billing by plan'!R27+'RC Revenue &amp; billing by plan'!R31</f>
        <v>6419.8472544429615</v>
      </c>
      <c r="S47" s="18">
        <f>'RC Revenue &amp; billing by plan'!S15*'Model inputs'!AG62+('RC Revenue &amp; billing by plan'!S39+'RC Revenue &amp; billing by plan'!S43)*'Model inputs'!AG12+'RC Revenue &amp; billing by plan'!S27+'RC Revenue &amp; billing by plan'!S31</f>
        <v>7027.630974811705</v>
      </c>
    </row>
    <row r="48" outlineLevel="1">
      <c r="A48" t="inlineStr" s="11">
        <is>
          <t xml:space="preserve">Team</t>
        </is>
      </c>
      <c r="B48" s="18">
        <f>'RC Revenue &amp; billing by plan'!B16*'Model inputs'!AG63+('RC Revenue &amp; billing by plan'!B40+'RC Revenue &amp; billing by plan'!B44)*'Model inputs'!AG13+'RC Revenue &amp; billing by plan'!B28+'RC Revenue &amp; billing by plan'!B32</f>
        <v>940.92</v>
      </c>
      <c r="C48" s="18">
        <f>'RC Revenue &amp; billing by plan'!C16*'Model inputs'!AG63+('RC Revenue &amp; billing by plan'!C40+'RC Revenue &amp; billing by plan'!C44)*'Model inputs'!AG13+'RC Revenue &amp; billing by plan'!C28+'RC Revenue &amp; billing by plan'!C32</f>
        <v>2129.8994416666665</v>
      </c>
      <c r="D48" s="18">
        <f>'RC Revenue &amp; billing by plan'!D16*'Model inputs'!AG63+('RC Revenue &amp; billing by plan'!D40+'RC Revenue &amp; billing by plan'!D44)*'Model inputs'!AG13+'RC Revenue &amp; billing by plan'!D28+'RC Revenue &amp; billing by plan'!D32</f>
        <v>3166.8098727916667</v>
      </c>
      <c r="E48" s="18">
        <f>'RC Revenue &amp; billing by plan'!E16*'Model inputs'!AG63+('RC Revenue &amp; billing by plan'!E40+'RC Revenue &amp; billing by plan'!E44)*'Model inputs'!AG13+'RC Revenue &amp; billing by plan'!E28+'RC Revenue &amp; billing by plan'!E32</f>
        <v>4301.402409825828</v>
      </c>
      <c r="F48" s="18">
        <f>'RC Revenue &amp; billing by plan'!F16*'Model inputs'!AG63+('RC Revenue &amp; billing by plan'!F40+'RC Revenue &amp; billing by plan'!F44)*'Model inputs'!AG13+'RC Revenue &amp; billing by plan'!F28+'RC Revenue &amp; billing by plan'!F32</f>
        <v>5539.064642929517</v>
      </c>
      <c r="G48" s="18">
        <f>'RC Revenue &amp; billing by plan'!G16*'Model inputs'!AG63+('RC Revenue &amp; billing by plan'!G40+'RC Revenue &amp; billing by plan'!G44)*'Model inputs'!AG13+'RC Revenue &amp; billing by plan'!G28+'RC Revenue &amp; billing by plan'!G32</f>
        <v>6886.362861286267</v>
      </c>
      <c r="H48" s="18">
        <f>'RC Revenue &amp; billing by plan'!H16*'Model inputs'!AG63+('RC Revenue &amp; billing by plan'!H40+'RC Revenue &amp; billing by plan'!H44)*'Model inputs'!AG13+'RC Revenue &amp; billing by plan'!H28+'RC Revenue &amp; billing by plan'!H32</f>
        <v>8351.101257487406</v>
      </c>
      <c r="I48" s="18">
        <f>'RC Revenue &amp; billing by plan'!I16*'Model inputs'!AG63+('RC Revenue &amp; billing by plan'!I40+'RC Revenue &amp; billing by plan'!I44)*'Model inputs'!AG13+'RC Revenue &amp; billing by plan'!I28+'RC Revenue &amp; billing by plan'!I32</f>
        <v>7133.841951321224</v>
      </c>
      <c r="J48" s="18">
        <f>'RC Revenue &amp; billing by plan'!J16*'Model inputs'!AG63+('RC Revenue &amp; billing by plan'!J40+'RC Revenue &amp; billing by plan'!J44)*'Model inputs'!AG13+'RC Revenue &amp; billing by plan'!J28+'RC Revenue &amp; billing by plan'!J32</f>
        <v>8128.902090183842</v>
      </c>
      <c r="K48" s="18">
        <f>'RC Revenue &amp; billing by plan'!K16*'Model inputs'!AG63+('RC Revenue &amp; billing by plan'!K40+'RC Revenue &amp; billing by plan'!K44)*'Model inputs'!AG13+'RC Revenue &amp; billing by plan'!K28+'RC Revenue &amp; billing by plan'!K32</f>
        <v>8994.843721857133</v>
      </c>
      <c r="L48" s="18">
        <f>'RC Revenue &amp; billing by plan'!L16*'Model inputs'!AG63+('RC Revenue &amp; billing by plan'!L40+'RC Revenue &amp; billing by plan'!L44)*'Model inputs'!AG13+'RC Revenue &amp; billing by plan'!L28+'RC Revenue &amp; billing by plan'!L32</f>
        <v>9887.120591341147</v>
      </c>
      <c r="M48" s="18">
        <f>'RC Revenue &amp; billing by plan'!M16*'Model inputs'!AG63+('RC Revenue &amp; billing by plan'!M40+'RC Revenue &amp; billing by plan'!M44)*'Model inputs'!AG13+'RC Revenue &amp; billing by plan'!M28+'RC Revenue &amp; billing by plan'!M32</f>
        <v>10806.391480279588</v>
      </c>
      <c r="N48" s="18">
        <f>'RC Revenue &amp; billing by plan'!N16*'Model inputs'!AG63+('RC Revenue &amp; billing by plan'!N40+'RC Revenue &amp; billing by plan'!N44)*'Model inputs'!AG13+'RC Revenue &amp; billing by plan'!N28+'RC Revenue &amp; billing by plan'!N32</f>
        <v>11753.400224310035</v>
      </c>
      <c r="O48" s="18">
        <f>'RC Revenue &amp; billing by plan'!O16*'Model inputs'!AG63+('RC Revenue &amp; billing by plan'!O40+'RC Revenue &amp; billing by plan'!O44)*'Model inputs'!AG13+'RC Revenue &amp; billing by plan'!O28+'RC Revenue &amp; billing by plan'!O32</f>
        <v>13275.451180483256</v>
      </c>
      <c r="P48" s="18">
        <f>'RC Revenue &amp; billing by plan'!P16*'Model inputs'!AG63+('RC Revenue &amp; billing by plan'!P40+'RC Revenue &amp; billing by plan'!P44)*'Model inputs'!AG13+'RC Revenue &amp; billing by plan'!P28+'RC Revenue &amp; billing by plan'!P32</f>
        <v>14717.344364422432</v>
      </c>
      <c r="Q48" s="18">
        <f>'RC Revenue &amp; billing by plan'!Q16*'Model inputs'!AG63+('RC Revenue &amp; billing by plan'!Q40+'RC Revenue &amp; billing by plan'!Q44)*'Model inputs'!AG13+'RC Revenue &amp; billing by plan'!Q28+'RC Revenue &amp; billing by plan'!Q32</f>
        <v>16267.05985618249</v>
      </c>
      <c r="R48" s="18">
        <f>'RC Revenue &amp; billing by plan'!R16*'Model inputs'!AG63+('RC Revenue &amp; billing by plan'!R40+'RC Revenue &amp; billing by plan'!R44)*'Model inputs'!AG13+'RC Revenue &amp; billing by plan'!R28+'RC Revenue &amp; billing by plan'!R32</f>
        <v>17933.732098504475</v>
      </c>
      <c r="S48" s="18">
        <f>'RC Revenue &amp; billing by plan'!S16*'Model inputs'!AG63+('RC Revenue &amp; billing by plan'!S40+'RC Revenue &amp; billing by plan'!S44)*'Model inputs'!AG13+'RC Revenue &amp; billing by plan'!S28+'RC Revenue &amp; billing by plan'!S32</f>
        <v>19727.74755454255</v>
      </c>
    </row>
    <row r="49">
      <c r="A49" t="inlineStr" s="6">
        <is>
          <t xml:space="preserve">Deferred revenue</t>
        </is>
      </c>
      <c r="B49" s="15">
        <f>SUM('RC Revenue &amp; billing by plan'!B50,'RC Revenue &amp; billing by plan'!B51,'RC Revenue &amp; billing by plan'!B52)</f>
        <v>0</v>
      </c>
      <c r="C49" s="15">
        <f>SUM('RC Revenue &amp; billing by plan'!C50,'RC Revenue &amp; billing by plan'!C51,'RC Revenue &amp; billing by plan'!C52)</f>
        <v>1124.8835532407406</v>
      </c>
      <c r="D49" s="15">
        <f>SUM('RC Revenue &amp; billing by plan'!D50,'RC Revenue &amp; billing by plan'!D51,'RC Revenue &amp; billing by plan'!D52)</f>
        <v>3008.090778356481</v>
      </c>
      <c r="E49" s="15">
        <f>SUM('RC Revenue &amp; billing by plan'!E50,'RC Revenue &amp; billing by plan'!E51,'RC Revenue &amp; billing by plan'!E52)</f>
        <v>5687.7891197941735</v>
      </c>
      <c r="F49" s="15">
        <f>SUM('RC Revenue &amp; billing by plan'!F50,'RC Revenue &amp; billing by plan'!F51,'RC Revenue &amp; billing by plan'!F52)</f>
        <v>9206.333390013287</v>
      </c>
      <c r="G49" s="15">
        <f>SUM('RC Revenue &amp; billing by plan'!G50,'RC Revenue &amp; billing by plan'!G51,'RC Revenue &amp; billing by plan'!G52)</f>
        <v>13611.103907186472</v>
      </c>
      <c r="H49" s="15">
        <f>SUM('RC Revenue &amp; billing by plan'!H50,'RC Revenue &amp; billing by plan'!H51,'RC Revenue &amp; billing by plan'!H52)</f>
        <v>18955.401370348918</v>
      </c>
      <c r="I49" s="15">
        <f>SUM('RC Revenue &amp; billing by plan'!I50,'RC Revenue &amp; billing by plan'!I51,'RC Revenue &amp; billing by plan'!I52)</f>
        <v>21176.29266966798</v>
      </c>
      <c r="J49" s="15">
        <f>SUM('RC Revenue &amp; billing by plan'!J50,'RC Revenue &amp; billing by plan'!J51,'RC Revenue &amp; billing by plan'!J52)</f>
        <v>23447.405975659356</v>
      </c>
      <c r="K49" s="15">
        <f>SUM('RC Revenue &amp; billing by plan'!K50,'RC Revenue &amp; billing by plan'!K51,'RC Revenue &amp; billing by plan'!K52)</f>
        <v>25609.275905396302</v>
      </c>
      <c r="L49" s="15">
        <f>SUM('RC Revenue &amp; billing by plan'!L50,'RC Revenue &amp; billing by plan'!L51,'RC Revenue &amp; billing by plan'!L52)</f>
        <v>27655.431781235566</v>
      </c>
      <c r="M49" s="15">
        <f>SUM('RC Revenue &amp; billing by plan'!M50,'RC Revenue &amp; billing by plan'!M51,'RC Revenue &amp; billing by plan'!M52)</f>
        <v>29579.708820880864</v>
      </c>
      <c r="N49" s="15">
        <f>SUM('RC Revenue &amp; billing by plan'!N50,'RC Revenue &amp; billing by plan'!N51,'RC Revenue &amp; billing by plan'!N52)</f>
        <v>31376.2151957953</v>
      </c>
      <c r="O49" s="15">
        <f>SUM('RC Revenue &amp; billing by plan'!O50,'RC Revenue &amp; billing by plan'!O51,'RC Revenue &amp; billing by plan'!O52)</f>
        <v>33952.40891171797</v>
      </c>
      <c r="P49" s="15">
        <f>SUM('RC Revenue &amp; billing by plan'!P50,'RC Revenue &amp; billing by plan'!P51,'RC Revenue &amp; billing by plan'!P52)</f>
        <v>37082.226650619225</v>
      </c>
      <c r="Q49" s="15">
        <f>SUM('RC Revenue &amp; billing by plan'!Q50,'RC Revenue &amp; billing by plan'!Q51,'RC Revenue &amp; billing by plan'!Q52)</f>
        <v>40846.47674946616</v>
      </c>
      <c r="R49" s="15">
        <f>SUM('RC Revenue &amp; billing by plan'!R50,'RC Revenue &amp; billing by plan'!R51,'RC Revenue &amp; billing by plan'!R52)</f>
        <v>45335.61278973159</v>
      </c>
      <c r="S49" s="15">
        <f>SUM('RC Revenue &amp; billing by plan'!S50,'RC Revenue &amp; billing by plan'!S51,'RC Revenue &amp; billing by plan'!S52)</f>
        <v>50651.00397835455</v>
      </c>
    </row>
    <row r="50" outlineLevel="1">
      <c r="A50" t="inlineStr" s="9">
        <is>
          <t xml:space="preserve">Indie</t>
        </is>
      </c>
      <c r="B50" s="16">
        <f>'Model inputs'!N34+('RC Revenue &amp; billing by plan'!B38+'RC Revenue &amp; billing by plan'!B42)*'Model inputs'!AG11-'RC Revenue &amp; billing by plan'!B10*'Model inputs'!AG11/12</f>
        <v>0</v>
      </c>
      <c r="C50" s="16">
        <f>'RC Revenue &amp; billing by plan'!B50+('RC Revenue &amp; billing by plan'!C38+'RC Revenue &amp; billing by plan'!C42)*'Model inputs'!AG11-'RC Revenue &amp; billing by plan'!C10*'Model inputs'!AG11/12</f>
        <v>0</v>
      </c>
      <c r="D50" s="16">
        <f>'RC Revenue &amp; billing by plan'!C50+('RC Revenue &amp; billing by plan'!D38+'RC Revenue &amp; billing by plan'!D42)*'Model inputs'!AG11-'RC Revenue &amp; billing by plan'!D10*'Model inputs'!AG11/12</f>
        <v>0</v>
      </c>
      <c r="E50" s="16">
        <f>'RC Revenue &amp; billing by plan'!D50+('RC Revenue &amp; billing by plan'!E38+'RC Revenue &amp; billing by plan'!E42)*'Model inputs'!AG11-'RC Revenue &amp; billing by plan'!E10*'Model inputs'!AG11/12</f>
        <v>0</v>
      </c>
      <c r="F50" s="16">
        <f>'RC Revenue &amp; billing by plan'!E50+('RC Revenue &amp; billing by plan'!F38+'RC Revenue &amp; billing by plan'!F42)*'Model inputs'!AG11-'RC Revenue &amp; billing by plan'!F10*'Model inputs'!AG11/12</f>
        <v>0</v>
      </c>
      <c r="G50" s="16">
        <f>'RC Revenue &amp; billing by plan'!F50+('RC Revenue &amp; billing by plan'!G38+'RC Revenue &amp; billing by plan'!G42)*'Model inputs'!AG11-'RC Revenue &amp; billing by plan'!G10*'Model inputs'!AG11/12</f>
        <v>0</v>
      </c>
      <c r="H50" s="16">
        <f>'RC Revenue &amp; billing by plan'!G50+('RC Revenue &amp; billing by plan'!H38+'RC Revenue &amp; billing by plan'!H42)*'Model inputs'!AG11-'RC Revenue &amp; billing by plan'!H10*'Model inputs'!AG11/12</f>
        <v>0</v>
      </c>
      <c r="I50" s="16">
        <f>'RC Revenue &amp; billing by plan'!H50+('RC Revenue &amp; billing by plan'!I38+'RC Revenue &amp; billing by plan'!I42)*'Model inputs'!AG11-'RC Revenue &amp; billing by plan'!I10*'Model inputs'!AG11/12</f>
        <v>0</v>
      </c>
      <c r="J50" s="16">
        <f>'RC Revenue &amp; billing by plan'!I50+('RC Revenue &amp; billing by plan'!J38+'RC Revenue &amp; billing by plan'!J42)*'Model inputs'!AG11-'RC Revenue &amp; billing by plan'!J10*'Model inputs'!AG11/12</f>
        <v>0</v>
      </c>
      <c r="K50" s="16">
        <f>'RC Revenue &amp; billing by plan'!J50+('RC Revenue &amp; billing by plan'!K38+'RC Revenue &amp; billing by plan'!K42)*'Model inputs'!AG11-'RC Revenue &amp; billing by plan'!K10*'Model inputs'!AG11/12</f>
        <v>0</v>
      </c>
      <c r="L50" s="16">
        <f>'RC Revenue &amp; billing by plan'!K50+('RC Revenue &amp; billing by plan'!L38+'RC Revenue &amp; billing by plan'!L42)*'Model inputs'!AG11-'RC Revenue &amp; billing by plan'!L10*'Model inputs'!AG11/12</f>
        <v>0</v>
      </c>
      <c r="M50" s="16">
        <f>'RC Revenue &amp; billing by plan'!L50+('RC Revenue &amp; billing by plan'!M38+'RC Revenue &amp; billing by plan'!M42)*'Model inputs'!AG11-'RC Revenue &amp; billing by plan'!M10*'Model inputs'!AG11/12</f>
        <v>0</v>
      </c>
      <c r="N50" s="16">
        <f>'RC Revenue &amp; billing by plan'!M50+('RC Revenue &amp; billing by plan'!N38+'RC Revenue &amp; billing by plan'!N42)*'Model inputs'!AG11-'RC Revenue &amp; billing by plan'!N10*'Model inputs'!AG11/12</f>
        <v>0</v>
      </c>
      <c r="O50" s="16">
        <f>'RC Revenue &amp; billing by plan'!N50+('RC Revenue &amp; billing by plan'!O38+'RC Revenue &amp; billing by plan'!O42)*'Model inputs'!AG11-'RC Revenue &amp; billing by plan'!O10*'Model inputs'!AG11/12</f>
        <v>0</v>
      </c>
      <c r="P50" s="16">
        <f>'RC Revenue &amp; billing by plan'!O50+('RC Revenue &amp; billing by plan'!P38+'RC Revenue &amp; billing by plan'!P42)*'Model inputs'!AG11-'RC Revenue &amp; billing by plan'!P10*'Model inputs'!AG11/12</f>
        <v>0</v>
      </c>
      <c r="Q50" s="16">
        <f>'RC Revenue &amp; billing by plan'!P50+('RC Revenue &amp; billing by plan'!Q38+'RC Revenue &amp; billing by plan'!Q42)*'Model inputs'!AG11-'RC Revenue &amp; billing by plan'!Q10*'Model inputs'!AG11/12</f>
        <v>0</v>
      </c>
      <c r="R50" s="16">
        <f>'RC Revenue &amp; billing by plan'!Q50+('RC Revenue &amp; billing by plan'!R38+'RC Revenue &amp; billing by plan'!R42)*'Model inputs'!AG11-'RC Revenue &amp; billing by plan'!R10*'Model inputs'!AG11/12</f>
        <v>0</v>
      </c>
      <c r="S50" s="16">
        <f>'RC Revenue &amp; billing by plan'!R50+('RC Revenue &amp; billing by plan'!S38+'RC Revenue &amp; billing by plan'!S42)*'Model inputs'!AG11-'RC Revenue &amp; billing by plan'!S10*'Model inputs'!AG11/12</f>
        <v>0</v>
      </c>
    </row>
    <row r="51" outlineLevel="1">
      <c r="A51" t="inlineStr" s="9">
        <is>
          <t xml:space="preserve">Launch</t>
        </is>
      </c>
      <c r="B51" s="16">
        <f>'Model inputs'!N35+('RC Revenue &amp; billing by plan'!B39+'RC Revenue &amp; billing by plan'!B43)*'Model inputs'!AG12-'RC Revenue &amp; billing by plan'!B11*'Model inputs'!AG12/12</f>
        <v>0</v>
      </c>
      <c r="C51" s="16">
        <f>'RC Revenue &amp; billing by plan'!B51+('RC Revenue &amp; billing by plan'!C39+'RC Revenue &amp; billing by plan'!C43)*'Model inputs'!AG12-'RC Revenue &amp; billing by plan'!C11*'Model inputs'!AG12/12</f>
        <v>402.90784722222213</v>
      </c>
      <c r="D51" s="16">
        <f>'RC Revenue &amp; billing by plan'!C51+('RC Revenue &amp; billing by plan'!D39+'RC Revenue &amp; billing by plan'!D43)*'Model inputs'!AG12-'RC Revenue &amp; billing by plan'!D11*'Model inputs'!AG12/12</f>
        <v>1050.6689975887343</v>
      </c>
      <c r="E51" s="16">
        <f>'RC Revenue &amp; billing by plan'!D51+('RC Revenue &amp; billing by plan'!E39+'RC Revenue &amp; billing by plan'!E43)*'Model inputs'!AG12-'RC Revenue &amp; billing by plan'!E11*'Model inputs'!AG12/12</f>
        <v>1928.233584255666</v>
      </c>
      <c r="F51" s="16">
        <f>'RC Revenue &amp; billing by plan'!E51+('RC Revenue &amp; billing by plan'!F39+'RC Revenue &amp; billing by plan'!F43)*'Model inputs'!AG12-'RC Revenue &amp; billing by plan'!F11*'Model inputs'!AG12/12</f>
        <v>3021.6286829315213</v>
      </c>
      <c r="G51" s="16">
        <f>'RC Revenue &amp; billing by plan'!F51+('RC Revenue &amp; billing by plan'!G39+'RC Revenue &amp; billing by plan'!G43)*'Model inputs'!AG12-'RC Revenue &amp; billing by plan'!G11*'Model inputs'!AG12/12</f>
        <v>4317.961051611278</v>
      </c>
      <c r="H51" s="16">
        <f>'RC Revenue &amp; billing by plan'!G51+('RC Revenue &amp; billing by plan'!H39+'RC Revenue &amp; billing by plan'!H43)*'Model inputs'!AG12-'RC Revenue &amp; billing by plan'!H11*'Model inputs'!AG12/12</f>
        <v>5805.431256058191</v>
      </c>
      <c r="I51" s="16">
        <f>'RC Revenue &amp; billing by plan'!H51+('RC Revenue &amp; billing by plan'!I39+'RC Revenue &amp; billing by plan'!I43)*'Model inputs'!AG12-'RC Revenue &amp; billing by plan'!I11*'Model inputs'!AG12/12</f>
        <v>6210.804848528572</v>
      </c>
      <c r="J51" s="16">
        <f>'RC Revenue &amp; billing by plan'!I51+('RC Revenue &amp; billing by plan'!J39+'RC Revenue &amp; billing by plan'!J43)*'Model inputs'!AG12-'RC Revenue &amp; billing by plan'!J11*'Model inputs'!AG12/12</f>
        <v>6572.447894568215</v>
      </c>
      <c r="K51" s="16">
        <f>'RC Revenue &amp; billing by plan'!J51+('RC Revenue &amp; billing by plan'!K39+'RC Revenue &amp; billing by plan'!K43)*'Model inputs'!AG12-'RC Revenue &amp; billing by plan'!K11*'Model inputs'!AG12/12</f>
        <v>6891.720134028206</v>
      </c>
      <c r="L51" s="16">
        <f>'RC Revenue &amp; billing by plan'!K51+('RC Revenue &amp; billing by plan'!L39+'RC Revenue &amp; billing by plan'!L43)*'Model inputs'!AG12-'RC Revenue &amp; billing by plan'!L11*'Model inputs'!AG12/12</f>
        <v>7167.659950787585</v>
      </c>
      <c r="M51" s="16">
        <f>'RC Revenue &amp; billing by plan'!L51+('RC Revenue &amp; billing by plan'!M39+'RC Revenue &amp; billing by plan'!M43)*'Model inputs'!AG12-'RC Revenue &amp; billing by plan'!M11*'Model inputs'!AG12/12</f>
        <v>7399.219914050586</v>
      </c>
      <c r="N51" s="16">
        <f>'RC Revenue &amp; billing by plan'!M51+('RC Revenue &amp; billing by plan'!N39+'RC Revenue &amp; billing by plan'!N43)*'Model inputs'!AG12-'RC Revenue &amp; billing by plan'!N11*'Model inputs'!AG12/12</f>
        <v>7585.273430083128</v>
      </c>
      <c r="O51" s="16">
        <f>'RC Revenue &amp; billing by plan'!N51+('RC Revenue &amp; billing by plan'!O39+'RC Revenue &amp; billing by plan'!O43)*'Model inputs'!AG12-'RC Revenue &amp; billing by plan'!O11*'Model inputs'!AG12/12</f>
        <v>8091.251536150875</v>
      </c>
      <c r="P51" s="16">
        <f>'RC Revenue &amp; billing by plan'!O51+('RC Revenue &amp; billing by plan'!P39+'RC Revenue &amp; billing by plan'!P43)*'Model inputs'!AG12-'RC Revenue &amp; billing by plan'!P11*'Model inputs'!AG12/12</f>
        <v>8804.892805671412</v>
      </c>
      <c r="Q51" s="16">
        <f>'RC Revenue &amp; billing by plan'!P51+('RC Revenue &amp; billing by plan'!Q39+'RC Revenue &amp; billing by plan'!Q43)*'Model inputs'!AG12-'RC Revenue &amp; billing by plan'!Q11*'Model inputs'!AG12/12</f>
        <v>9733.56974424997</v>
      </c>
      <c r="R51" s="16">
        <f>'RC Revenue &amp; billing by plan'!Q51+('RC Revenue &amp; billing by plan'!R39+'RC Revenue &amp; billing by plan'!R43)*'Model inputs'!AG12-'RC Revenue &amp; billing by plan'!R11*'Model inputs'!AG12/12</f>
        <v>10886.018706815621</v>
      </c>
      <c r="S51" s="16">
        <f>'RC Revenue &amp; billing by plan'!R51+('RC Revenue &amp; billing by plan'!S39+'RC Revenue &amp; billing by plan'!S43)*'Model inputs'!AG12-'RC Revenue &amp; billing by plan'!S11*'Model inputs'!AG12/12</f>
        <v>12272.466583423657</v>
      </c>
    </row>
    <row r="52" outlineLevel="1">
      <c r="A52" t="inlineStr" s="9">
        <is>
          <t xml:space="preserve">Team</t>
        </is>
      </c>
      <c r="B52" s="16">
        <f>'Model inputs'!N36+('RC Revenue &amp; billing by plan'!B40+'RC Revenue &amp; billing by plan'!B44)*'Model inputs'!AG13-'RC Revenue &amp; billing by plan'!B12*'Model inputs'!AG13/12</f>
        <v>0</v>
      </c>
      <c r="C52" s="16">
        <f>'RC Revenue &amp; billing by plan'!B52+('RC Revenue &amp; billing by plan'!C40+'RC Revenue &amp; billing by plan'!C44)*'Model inputs'!AG13-'RC Revenue &amp; billing by plan'!C12*'Model inputs'!AG13/12</f>
        <v>721.9757060185185</v>
      </c>
      <c r="D52" s="16">
        <f>'RC Revenue &amp; billing by plan'!C52+('RC Revenue &amp; billing by plan'!D40+'RC Revenue &amp; billing by plan'!D44)*'Model inputs'!AG13-'RC Revenue &amp; billing by plan'!D12*'Model inputs'!AG13/12</f>
        <v>1957.421780767747</v>
      </c>
      <c r="E52" s="16">
        <f>'RC Revenue &amp; billing by plan'!D52+('RC Revenue &amp; billing by plan'!E40+'RC Revenue &amp; billing by plan'!E44)*'Model inputs'!AG13-'RC Revenue &amp; billing by plan'!E12*'Model inputs'!AG13/12</f>
        <v>3759.5555355385077</v>
      </c>
      <c r="F52" s="16">
        <f>'RC Revenue &amp; billing by plan'!E52+('RC Revenue &amp; billing by plan'!F40+'RC Revenue &amp; billing by plan'!F44)*'Model inputs'!AG13-'RC Revenue &amp; billing by plan'!F12*'Model inputs'!AG13/12</f>
        <v>6184.704707081766</v>
      </c>
      <c r="G52" s="16">
        <f>'RC Revenue &amp; billing by plan'!F52+('RC Revenue &amp; billing by plan'!G40+'RC Revenue &amp; billing by plan'!G44)*'Model inputs'!AG13-'RC Revenue &amp; billing by plan'!G12*'Model inputs'!AG13/12</f>
        <v>9293.142855575194</v>
      </c>
      <c r="H52" s="16">
        <f>'RC Revenue &amp; billing by plan'!G52+('RC Revenue &amp; billing by plan'!H40+'RC Revenue &amp; billing by plan'!H44)*'Model inputs'!AG13-'RC Revenue &amp; billing by plan'!H12*'Model inputs'!AG13/12</f>
        <v>13149.970114290729</v>
      </c>
      <c r="I52" s="16">
        <f>'RC Revenue &amp; billing by plan'!H52+('RC Revenue &amp; billing by plan'!I40+'RC Revenue &amp; billing by plan'!I44)*'Model inputs'!AG13-'RC Revenue &amp; billing by plan'!I12*'Model inputs'!AG13/12</f>
        <v>14965.487821139408</v>
      </c>
      <c r="J52" s="16">
        <f>'RC Revenue &amp; billing by plan'!I52+('RC Revenue &amp; billing by plan'!J40+'RC Revenue &amp; billing by plan'!J44)*'Model inputs'!AG13-'RC Revenue &amp; billing by plan'!J12*'Model inputs'!AG13/12</f>
        <v>16874.95808109114</v>
      </c>
      <c r="K52" s="16">
        <f>'RC Revenue &amp; billing by plan'!J52+('RC Revenue &amp; billing by plan'!K40+'RC Revenue &amp; billing by plan'!K44)*'Model inputs'!AG13-'RC Revenue &amp; billing by plan'!K12*'Model inputs'!AG13/12</f>
        <v>18717.555771368097</v>
      </c>
      <c r="L52" s="16">
        <f>'RC Revenue &amp; billing by plan'!K52+('RC Revenue &amp; billing by plan'!L40+'RC Revenue &amp; billing by plan'!L44)*'Model inputs'!AG13-'RC Revenue &amp; billing by plan'!L12*'Model inputs'!AG13/12</f>
        <v>20487.771830447982</v>
      </c>
      <c r="M52" s="16">
        <f>'RC Revenue &amp; billing by plan'!L52+('RC Revenue &amp; billing by plan'!M40+'RC Revenue &amp; billing by plan'!M44)*'Model inputs'!AG13-'RC Revenue &amp; billing by plan'!M12*'Model inputs'!AG13/12</f>
        <v>22180.488906830276</v>
      </c>
      <c r="N52" s="16">
        <f>'RC Revenue &amp; billing by plan'!M52+('RC Revenue &amp; billing by plan'!N40+'RC Revenue &amp; billing by plan'!N44)*'Model inputs'!AG13-'RC Revenue &amp; billing by plan'!N12*'Model inputs'!AG13/12</f>
        <v>23790.94176571217</v>
      </c>
      <c r="O52" s="16">
        <f>'RC Revenue &amp; billing by plan'!N52+('RC Revenue &amp; billing by plan'!O40+'RC Revenue &amp; billing by plan'!O44)*'Model inputs'!AG13-'RC Revenue &amp; billing by plan'!O12*'Model inputs'!AG13/12</f>
        <v>25861.15737556709</v>
      </c>
      <c r="P52" s="16">
        <f>'RC Revenue &amp; billing by plan'!O52+('RC Revenue &amp; billing by plan'!P40+'RC Revenue &amp; billing by plan'!P44)*'Model inputs'!AG13-'RC Revenue &amp; billing by plan'!P12*'Model inputs'!AG13/12</f>
        <v>28277.33384494781</v>
      </c>
      <c r="Q52" s="16">
        <f>'RC Revenue &amp; billing by plan'!P52+('RC Revenue &amp; billing by plan'!Q40+'RC Revenue &amp; billing by plan'!Q44)*'Model inputs'!AG13-'RC Revenue &amp; billing by plan'!Q12*'Model inputs'!AG13/12</f>
        <v>31112.907005216188</v>
      </c>
      <c r="R52" s="16">
        <f>'RC Revenue &amp; billing by plan'!Q52+('RC Revenue &amp; billing by plan'!R40+'RC Revenue &amp; billing by plan'!R44)*'Model inputs'!AG13-'RC Revenue &amp; billing by plan'!R12*'Model inputs'!AG13/12</f>
        <v>34449.594082915966</v>
      </c>
      <c r="S52" s="16">
        <f>'RC Revenue &amp; billing by plan'!R52+('RC Revenue &amp; billing by plan'!S40+'RC Revenue &amp; billing by plan'!S44)*'Model inputs'!AG13-'RC Revenue &amp; billing by plan'!S12*'Model inputs'!AG13/12</f>
        <v>38378.53739493089</v>
      </c>
    </row>
    <row r="53">
      <c r="A53" t="inlineStr" s="6">
        <is>
          <t xml:space="preserve">Card charges</t>
        </is>
      </c>
      <c r="B53" s="7">
        <f>SUM('RC Revenue &amp; billing by plan'!B54,'RC Revenue &amp; billing by plan'!B55,'RC Revenue &amp; billing by plan'!B56)</f>
        <v>47</v>
      </c>
      <c r="C53" s="7">
        <f>SUM('RC Revenue &amp; billing by plan'!C54,'RC Revenue &amp; billing by plan'!C55,'RC Revenue &amp; billing by plan'!C56)</f>
        <v>84.905</v>
      </c>
      <c r="D53" s="7">
        <f>SUM('RC Revenue &amp; billing by plan'!D54,'RC Revenue &amp; billing by plan'!D55,'RC Revenue &amp; billing by plan'!D56)</f>
        <v>110.35099861111111</v>
      </c>
      <c r="E53" s="7">
        <f>SUM('RC Revenue &amp; billing by plan'!E54,'RC Revenue &amp; billing by plan'!E55,'RC Revenue &amp; billing by plan'!E56)</f>
        <v>136.39833793553242</v>
      </c>
      <c r="F53" s="7">
        <f>SUM('RC Revenue &amp; billing by plan'!F54,'RC Revenue &amp; billing by plan'!F55,'RC Revenue &amp; billing by plan'!F56)</f>
        <v>163.1386394629229</v>
      </c>
      <c r="G53" s="7">
        <f>SUM('RC Revenue &amp; billing by plan'!G54,'RC Revenue &amp; billing by plan'!G55,'RC Revenue &amp; billing by plan'!G56)</f>
        <v>190.66619745317232</v>
      </c>
      <c r="H53" s="7">
        <f>SUM('RC Revenue &amp; billing by plan'!H54,'RC Revenue &amp; billing by plan'!H55,'RC Revenue &amp; billing by plan'!H56)</f>
        <v>219.07804106079942</v>
      </c>
      <c r="I53" s="7">
        <f>SUM('RC Revenue &amp; billing by plan'!I54,'RC Revenue &amp; billing by plan'!I55,'RC Revenue &amp; billing by plan'!I56)</f>
        <v>248.47397482800056</v>
      </c>
      <c r="J53" s="7">
        <f>SUM('RC Revenue &amp; billing by plan'!J54,'RC Revenue &amp; billing by plan'!J55,'RC Revenue &amp; billing by plan'!J56)</f>
        <v>281.26001013025916</v>
      </c>
      <c r="K53" s="7">
        <f>SUM('RC Revenue &amp; billing by plan'!K54,'RC Revenue &amp; billing by plan'!K55,'RC Revenue &amp; billing by plan'!K56)</f>
        <v>313.92842080156595</v>
      </c>
      <c r="L53" s="7">
        <f>SUM('RC Revenue &amp; billing by plan'!L54,'RC Revenue &amp; billing by plan'!L55,'RC Revenue &amp; billing by plan'!L56)</f>
        <v>346.6637111423637</v>
      </c>
      <c r="M53" s="7">
        <f>SUM('RC Revenue &amp; billing by plan'!M54,'RC Revenue &amp; billing by plan'!M55,'RC Revenue &amp; billing by plan'!M56)</f>
        <v>379.5448779461048</v>
      </c>
      <c r="N53" s="7">
        <f>SUM('RC Revenue &amp; billing by plan'!N54,'RC Revenue &amp; billing by plan'!N55,'RC Revenue &amp; billing by plan'!N56)</f>
        <v>412.64917506109316</v>
      </c>
      <c r="O53" s="7">
        <f>SUM('RC Revenue &amp; billing by plan'!O54,'RC Revenue &amp; billing by plan'!O55,'RC Revenue &amp; billing by plan'!O56)</f>
        <v>446.4926009328778</v>
      </c>
      <c r="P53" s="7">
        <f>SUM('RC Revenue &amp; billing by plan'!P54,'RC Revenue &amp; billing by plan'!P55,'RC Revenue &amp; billing by plan'!P56)</f>
        <v>480.613608003025</v>
      </c>
      <c r="Q53" s="7">
        <f>SUM('RC Revenue &amp; billing by plan'!Q54,'RC Revenue &amp; billing by plan'!Q55,'RC Revenue &amp; billing by plan'!Q56)</f>
        <v>515.2351690842696</v>
      </c>
      <c r="R53" s="7">
        <f>SUM('RC Revenue &amp; billing by plan'!R54,'RC Revenue &amp; billing by plan'!R55,'RC Revenue &amp; billing by plan'!R56)</f>
        <v>550.4356692134742</v>
      </c>
      <c r="S53" s="7">
        <f>SUM('RC Revenue &amp; billing by plan'!S54,'RC Revenue &amp; billing by plan'!S55,'RC Revenue &amp; billing by plan'!S56)</f>
        <v>586.2937159981817</v>
      </c>
    </row>
    <row r="54" outlineLevel="1">
      <c r="A54" t="inlineStr" s="9">
        <is>
          <t xml:space="preserve">Indie</t>
        </is>
      </c>
      <c r="B54" s="17">
        <f>'RC Revenue &amp; billing by plan'!B14+'RC Revenue &amp; billing by plan'!B38+'RC Revenue &amp; billing by plan'!B42</f>
        <v>40</v>
      </c>
      <c r="C54" s="17">
        <f>'RC Revenue &amp; billing by plan'!C14+'RC Revenue &amp; billing by plan'!C38+'RC Revenue &amp; billing by plan'!C42</f>
        <v>74.33333333333333</v>
      </c>
      <c r="D54" s="17">
        <f>'RC Revenue &amp; billing by plan'!D14+'RC Revenue &amp; billing by plan'!D38+'RC Revenue &amp; billing by plan'!D42</f>
        <v>96.37777777777778</v>
      </c>
      <c r="E54" s="17">
        <f>'RC Revenue &amp; billing by plan'!E14+'RC Revenue &amp; billing by plan'!E38+'RC Revenue &amp; billing by plan'!E42</f>
        <v>119.1125925925926</v>
      </c>
      <c r="F54" s="17">
        <f>'RC Revenue &amp; billing by plan'!F14+'RC Revenue &amp; billing by plan'!F38+'RC Revenue &amp; billing by plan'!F42</f>
        <v>142.66455308641977</v>
      </c>
      <c r="G54" s="17">
        <f>'RC Revenue &amp; billing by plan'!G14+'RC Revenue &amp; billing by plan'!G38+'RC Revenue &amp; billing by plan'!G42</f>
        <v>167.16580688065847</v>
      </c>
      <c r="H54" s="17">
        <f>'RC Revenue &amp; billing by plan'!H14+'RC Revenue &amp; billing by plan'!H38+'RC Revenue &amp; billing by plan'!H42</f>
        <v>192.75462167528124</v>
      </c>
      <c r="I54" s="17">
        <f>'RC Revenue &amp; billing by plan'!I14+'RC Revenue &amp; billing by plan'!I38+'RC Revenue &amp; billing by plan'!I42</f>
        <v>219.57617163719584</v>
      </c>
      <c r="J54" s="17">
        <f>'RC Revenue &amp; billing by plan'!J14+'RC Revenue &amp; billing by plan'!J38+'RC Revenue &amp; billing by plan'!J42</f>
        <v>247.78336691420412</v>
      </c>
      <c r="K54" s="17">
        <f>'RC Revenue &amp; billing by plan'!K14+'RC Revenue &amp; billing by plan'!K38+'RC Revenue &amp; billing by plan'!K42</f>
        <v>275.8239067748581</v>
      </c>
      <c r="L54" s="17">
        <f>'RC Revenue &amp; billing by plan'!L14+'RC Revenue &amp; billing by plan'!L38+'RC Revenue &amp; billing by plan'!L42</f>
        <v>303.77745455099915</v>
      </c>
      <c r="M54" s="17">
        <f>'RC Revenue &amp; billing by plan'!M14+'RC Revenue &amp; billing by plan'!M38+'RC Revenue &amp; billing by plan'!M42</f>
        <v>331.7211048045094</v>
      </c>
      <c r="N54" s="17">
        <f>'RC Revenue &amp; billing by plan'!N14+'RC Revenue &amp; billing by plan'!N38+'RC Revenue &amp; billing by plan'!N42</f>
        <v>359.72966426339536</v>
      </c>
      <c r="O54" s="17">
        <f>'RC Revenue &amp; billing by plan'!O14+'RC Revenue &amp; billing by plan'!O38+'RC Revenue &amp; billing by plan'!O42</f>
        <v>387.87591841618973</v>
      </c>
      <c r="P54" s="17">
        <f>'RC Revenue &amp; billing by plan'!P14+'RC Revenue &amp; billing by plan'!P38+'RC Revenue &amp; billing by plan'!P42</f>
        <v>416.23088489627867</v>
      </c>
      <c r="Q54" s="17">
        <f>'RC Revenue &amp; billing by plan'!Q14+'RC Revenue &amp; billing by plan'!Q38+'RC Revenue &amp; billing by plan'!Q42</f>
        <v>444.8640547193417</v>
      </c>
      <c r="R54" s="17">
        <f>'RC Revenue &amp; billing by plan'!R14+'RC Revenue &amp; billing by plan'!R38+'RC Revenue &amp; billing by plan'!R42</f>
        <v>473.8436223735132</v>
      </c>
      <c r="S54" s="17">
        <f>'RC Revenue &amp; billing by plan'!S14+'RC Revenue &amp; billing by plan'!S38+'RC Revenue &amp; billing by plan'!S42</f>
        <v>503.23670570282496</v>
      </c>
    </row>
    <row r="55" outlineLevel="1">
      <c r="A55" t="inlineStr" s="9">
        <is>
          <t xml:space="preserve">Launch</t>
        </is>
      </c>
      <c r="B55" s="17">
        <f>'RC Revenue &amp; billing by plan'!B15+'RC Revenue &amp; billing by plan'!B39+'RC Revenue &amp; billing by plan'!B43</f>
        <v>1</v>
      </c>
      <c r="C55" s="17">
        <f>'RC Revenue &amp; billing by plan'!C15+'RC Revenue &amp; billing by plan'!C39+'RC Revenue &amp; billing by plan'!C43</f>
        <v>1.51</v>
      </c>
      <c r="D55" s="17">
        <f>'RC Revenue &amp; billing by plan'!D15+'RC Revenue &amp; billing by plan'!D39+'RC Revenue &amp; billing by plan'!D43</f>
        <v>1.9383448611111107</v>
      </c>
      <c r="E55" s="17">
        <f>'RC Revenue &amp; billing by plan'!E15+'RC Revenue &amp; billing by plan'!E39+'RC Revenue &amp; billing by plan'!E43</f>
        <v>2.314293530902777</v>
      </c>
      <c r="F55" s="17">
        <f>'RC Revenue &amp; billing by plan'!F15+'RC Revenue &amp; billing by plan'!F39+'RC Revenue &amp; billing by plan'!F43</f>
        <v>2.638063282237991</v>
      </c>
      <c r="G55" s="17">
        <f>'RC Revenue &amp; billing by plan'!G15+'RC Revenue &amp; billing by plan'!G39+'RC Revenue &amp; billing by plan'!G43</f>
        <v>2.909637019333771</v>
      </c>
      <c r="H55" s="17">
        <f>'RC Revenue &amp; billing by plan'!H15+'RC Revenue &amp; billing by plan'!H39+'RC Revenue &amp; billing by plan'!H43</f>
        <v>3.128751273746695</v>
      </c>
      <c r="I55" s="17">
        <f>'RC Revenue &amp; billing by plan'!I15+'RC Revenue &amp; billing by plan'!I39+'RC Revenue &amp; billing by plan'!I43</f>
        <v>3.294880802181151</v>
      </c>
      <c r="J55" s="17">
        <f>'RC Revenue &amp; billing by plan'!J15+'RC Revenue &amp; billing by plan'!J39+'RC Revenue &amp; billing by plan'!J43</f>
        <v>3.6790977370198386</v>
      </c>
      <c r="K55" s="17">
        <f>'RC Revenue &amp; billing by plan'!K15+'RC Revenue &amp; billing by plan'!K39+'RC Revenue &amp; billing by plan'!K43</f>
        <v>4.074907321600538</v>
      </c>
      <c r="L55" s="17">
        <f>'RC Revenue &amp; billing by plan'!L15+'RC Revenue &amp; billing by plan'!L39+'RC Revenue &amp; billing by plan'!L43</f>
        <v>4.482280278889159</v>
      </c>
      <c r="M55" s="17">
        <f>'RC Revenue &amp; billing by plan'!M15+'RC Revenue &amp; billing by plan'!M39+'RC Revenue &amp; billing by plan'!M43</f>
        <v>4.9016314275776</v>
      </c>
      <c r="N55" s="17">
        <f>'RC Revenue &amp; billing by plan'!N15+'RC Revenue &amp; billing by plan'!N39+'RC Revenue &amp; billing by plan'!N43</f>
        <v>5.333375541298454</v>
      </c>
      <c r="O55" s="17">
        <f>'RC Revenue &amp; billing by plan'!O15+'RC Revenue &amp; billing by plan'!O39+'RC Revenue &amp; billing by plan'!O43</f>
        <v>5.85140272496222</v>
      </c>
      <c r="P55" s="17">
        <f>'RC Revenue &amp; billing by plan'!P15+'RC Revenue &amp; billing by plan'!P39+'RC Revenue &amp; billing by plan'!P43</f>
        <v>6.360417997036922</v>
      </c>
      <c r="Q55" s="17">
        <f>'RC Revenue &amp; billing by plan'!Q15+'RC Revenue &amp; billing by plan'!Q39+'RC Revenue &amp; billing by plan'!Q43</f>
        <v>6.884836554120148</v>
      </c>
      <c r="R55" s="17">
        <f>'RC Revenue &amp; billing by plan'!R15+'RC Revenue &amp; billing by plan'!R39+'RC Revenue &amp; billing by plan'!R43</f>
        <v>7.425379748567756</v>
      </c>
      <c r="S55" s="17">
        <f>'RC Revenue &amp; billing by plan'!S15+'RC Revenue &amp; billing by plan'!S39+'RC Revenue &amp; billing by plan'!S43</f>
        <v>7.982803896855035</v>
      </c>
    </row>
    <row r="56" outlineLevel="1">
      <c r="A56" t="inlineStr" s="9">
        <is>
          <t xml:space="preserve">Team</t>
        </is>
      </c>
      <c r="B56" s="17">
        <f>'RC Revenue &amp; billing by plan'!B16+'RC Revenue &amp; billing by plan'!B40+'RC Revenue &amp; billing by plan'!B44</f>
        <v>6</v>
      </c>
      <c r="C56" s="17">
        <f>'RC Revenue &amp; billing by plan'!C16+'RC Revenue &amp; billing by plan'!C40+'RC Revenue &amp; billing by plan'!C44</f>
        <v>9.061666666666667</v>
      </c>
      <c r="D56" s="17">
        <f>'RC Revenue &amp; billing by plan'!D16+'RC Revenue &amp; billing by plan'!D40+'RC Revenue &amp; billing by plan'!D44</f>
        <v>12.034875972222222</v>
      </c>
      <c r="E56" s="17">
        <f>'RC Revenue &amp; billing by plan'!E16+'RC Revenue &amp; billing by plan'!E40+'RC Revenue &amp; billing by plan'!E44</f>
        <v>14.971451812037037</v>
      </c>
      <c r="F56" s="17">
        <f>'RC Revenue &amp; billing by plan'!F16+'RC Revenue &amp; billing by plan'!F40+'RC Revenue &amp; billing by plan'!F44</f>
        <v>17.836023094265144</v>
      </c>
      <c r="G56" s="17">
        <f>'RC Revenue &amp; billing by plan'!G16+'RC Revenue &amp; billing by plan'!G40+'RC Revenue &amp; billing by plan'!G44</f>
        <v>20.59075355318007</v>
      </c>
      <c r="H56" s="17">
        <f>'RC Revenue &amp; billing by plan'!H16+'RC Revenue &amp; billing by plan'!H40+'RC Revenue &amp; billing by plan'!H44</f>
        <v>23.194668111771485</v>
      </c>
      <c r="I56" s="17">
        <f>'RC Revenue &amp; billing by plan'!I16+'RC Revenue &amp; billing by plan'!I40+'RC Revenue &amp; billing by plan'!I44</f>
        <v>25.60292238862356</v>
      </c>
      <c r="J56" s="17">
        <f>'RC Revenue &amp; billing by plan'!J16+'RC Revenue &amp; billing by plan'!J40+'RC Revenue &amp; billing by plan'!J44</f>
        <v>29.797545479035175</v>
      </c>
      <c r="K56" s="17">
        <f>'RC Revenue &amp; billing by plan'!K16+'RC Revenue &amp; billing by plan'!K40+'RC Revenue &amp; billing by plan'!K44</f>
        <v>34.02960670510733</v>
      </c>
      <c r="L56" s="17">
        <f>'RC Revenue &amp; billing by plan'!L16+'RC Revenue &amp; billing by plan'!L40+'RC Revenue &amp; billing by plan'!L44</f>
        <v>38.40397631247539</v>
      </c>
      <c r="M56" s="17">
        <f>'RC Revenue &amp; billing by plan'!M16+'RC Revenue &amp; billing by plan'!M40+'RC Revenue &amp; billing by plan'!M44</f>
        <v>42.92214171401777</v>
      </c>
      <c r="N56" s="17">
        <f>'RC Revenue &amp; billing by plan'!N16+'RC Revenue &amp; billing by plan'!N40+'RC Revenue &amp; billing by plan'!N44</f>
        <v>47.58613525639933</v>
      </c>
      <c r="O56" s="17">
        <f>'RC Revenue &amp; billing by plan'!O16+'RC Revenue &amp; billing by plan'!O40+'RC Revenue &amp; billing by plan'!O44</f>
        <v>52.765279791725845</v>
      </c>
      <c r="P56" s="17">
        <f>'RC Revenue &amp; billing by plan'!P16+'RC Revenue &amp; billing by plan'!P40+'RC Revenue &amp; billing by plan'!P44</f>
        <v>58.022305109709365</v>
      </c>
      <c r="Q56" s="17">
        <f>'RC Revenue &amp; billing by plan'!Q16+'RC Revenue &amp; billing by plan'!Q40+'RC Revenue &amp; billing by plan'!Q44</f>
        <v>63.48627781080772</v>
      </c>
      <c r="R56" s="17">
        <f>'RC Revenue &amp; billing by plan'!R16+'RC Revenue &amp; billing by plan'!R40+'RC Revenue &amp; billing by plan'!R44</f>
        <v>69.1666670913932</v>
      </c>
      <c r="S56" s="17">
        <f>'RC Revenue &amp; billing by plan'!S16+'RC Revenue &amp; billing by plan'!S40+'RC Revenue &amp; billing by plan'!S44</f>
        <v>75.07420639850176</v>
      </c>
    </row>
    <row r="57">
      <c r="A57" t="inlineStr" s="6">
        <is>
          <t xml:space="preserve">Payment fees</t>
        </is>
      </c>
      <c r="B57" s="15">
        <f>SUM('RC Revenue &amp; billing by plan'!B58,'RC Revenue &amp; billing by plan'!B59,'RC Revenue &amp; billing by plan'!B60)</f>
        <v>92.33272000000001</v>
      </c>
      <c r="C57" s="15">
        <f>SUM('RC Revenue &amp; billing by plan'!C58,'RC Revenue &amp; billing by plan'!C59,'RC Revenue &amp; billing by plan'!C60)</f>
        <v>188.068080125</v>
      </c>
      <c r="D57" s="15">
        <f>SUM('RC Revenue &amp; billing by plan'!D58,'RC Revenue &amp; billing by plan'!D59,'RC Revenue &amp; billing by plan'!D60)</f>
        <v>260.0429898737778</v>
      </c>
      <c r="E57" s="15">
        <f>SUM('RC Revenue &amp; billing by plan'!E58,'RC Revenue &amp; billing by plan'!E59,'RC Revenue &amp; billing by plan'!E60)</f>
        <v>335.1664347990748</v>
      </c>
      <c r="F57" s="15">
        <f>SUM('RC Revenue &amp; billing by plan'!F58,'RC Revenue &amp; billing by plan'!F59,'RC Revenue &amp; billing by plan'!F60)</f>
        <v>413.78401436942465</v>
      </c>
      <c r="G57" s="15">
        <f>SUM('RC Revenue &amp; billing by plan'!G58,'RC Revenue &amp; billing by plan'!G59,'RC Revenue &amp; billing by plan'!G60)</f>
        <v>496.2816383447089</v>
      </c>
      <c r="H57" s="15">
        <f>SUM('RC Revenue &amp; billing by plan'!H58,'RC Revenue &amp; billing by plan'!H59,'RC Revenue &amp; billing by plan'!H60)</f>
        <v>583.088378449062</v>
      </c>
      <c r="I57" s="15">
        <f>SUM('RC Revenue &amp; billing by plan'!I58,'RC Revenue &amp; billing by plan'!I59,'RC Revenue &amp; billing by plan'!I60)</f>
        <v>557.2833486659224</v>
      </c>
      <c r="J57" s="15">
        <f>SUM('RC Revenue &amp; billing by plan'!J58,'RC Revenue &amp; billing by plan'!J59,'RC Revenue &amp; billing by plan'!J60)</f>
        <v>628.2135614513089</v>
      </c>
      <c r="K57" s="15">
        <f>SUM('RC Revenue &amp; billing by plan'!K58,'RC Revenue &amp; billing by plan'!K59,'RC Revenue &amp; billing by plan'!K60)</f>
        <v>695.4951727272281</v>
      </c>
      <c r="L57" s="15">
        <f>SUM('RC Revenue &amp; billing by plan'!L58,'RC Revenue &amp; billing by plan'!L59,'RC Revenue &amp; billing by plan'!L60)</f>
        <v>763.7046916431891</v>
      </c>
      <c r="M57" s="15">
        <f>SUM('RC Revenue &amp; billing by plan'!M58,'RC Revenue &amp; billing by plan'!M59,'RC Revenue &amp; billing by plan'!M60)</f>
        <v>832.9603774238383</v>
      </c>
      <c r="N57" s="15">
        <f>SUM('RC Revenue &amp; billing by plan'!N58,'RC Revenue &amp; billing by plan'!N59,'RC Revenue &amp; billing by plan'!N60)</f>
        <v>903.3805557774197</v>
      </c>
      <c r="O57" s="15">
        <f>SUM('RC Revenue &amp; billing by plan'!O58,'RC Revenue &amp; billing by plan'!O59,'RC Revenue &amp; billing by plan'!O60)</f>
        <v>1001.6961166493504</v>
      </c>
      <c r="P57" s="15">
        <f>SUM('RC Revenue &amp; billing by plan'!P58,'RC Revenue &amp; billing by plan'!P59,'RC Revenue &amp; billing by plan'!P60)</f>
        <v>1094.9873007989427</v>
      </c>
      <c r="Q57" s="15">
        <f>SUM('RC Revenue &amp; billing by plan'!Q58,'RC Revenue &amp; billing by plan'!Q59,'RC Revenue &amp; billing by plan'!Q60)</f>
        <v>1192.3131472022542</v>
      </c>
      <c r="R57" s="15">
        <f>SUM('RC Revenue &amp; billing by plan'!R58,'RC Revenue &amp; billing by plan'!R59,'RC Revenue &amp; billing by plan'!R60)</f>
        <v>1294.0719669015866</v>
      </c>
      <c r="S57" s="15">
        <f>SUM('RC Revenue &amp; billing by plan'!S58,'RC Revenue &amp; billing by plan'!S59,'RC Revenue &amp; billing by plan'!S60)</f>
        <v>1400.701363105876</v>
      </c>
    </row>
    <row r="58" outlineLevel="1">
      <c r="A58" t="inlineStr" s="9">
        <is>
          <t xml:space="preserve">Indie</t>
        </is>
      </c>
      <c r="B58" s="16">
        <f>'RC Revenue &amp; billing by plan'!B46*'Model inputs'!AG32+'RC Revenue &amp; billing by plan'!B54*'Model inputs'!AG31</f>
        <v>47.6816</v>
      </c>
      <c r="C58" s="16">
        <f>'RC Revenue &amp; billing by plan'!C46*'Model inputs'!AG32+'RC Revenue &amp; billing by plan'!C54*'Model inputs'!AG31</f>
        <v>88.60830666666666</v>
      </c>
      <c r="D58" s="16">
        <f>'RC Revenue &amp; billing by plan'!D46*'Model inputs'!AG32+'RC Revenue &amp; billing by plan'!D54*'Model inputs'!AG31</f>
        <v>114.88616622222224</v>
      </c>
      <c r="E58" s="16">
        <f>'RC Revenue &amp; billing by plan'!E46*'Model inputs'!AG32+'RC Revenue &amp; billing by plan'!E54*'Model inputs'!AG31</f>
        <v>141.9869748740741</v>
      </c>
      <c r="F58" s="16">
        <f>'RC Revenue &amp; billing by plan'!F46*'Model inputs'!AG32+'RC Revenue &amp; billing by plan'!F54*'Model inputs'!AG31</f>
        <v>170.06185386113583</v>
      </c>
      <c r="G58" s="16">
        <f>'RC Revenue &amp; billing by plan'!G46*'Model inputs'!AG32+'RC Revenue &amp; billing by plan'!G54*'Model inputs'!AG31</f>
        <v>199.26832843402013</v>
      </c>
      <c r="H58" s="16">
        <f>'RC Revenue &amp; billing by plan'!H46*'Model inputs'!AG32+'RC Revenue &amp; billing by plan'!H54*'Model inputs'!AG31</f>
        <v>229.77121922180223</v>
      </c>
      <c r="I58" s="16">
        <f>'RC Revenue &amp; billing by plan'!I46*'Model inputs'!AG32+'RC Revenue &amp; billing by plan'!I54*'Model inputs'!AG31</f>
        <v>261.74357963840293</v>
      </c>
      <c r="J58" s="16">
        <f>'RC Revenue &amp; billing by plan'!J46*'Model inputs'!AG32+'RC Revenue &amp; billing by plan'!J54*'Model inputs'!AG31</f>
        <v>295.3676846964079</v>
      </c>
      <c r="K58" s="16">
        <f>'RC Revenue &amp; billing by plan'!K46*'Model inputs'!AG32+'RC Revenue &amp; billing by plan'!K54*'Model inputs'!AG31</f>
        <v>328.7931298319018</v>
      </c>
      <c r="L58" s="16">
        <f>'RC Revenue &amp; billing by plan'!L46*'Model inputs'!AG32+'RC Revenue &amp; billing by plan'!L54*'Model inputs'!AG31</f>
        <v>362.1148769229731</v>
      </c>
      <c r="M58" s="16">
        <f>'RC Revenue &amp; billing by plan'!M46*'Model inputs'!AG32+'RC Revenue &amp; billing by plan'!M54*'Model inputs'!AG31</f>
        <v>395.4248257711674</v>
      </c>
      <c r="N58" s="16">
        <f>'RC Revenue &amp; billing by plan'!N46*'Model inputs'!AG32+'RC Revenue &amp; billing by plan'!N54*'Model inputs'!AG31</f>
        <v>428.81214898853784</v>
      </c>
      <c r="O58" s="16">
        <f>'RC Revenue &amp; billing by plan'!O46*'Model inputs'!AG32+'RC Revenue &amp; billing by plan'!O54*'Model inputs'!AG31</f>
        <v>462.36360978883476</v>
      </c>
      <c r="P58" s="16">
        <f>'RC Revenue &amp; billing by plan'!P46*'Model inputs'!AG32+'RC Revenue &amp; billing by plan'!P54*'Model inputs'!AG31</f>
        <v>496.16386403176006</v>
      </c>
      <c r="Q58" s="16">
        <f>'RC Revenue &amp; billing by plan'!Q46*'Model inputs'!AG32+'RC Revenue &amp; billing by plan'!Q54*'Model inputs'!AG31</f>
        <v>530.2957477876441</v>
      </c>
      <c r="R58" s="16">
        <f>'RC Revenue &amp; billing by plan'!R46*'Model inputs'!AG32+'RC Revenue &amp; billing by plan'!R54*'Model inputs'!AG31</f>
        <v>564.8405516141227</v>
      </c>
      <c r="S58" s="16">
        <f>'RC Revenue &amp; billing by plan'!S46*'Model inputs'!AG32+'RC Revenue &amp; billing by plan'!S54*'Model inputs'!AG31</f>
        <v>599.8782826659955</v>
      </c>
    </row>
    <row r="59" outlineLevel="1">
      <c r="A59" t="inlineStr" s="9">
        <is>
          <t xml:space="preserve">Launch</t>
        </is>
      </c>
      <c r="B59" s="16">
        <f>'RC Revenue &amp; billing by plan'!B47*'Model inputs'!AG32+'RC Revenue &amp; billing by plan'!B55*'Model inputs'!AG31</f>
        <v>15.564440000000001</v>
      </c>
      <c r="C59" s="16">
        <f>'RC Revenue &amp; billing by plan'!C47*'Model inputs'!AG32+'RC Revenue &amp; billing by plan'!C55*'Model inputs'!AG31</f>
        <v>34.97418965</v>
      </c>
      <c r="D59" s="16">
        <f>'RC Revenue &amp; billing by plan'!D47*'Model inputs'!AG32+'RC Revenue &amp; billing by plan'!D55*'Model inputs'!AG31</f>
        <v>49.70887454893054</v>
      </c>
      <c r="E59" s="16">
        <f>'RC Revenue &amp; billing by plan'!E47*'Model inputs'!AG32+'RC Revenue &amp; billing by plan'!E55*'Model inputs'!AG31</f>
        <v>63.94735449644058</v>
      </c>
      <c r="F59" s="16">
        <f>'RC Revenue &amp; billing by plan'!F47*'Model inputs'!AG32+'RC Revenue &amp; billing by plan'!F55*'Model inputs'!AG31</f>
        <v>77.73847893505328</v>
      </c>
      <c r="G59" s="16">
        <f>'RC Revenue &amp; billing by plan'!G47*'Model inputs'!AG32+'RC Revenue &amp; billing by plan'!G55*'Model inputs'!AG31</f>
        <v>91.131560867433</v>
      </c>
      <c r="H59" s="16">
        <f>'RC Revenue &amp; billing by plan'!H47*'Model inputs'!AG32+'RC Revenue &amp; billing by plan'!H55*'Model inputs'!AG31</f>
        <v>104.1768223265935</v>
      </c>
      <c r="I59" s="16">
        <f>'RC Revenue &amp; billing by plan'!I47*'Model inputs'!AG32+'RC Revenue &amp; billing by plan'!I55*'Model inputs'!AG31</f>
        <v>80.97747572261697</v>
      </c>
      <c r="J59" s="16">
        <f>'RC Revenue &amp; billing by plan'!J47*'Model inputs'!AG32+'RC Revenue &amp; billing by plan'!J55*'Model inputs'!AG31</f>
        <v>88.16845249585907</v>
      </c>
      <c r="K59" s="16">
        <f>'RC Revenue &amp; billing by plan'!K47*'Model inputs'!AG32+'RC Revenue &amp; billing by plan'!K55*'Model inputs'!AG31</f>
        <v>95.64269294993724</v>
      </c>
      <c r="L59" s="16">
        <f>'RC Revenue &amp; billing by plan'!L47*'Model inputs'!AG32+'RC Revenue &amp; billing by plan'!L55*'Model inputs'!AG31</f>
        <v>103.34212467758014</v>
      </c>
      <c r="M59" s="16">
        <f>'RC Revenue &amp; billing by plan'!M47*'Model inputs'!AG32+'RC Revenue &amp; billing by plan'!M55*'Model inputs'!AG31</f>
        <v>111.27355621035743</v>
      </c>
      <c r="N59" s="16">
        <f>'RC Revenue &amp; billing by plan'!N47*'Model inputs'!AG32+'RC Revenue &amp; billing by plan'!N55*'Model inputs'!AG31</f>
        <v>119.44395970697099</v>
      </c>
      <c r="O59" s="16">
        <f>'RC Revenue &amp; billing by plan'!O47*'Model inputs'!AG32+'RC Revenue &amp; billing by plan'!O55*'Model inputs'!AG31</f>
        <v>138.51483868898342</v>
      </c>
      <c r="P59" s="16">
        <f>'RC Revenue &amp; billing by plan'!P47*'Model inputs'!AG32+'RC Revenue &amp; billing by plan'!P55*'Model inputs'!AG31</f>
        <v>154.61375866601935</v>
      </c>
      <c r="Q59" s="16">
        <f>'RC Revenue &amp; billing by plan'!Q47*'Model inputs'!AG32+'RC Revenue &amp; billing by plan'!Q55*'Model inputs'!AG31</f>
        <v>171.22678024207562</v>
      </c>
      <c r="R59" s="16">
        <f>'RC Revenue &amp; billing by plan'!R47*'Model inputs'!AG32+'RC Revenue &amp; billing by plan'!R55*'Model inputs'!AG31</f>
        <v>188.40318430341623</v>
      </c>
      <c r="S59" s="16">
        <f>'RC Revenue &amp; billing by plan'!S47*'Model inputs'!AG32+'RC Revenue &amp; billing by plan'!S55*'Model inputs'!AG31</f>
        <v>206.19613943859596</v>
      </c>
    </row>
    <row r="60" outlineLevel="1">
      <c r="A60" t="inlineStr" s="9">
        <is>
          <t xml:space="preserve">Team</t>
        </is>
      </c>
      <c r="B60" s="16">
        <f>'RC Revenue &amp; billing by plan'!B48*'Model inputs'!AG32+'RC Revenue &amp; billing by plan'!B56*'Model inputs'!AG31</f>
        <v>29.08668</v>
      </c>
      <c r="C60" s="16">
        <f>'RC Revenue &amp; billing by plan'!C48*'Model inputs'!AG32+'RC Revenue &amp; billing by plan'!C56*'Model inputs'!AG31</f>
        <v>64.48558380833333</v>
      </c>
      <c r="D60" s="16">
        <f>'RC Revenue &amp; billing by plan'!D48*'Model inputs'!AG32+'RC Revenue &amp; billing by plan'!D56*'Model inputs'!AG31</f>
        <v>95.447949102625</v>
      </c>
      <c r="E60" s="16">
        <f>'RC Revenue &amp; billing by plan'!E48*'Model inputs'!AG32+'RC Revenue &amp; billing by plan'!E56*'Model inputs'!AG31</f>
        <v>129.23210542856012</v>
      </c>
      <c r="F60" s="16">
        <f>'RC Revenue &amp; billing by plan'!F48*'Model inputs'!AG32+'RC Revenue &amp; billing by plan'!F56*'Model inputs'!AG31</f>
        <v>165.98368157323554</v>
      </c>
      <c r="G60" s="16">
        <f>'RC Revenue &amp; billing by plan'!G48*'Model inputs'!AG32+'RC Revenue &amp; billing by plan'!G56*'Model inputs'!AG31</f>
        <v>205.88174904325575</v>
      </c>
      <c r="H60" s="16">
        <f>'RC Revenue &amp; billing by plan'!H48*'Model inputs'!AG32+'RC Revenue &amp; billing by plan'!H56*'Model inputs'!AG31</f>
        <v>249.14033690066623</v>
      </c>
      <c r="I60" s="16">
        <f>'RC Revenue &amp; billing by plan'!I48*'Model inputs'!AG32+'RC Revenue &amp; billing by plan'!I56*'Model inputs'!AG31</f>
        <v>214.56229330490257</v>
      </c>
      <c r="J60" s="16">
        <f>'RC Revenue &amp; billing by plan'!J48*'Model inputs'!AG32+'RC Revenue &amp; billing by plan'!J56*'Model inputs'!AG31</f>
        <v>244.67742425904197</v>
      </c>
      <c r="K60" s="16">
        <f>'RC Revenue &amp; billing by plan'!K48*'Model inputs'!AG32+'RC Revenue &amp; billing by plan'!K56*'Model inputs'!AG31</f>
        <v>271.05934994538904</v>
      </c>
      <c r="L60" s="16">
        <f>'RC Revenue &amp; billing by plan'!L48*'Model inputs'!AG32+'RC Revenue &amp; billing by plan'!L56*'Model inputs'!AG31</f>
        <v>298.2476900426359</v>
      </c>
      <c r="M60" s="16">
        <f>'RC Revenue &amp; billing by plan'!M48*'Model inputs'!AG32+'RC Revenue &amp; billing by plan'!M56*'Model inputs'!AG31</f>
        <v>326.26199544231343</v>
      </c>
      <c r="N60" s="16">
        <f>'RC Revenue &amp; billing by plan'!N48*'Model inputs'!AG32+'RC Revenue &amp; billing by plan'!N56*'Model inputs'!AG31</f>
        <v>355.12444708191083</v>
      </c>
      <c r="O60" s="16">
        <f>'RC Revenue &amp; billing by plan'!O48*'Model inputs'!AG32+'RC Revenue &amp; billing by plan'!O56*'Model inputs'!AG31</f>
        <v>400.8176681715322</v>
      </c>
      <c r="P60" s="16">
        <f>'RC Revenue &amp; billing by plan'!P48*'Model inputs'!AG32+'RC Revenue &amp; billing by plan'!P56*'Model inputs'!AG31</f>
        <v>444.2096781011634</v>
      </c>
      <c r="Q60" s="16">
        <f>'RC Revenue &amp; billing by plan'!Q48*'Model inputs'!AG32+'RC Revenue &amp; billing by plan'!Q56*'Model inputs'!AG31</f>
        <v>490.79061917253455</v>
      </c>
      <c r="R60" s="16">
        <f>'RC Revenue &amp; billing by plan'!R48*'Model inputs'!AG32+'RC Revenue &amp; billing by plan'!R56*'Model inputs'!AG31</f>
        <v>540.8282309840478</v>
      </c>
      <c r="S60" s="16">
        <f>'RC Revenue &amp; billing by plan'!S48*'Model inputs'!AG32+'RC Revenue &amp; billing by plan'!S56*'Model inputs'!AG31</f>
        <v>594.6269410012845</v>
      </c>
    </row>
  </sheetData>
  <mergeCells count="1">
    <mergeCell ref="A1:S1"/>
  </mergeCells>
</worksheet>
</file>

<file path=xl/worksheets/sheet3.xml><?xml version="1.0" encoding="utf-8"?>
<worksheet xmlns="http://schemas.openxmlformats.org/spreadsheetml/2006/main">
  <dimension ref="A1:AG175"/>
  <sheetViews>
    <sheetView showGridLines="0" workbookViewId="0">
      <pane xSplit="1" ySplit="5" topLeftCell="B6" activePane="bottomRight" state="frozen"/>
      <selection pane="bottomRight" activeCell="B6" sqref="B6"/>
    </sheetView>
  </sheetViews>
  <sheetFormatPr defaultRowHeight="18"/>
  <cols>
    <col min="1" max="1" width="42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  <col min="26" max="26" width="19" customWidth="1"/>
    <col min="27" max="27" width="19" customWidth="1"/>
    <col min="28" max="28" width="19" customWidth="1"/>
    <col min="29" max="29" width="19" customWidth="1"/>
    <col min="30" max="30" width="19" customWidth="1"/>
    <col min="31" max="31" width="19" customWidth="1"/>
    <col min="32" max="32" width="19" customWidth="1"/>
    <col min="33" max="33" width="19" customWidth="1"/>
  </cols>
  <sheetData>
    <row r="1" ht="32" customHeight="1">
      <c r="A1" t="inlineStr" s="1">
        <is>
          <t xml:space="preserve">Model inputs</t>
        </is>
      </c>
    </row>
    <row r="2" ht="20" customHeight="1">
      <c r="A2" t="inlineStr" s="2">
        <is>
          <t xml:space="preserve">Integration values are aggregated snapshots; raw source records are not included.</t>
        </is>
      </c>
    </row>
    <row r="4">
      <c r="A4" t="inlineStr" s="19">
        <is>
          <t xml:space="preserve">Variables</t>
        </is>
      </c>
    </row>
    <row r="5" ht="22" customHeight="1">
      <c r="A5" t="inlineStr" s="3">
        <is>
          <t xml:space="preserve">Variable / segment</t>
        </is>
      </c>
      <c r="B5" t="inlineStr" s="5">
        <is>
          <t xml:space="preserve">2025-10</t>
        </is>
      </c>
      <c r="C5" t="inlineStr" s="4">
        <is>
          <t xml:space="preserve">2025-11</t>
        </is>
      </c>
      <c r="D5" t="inlineStr" s="4">
        <is>
          <t xml:space="preserve">2025-12</t>
        </is>
      </c>
      <c r="E5" t="inlineStr" s="5">
        <is>
          <t xml:space="preserve">2026-01</t>
        </is>
      </c>
      <c r="F5" t="inlineStr" s="4">
        <is>
          <t xml:space="preserve">2026-02</t>
        </is>
      </c>
      <c r="G5" t="inlineStr" s="4">
        <is>
          <t xml:space="preserve">2026-03</t>
        </is>
      </c>
      <c r="H5" t="inlineStr" s="5">
        <is>
          <t xml:space="preserve">2026-04</t>
        </is>
      </c>
      <c r="I5" t="inlineStr" s="4">
        <is>
          <t xml:space="preserve">2026-05</t>
        </is>
      </c>
      <c r="J5" t="inlineStr" s="4">
        <is>
          <t xml:space="preserve">2026-06</t>
        </is>
      </c>
      <c r="K5" t="inlineStr" s="5">
        <is>
          <t xml:space="preserve">2026-07</t>
        </is>
      </c>
      <c r="L5" t="inlineStr" s="4">
        <is>
          <t xml:space="preserve">2026-08</t>
        </is>
      </c>
      <c r="M5" t="inlineStr" s="4">
        <is>
          <t xml:space="preserve">2026-09</t>
        </is>
      </c>
      <c r="N5" t="inlineStr" s="5">
        <is>
          <t xml:space="preserve">2026-10</t>
        </is>
      </c>
      <c r="O5" t="inlineStr" s="4">
        <is>
          <t xml:space="preserve">2026-11</t>
        </is>
      </c>
      <c r="P5" t="inlineStr" s="4">
        <is>
          <t xml:space="preserve">2026-12</t>
        </is>
      </c>
      <c r="Q5" t="inlineStr" s="5">
        <is>
          <t xml:space="preserve">2027-01</t>
        </is>
      </c>
      <c r="R5" t="inlineStr" s="4">
        <is>
          <t xml:space="preserve">2027-02</t>
        </is>
      </c>
      <c r="S5" t="inlineStr" s="4">
        <is>
          <t xml:space="preserve">2027-03</t>
        </is>
      </c>
      <c r="T5" t="inlineStr" s="5">
        <is>
          <t xml:space="preserve">2027-04</t>
        </is>
      </c>
      <c r="U5" t="inlineStr" s="4">
        <is>
          <t xml:space="preserve">2027-05</t>
        </is>
      </c>
      <c r="V5" t="inlineStr" s="4">
        <is>
          <t xml:space="preserve">2027-06</t>
        </is>
      </c>
      <c r="W5" t="inlineStr" s="5">
        <is>
          <t xml:space="preserve">2027-07</t>
        </is>
      </c>
      <c r="X5" t="inlineStr" s="4">
        <is>
          <t xml:space="preserve">2027-08</t>
        </is>
      </c>
      <c r="Y5" t="inlineStr" s="4">
        <is>
          <t xml:space="preserve">2027-09</t>
        </is>
      </c>
      <c r="Z5" t="inlineStr" s="5">
        <is>
          <t xml:space="preserve">2027-10</t>
        </is>
      </c>
      <c r="AA5" t="inlineStr" s="4">
        <is>
          <t xml:space="preserve">2027-11</t>
        </is>
      </c>
      <c r="AB5" t="inlineStr" s="4">
        <is>
          <t xml:space="preserve">2027-12</t>
        </is>
      </c>
      <c r="AC5" t="inlineStr" s="5">
        <is>
          <t xml:space="preserve">2028-01</t>
        </is>
      </c>
      <c r="AD5" t="inlineStr" s="4">
        <is>
          <t xml:space="preserve">2028-02</t>
        </is>
      </c>
      <c r="AE5" t="inlineStr" s="4">
        <is>
          <t xml:space="preserve">2028-03</t>
        </is>
      </c>
      <c r="AF5" t="inlineStr" s="5">
        <is>
          <t xml:space="preserve">2028-04</t>
        </is>
      </c>
      <c r="AG5" t="inlineStr" s="4">
        <is>
          <t xml:space="preserve">Value</t>
        </is>
      </c>
    </row>
    <row r="6">
      <c r="A6" t="inlineStr" s="20">
        <is>
          <t xml:space="preserve">Annual payers</t>
        </is>
      </c>
      <c r="B6" s="8">
        <f>SUM('Model inputs'!B7,'Model inputs'!B8,'Model inputs'!B9)</f>
        <v>0</v>
      </c>
      <c r="C6" s="8">
        <f>SUM('Model inputs'!C7,'Model inputs'!C8,'Model inputs'!C9)</f>
        <v>0</v>
      </c>
      <c r="D6" s="8">
        <f>SUM('Model inputs'!D7,'Model inputs'!D8,'Model inputs'!D9)</f>
        <v>0</v>
      </c>
      <c r="E6" s="8">
        <f>SUM('Model inputs'!E7,'Model inputs'!E8,'Model inputs'!E9)</f>
        <v>0</v>
      </c>
      <c r="F6" s="8">
        <f>SUM('Model inputs'!F7,'Model inputs'!F8,'Model inputs'!F9)</f>
        <v>0</v>
      </c>
      <c r="G6" s="8">
        <f>SUM('Model inputs'!G7,'Model inputs'!G8,'Model inputs'!G9)</f>
        <v>0</v>
      </c>
      <c r="H6" s="8">
        <f>SUM('Model inputs'!H7,'Model inputs'!H8,'Model inputs'!H9)</f>
        <v>0</v>
      </c>
      <c r="I6" s="8">
        <f>SUM('Model inputs'!I7,'Model inputs'!I8,'Model inputs'!I9)</f>
        <v>0</v>
      </c>
      <c r="J6" s="8">
        <f>SUM('Model inputs'!J7,'Model inputs'!J8,'Model inputs'!J9)</f>
        <v>0</v>
      </c>
      <c r="K6" s="8">
        <f>SUM('Model inputs'!K7,'Model inputs'!K8,'Model inputs'!K9)</f>
        <v>0</v>
      </c>
      <c r="L6" s="8">
        <f>SUM('Model inputs'!L7,'Model inputs'!L8,'Model inputs'!L9)</f>
        <v>0</v>
      </c>
      <c r="M6" s="8">
        <f>SUM('Model inputs'!M7,'Model inputs'!M8,'Model inputs'!M9)</f>
        <v>0</v>
      </c>
      <c r="N6" s="8">
        <f>SUM('Model inputs'!N7,'Model inputs'!N8,'Model inputs'!N9)</f>
        <v>0</v>
      </c>
      <c r="O6" s="8">
        <f>SUM('Model inputs'!O7,'Model inputs'!O8,'Model inputs'!O9)</f>
        <v>0</v>
      </c>
      <c r="P6" s="8">
        <f>SUM('Model inputs'!P7,'Model inputs'!P8,'Model inputs'!P9)</f>
        <v>0.6166805555555555</v>
      </c>
      <c r="Q6" s="8">
        <f>SUM('Model inputs'!Q7,'Model inputs'!Q8,'Model inputs'!Q9)</f>
        <v>1.7001509259259258</v>
      </c>
      <c r="R6" s="8">
        <f>SUM('Model inputs'!R7,'Model inputs'!R8,'Model inputs'!R9)</f>
        <v>3.3142262436921293</v>
      </c>
      <c r="S6" s="8">
        <f>SUM('Model inputs'!S7,'Model inputs'!S8,'Model inputs'!S9)</f>
        <v>5.52896673923296</v>
      </c>
      <c r="T6" s="8">
        <f>SUM('Model inputs'!T7,'Model inputs'!T8,'Model inputs'!T9)</f>
        <v>8.421658634455934</v>
      </c>
      <c r="U6" s="8">
        <f>SUM('Model inputs'!U7,'Model inputs'!U8,'Model inputs'!U9)</f>
        <v>12.077888205449133</v>
      </c>
      <c r="V6" s="8">
        <f>SUM('Model inputs'!V7,'Model inputs'!V8,'Model inputs'!V9)</f>
        <v>14.22233257679</v>
      </c>
      <c r="W6" s="8">
        <f>SUM('Model inputs'!W7,'Model inputs'!W8,'Model inputs'!W9)</f>
        <v>16.55400161722904</v>
      </c>
      <c r="X6" s="8">
        <f>SUM('Model inputs'!X7,'Model inputs'!X8,'Model inputs'!X9)</f>
        <v>18.966421257560743</v>
      </c>
      <c r="Y6" s="8">
        <f>SUM('Model inputs'!Y7,'Model inputs'!Y8,'Model inputs'!Y9)</f>
        <v>21.4601414673846</v>
      </c>
      <c r="Z6" s="8">
        <f>SUM('Model inputs'!Z7,'Model inputs'!Z8,'Model inputs'!Z9)</f>
        <v>24.036015921832515</v>
      </c>
      <c r="AA6" s="8">
        <f>SUM('Model inputs'!AA7,'Model inputs'!AA8,'Model inputs'!AA9)</f>
        <v>26.6951921045445</v>
      </c>
      <c r="AB6" s="8">
        <f>SUM('Model inputs'!AB7,'Model inputs'!AB8,'Model inputs'!AB9)</f>
        <v>29.439102592159472</v>
      </c>
      <c r="AC6" s="8">
        <f>SUM('Model inputs'!AC7,'Model inputs'!AC8,'Model inputs'!AC9)</f>
        <v>32.26945745879919</v>
      </c>
      <c r="AD6" s="8">
        <f>SUM('Model inputs'!AD7,'Model inputs'!AD8,'Model inputs'!AD9)</f>
        <v>35.18823774393777</v>
      </c>
      <c r="AE6" s="8">
        <f>SUM('Model inputs'!AE7,'Model inputs'!AE8,'Model inputs'!AE9)</f>
        <v>38.19768993166413</v>
      </c>
      <c r="AF6" s="8">
        <f>SUM('Model inputs'!AF7,'Model inputs'!AF8,'Model inputs'!AF9)</f>
        <v>41.30032139368141</v>
      </c>
    </row>
    <row r="7" outlineLevel="1">
      <c r="A7" t="inlineStr" s="21">
        <is>
          <t xml:space="preserve">Annual payers &gt; Indie</t>
        </is>
      </c>
      <c r="B7" s="10">
        <f>'Model inputs'!B38*'Model inputs'!B24</f>
        <v>0</v>
      </c>
      <c r="C7" s="10">
        <f>'Model inputs'!C38*'Model inputs'!C24</f>
        <v>0</v>
      </c>
      <c r="D7" s="10">
        <f>'Model inputs'!D38*'Model inputs'!D24</f>
        <v>0</v>
      </c>
      <c r="E7" s="10">
        <f>'Model inputs'!E38*'Model inputs'!E24</f>
        <v>0</v>
      </c>
      <c r="F7" s="10">
        <f>'Model inputs'!F38*'Model inputs'!F24</f>
        <v>0</v>
      </c>
      <c r="G7" s="10">
        <f>'Model inputs'!G38*'Model inputs'!G24</f>
        <v>0</v>
      </c>
      <c r="H7" s="10">
        <f>'Model inputs'!H38*'Model inputs'!H24</f>
        <v>0</v>
      </c>
      <c r="I7" s="10">
        <f>'Model inputs'!I38*'Model inputs'!I24</f>
        <v>0</v>
      </c>
      <c r="J7" s="10">
        <f>'Model inputs'!J38*'Model inputs'!J24</f>
        <v>0</v>
      </c>
      <c r="K7" s="10">
        <f>'Model inputs'!K38*'Model inputs'!K24</f>
        <v>0</v>
      </c>
      <c r="L7" s="10">
        <f>'Model inputs'!L38*'Model inputs'!L24</f>
        <v>0</v>
      </c>
      <c r="M7" s="10">
        <f>'Model inputs'!M38*'Model inputs'!M24</f>
        <v>0</v>
      </c>
      <c r="N7" s="10">
        <f>'Model inputs'!N38*'Model inputs'!N24</f>
        <v>0</v>
      </c>
      <c r="O7" s="10">
        <f>'Model inputs'!O38*'Model inputs'!O24</f>
        <v>0</v>
      </c>
      <c r="P7" s="10">
        <f>'Model inputs'!P38*'Model inputs'!P24</f>
        <v>0</v>
      </c>
      <c r="Q7" s="10">
        <f>'Model inputs'!Q38*'Model inputs'!Q24</f>
        <v>0</v>
      </c>
      <c r="R7" s="10">
        <f>'Model inputs'!R38*'Model inputs'!R24</f>
        <v>0</v>
      </c>
      <c r="S7" s="10">
        <f>'Model inputs'!S38*'Model inputs'!S24</f>
        <v>0</v>
      </c>
      <c r="T7" s="10">
        <f>'Model inputs'!T38*'Model inputs'!T24</f>
        <v>0</v>
      </c>
      <c r="U7" s="10">
        <f>'Model inputs'!U38*'Model inputs'!U24</f>
        <v>0</v>
      </c>
      <c r="V7" s="10">
        <f>'Model inputs'!V38*'Model inputs'!V24</f>
        <v>0</v>
      </c>
      <c r="W7" s="10">
        <f>'Model inputs'!W38*'Model inputs'!W24</f>
        <v>0</v>
      </c>
      <c r="X7" s="10">
        <f>'Model inputs'!X38*'Model inputs'!X24</f>
        <v>0</v>
      </c>
      <c r="Y7" s="10">
        <f>'Model inputs'!Y38*'Model inputs'!Y24</f>
        <v>0</v>
      </c>
      <c r="Z7" s="10">
        <f>'Model inputs'!Z38*'Model inputs'!Z24</f>
        <v>0</v>
      </c>
      <c r="AA7" s="10">
        <f>'Model inputs'!AA38*'Model inputs'!AA24</f>
        <v>0</v>
      </c>
      <c r="AB7" s="10">
        <f>'Model inputs'!AB38*'Model inputs'!AB24</f>
        <v>0</v>
      </c>
      <c r="AC7" s="10">
        <f>'Model inputs'!AC38*'Model inputs'!AC24</f>
        <v>0</v>
      </c>
      <c r="AD7" s="10">
        <f>'Model inputs'!AD38*'Model inputs'!AD24</f>
        <v>0</v>
      </c>
      <c r="AE7" s="10">
        <f>'Model inputs'!AE38*'Model inputs'!AE24</f>
        <v>0</v>
      </c>
      <c r="AF7" s="10">
        <f>'Model inputs'!AF38*'Model inputs'!AF24</f>
        <v>0</v>
      </c>
    </row>
    <row r="8" outlineLevel="1">
      <c r="A8" t="inlineStr" s="21">
        <is>
          <t xml:space="preserve">Annual payers &gt; Launch</t>
        </is>
      </c>
      <c r="B8" s="10">
        <f>'Model inputs'!B39*'Model inputs'!B25</f>
        <v>0</v>
      </c>
      <c r="C8" s="10">
        <f>'Model inputs'!C39*'Model inputs'!C25</f>
        <v>0</v>
      </c>
      <c r="D8" s="10">
        <f>'Model inputs'!D39*'Model inputs'!D25</f>
        <v>0</v>
      </c>
      <c r="E8" s="10">
        <f>'Model inputs'!E39*'Model inputs'!E25</f>
        <v>0</v>
      </c>
      <c r="F8" s="10">
        <f>'Model inputs'!F39*'Model inputs'!F25</f>
        <v>0</v>
      </c>
      <c r="G8" s="10">
        <f>'Model inputs'!G39*'Model inputs'!G25</f>
        <v>0</v>
      </c>
      <c r="H8" s="10">
        <f>'Model inputs'!H39*'Model inputs'!H25</f>
        <v>0</v>
      </c>
      <c r="I8" s="10">
        <f>'Model inputs'!I39*'Model inputs'!I25</f>
        <v>0</v>
      </c>
      <c r="J8" s="10">
        <f>'Model inputs'!J39*'Model inputs'!J25</f>
        <v>0</v>
      </c>
      <c r="K8" s="10">
        <f>'Model inputs'!K39*'Model inputs'!K25</f>
        <v>0</v>
      </c>
      <c r="L8" s="10">
        <f>'Model inputs'!L39*'Model inputs'!L25</f>
        <v>0</v>
      </c>
      <c r="M8" s="10">
        <f>'Model inputs'!M39*'Model inputs'!M25</f>
        <v>0</v>
      </c>
      <c r="N8" s="10">
        <f>'Model inputs'!N39*'Model inputs'!N25</f>
        <v>0</v>
      </c>
      <c r="O8" s="10">
        <f>'Model inputs'!O39*'Model inputs'!O25</f>
        <v>0</v>
      </c>
      <c r="P8" s="10">
        <f>'Model inputs'!P39*'Model inputs'!P25</f>
        <v>0.08808333333333332</v>
      </c>
      <c r="Q8" s="10">
        <f>'Model inputs'!Q39*'Model inputs'!Q25</f>
        <v>0.23626247685185178</v>
      </c>
      <c r="R8" s="10">
        <f>'Model inputs'!R39*'Model inputs'!R25</f>
        <v>0.4457271123553239</v>
      </c>
      <c r="S8" s="10">
        <f>'Model inputs'!S39*'Model inputs'!S25</f>
        <v>0.7179910471785299</v>
      </c>
      <c r="T8" s="10">
        <f>'Model inputs'!T39*'Model inputs'!T25</f>
        <v>1.0549169752346819</v>
      </c>
      <c r="U8" s="10">
        <f>'Model inputs'!U39*'Model inputs'!U25</f>
        <v>1.4587455730235</v>
      </c>
      <c r="V8" s="10">
        <f>'Model inputs'!V39*'Model inputs'!V25</f>
        <v>1.6561108170632544</v>
      </c>
      <c r="W8" s="10">
        <f>'Model inputs'!W39*'Model inputs'!W25</f>
        <v>1.8586284121395003</v>
      </c>
      <c r="X8" s="10">
        <f>'Model inputs'!X39*'Model inputs'!X25</f>
        <v>2.066979707645281</v>
      </c>
      <c r="Y8" s="10">
        <f>'Model inputs'!Y39*'Model inputs'!Y25</f>
        <v>2.281389351821916</v>
      </c>
      <c r="Z8" s="10">
        <f>'Model inputs'!Z39*'Model inputs'!Z25</f>
        <v>2.502079978692765</v>
      </c>
      <c r="AA8" s="10">
        <f>'Model inputs'!AA39*'Model inputs'!AA25</f>
        <v>2.7292735121087897</v>
      </c>
      <c r="AB8" s="10">
        <f>'Model inputs'!AB39*'Model inputs'!AB25</f>
        <v>2.9631924035623065</v>
      </c>
      <c r="AC8" s="10">
        <f>'Model inputs'!AC39*'Model inputs'!AC25</f>
        <v>3.20406080996136</v>
      </c>
      <c r="AD8" s="10">
        <f>'Model inputs'!AD39*'Model inputs'!AD25</f>
        <v>3.4521057171820972</v>
      </c>
      <c r="AE8" s="10">
        <f>'Model inputs'!AE39*'Model inputs'!AE25</f>
        <v>3.7075580148691807</v>
      </c>
      <c r="AF8" s="10">
        <f>'Model inputs'!AF39*'Model inputs'!AF25</f>
        <v>3.970653527632789</v>
      </c>
    </row>
    <row r="9" outlineLevel="1">
      <c r="A9" t="inlineStr" s="21">
        <is>
          <t xml:space="preserve">Annual payers &gt; Team</t>
        </is>
      </c>
      <c r="B9" s="10">
        <f>'Model inputs'!B40*'Model inputs'!B26</f>
        <v>0</v>
      </c>
      <c r="C9" s="10">
        <f>'Model inputs'!C40*'Model inputs'!C26</f>
        <v>0</v>
      </c>
      <c r="D9" s="10">
        <f>'Model inputs'!D40*'Model inputs'!D26</f>
        <v>0</v>
      </c>
      <c r="E9" s="10">
        <f>'Model inputs'!E40*'Model inputs'!E26</f>
        <v>0</v>
      </c>
      <c r="F9" s="10">
        <f>'Model inputs'!F40*'Model inputs'!F26</f>
        <v>0</v>
      </c>
      <c r="G9" s="10">
        <f>'Model inputs'!G40*'Model inputs'!G26</f>
        <v>0</v>
      </c>
      <c r="H9" s="10">
        <f>'Model inputs'!H40*'Model inputs'!H26</f>
        <v>0</v>
      </c>
      <c r="I9" s="10">
        <f>'Model inputs'!I40*'Model inputs'!I26</f>
        <v>0</v>
      </c>
      <c r="J9" s="10">
        <f>'Model inputs'!J40*'Model inputs'!J26</f>
        <v>0</v>
      </c>
      <c r="K9" s="10">
        <f>'Model inputs'!K40*'Model inputs'!K26</f>
        <v>0</v>
      </c>
      <c r="L9" s="10">
        <f>'Model inputs'!L40*'Model inputs'!L26</f>
        <v>0</v>
      </c>
      <c r="M9" s="10">
        <f>'Model inputs'!M40*'Model inputs'!M26</f>
        <v>0</v>
      </c>
      <c r="N9" s="10">
        <f>'Model inputs'!N40*'Model inputs'!N26</f>
        <v>0</v>
      </c>
      <c r="O9" s="10">
        <f>'Model inputs'!O40*'Model inputs'!O26</f>
        <v>0</v>
      </c>
      <c r="P9" s="10">
        <f>'Model inputs'!P40*'Model inputs'!P26</f>
        <v>0.5285972222222222</v>
      </c>
      <c r="Q9" s="10">
        <f>'Model inputs'!Q40*'Model inputs'!Q26</f>
        <v>1.463888449074074</v>
      </c>
      <c r="R9" s="10">
        <f>'Model inputs'!R40*'Model inputs'!R26</f>
        <v>2.8684991313368053</v>
      </c>
      <c r="S9" s="10">
        <f>'Model inputs'!S40*'Model inputs'!S26</f>
        <v>4.81097569205443</v>
      </c>
      <c r="T9" s="10">
        <f>'Model inputs'!T40*'Model inputs'!T26</f>
        <v>7.366741659221253</v>
      </c>
      <c r="U9" s="10">
        <f>'Model inputs'!U40*'Model inputs'!U26</f>
        <v>10.619142632425634</v>
      </c>
      <c r="V9" s="10">
        <f>'Model inputs'!V40*'Model inputs'!V26</f>
        <v>12.566221759726746</v>
      </c>
      <c r="W9" s="10">
        <f>'Model inputs'!W40*'Model inputs'!W26</f>
        <v>14.69537320508954</v>
      </c>
      <c r="X9" s="10">
        <f>'Model inputs'!X40*'Model inputs'!X26</f>
        <v>16.899441549915462</v>
      </c>
      <c r="Y9" s="10">
        <f>'Model inputs'!Y40*'Model inputs'!Y26</f>
        <v>19.178752115562684</v>
      </c>
      <c r="Z9" s="10">
        <f>'Model inputs'!Z40*'Model inputs'!Z26</f>
        <v>21.53393594313975</v>
      </c>
      <c r="AA9" s="10">
        <f>'Model inputs'!AA40*'Model inputs'!AA26</f>
        <v>23.96591859243571</v>
      </c>
      <c r="AB9" s="10">
        <f>'Model inputs'!AB40*'Model inputs'!AB26</f>
        <v>26.475910188597165</v>
      </c>
      <c r="AC9" s="10">
        <f>'Model inputs'!AC40*'Model inputs'!AC26</f>
        <v>29.065396648837826</v>
      </c>
      <c r="AD9" s="10">
        <f>'Model inputs'!AD40*'Model inputs'!AD26</f>
        <v>31.736132026755673</v>
      </c>
      <c r="AE9" s="10">
        <f>'Model inputs'!AE40*'Model inputs'!AE26</f>
        <v>34.49013191679495</v>
      </c>
      <c r="AF9" s="10">
        <f>'Model inputs'!AF40*'Model inputs'!AF26</f>
        <v>37.32966786604862</v>
      </c>
    </row>
    <row r="10">
      <c r="A10" t="inlineStr" s="20">
        <is>
          <t xml:space="preserve">Annual price</t>
        </is>
      </c>
      <c r="AG10" s="15">
        <v>0</v>
      </c>
    </row>
    <row r="11" outlineLevel="1">
      <c r="A11" t="inlineStr" s="21">
        <is>
          <t xml:space="preserve">Annual price &gt; Indie</t>
        </is>
      </c>
      <c r="AG11" s="16">
        <f>290</f>
        <v>290</v>
      </c>
    </row>
    <row r="12" outlineLevel="1">
      <c r="A12" t="inlineStr" s="21">
        <is>
          <t xml:space="preserve">Annual price &gt; Launch</t>
        </is>
      </c>
      <c r="AG12" s="16">
        <f>4990</f>
        <v>4990</v>
      </c>
    </row>
    <row r="13" outlineLevel="1">
      <c r="A13" t="inlineStr" s="21">
        <is>
          <t xml:space="preserve">Annual price &gt; Team</t>
        </is>
      </c>
      <c r="AG13" s="16">
        <f>1490</f>
        <v>1490</v>
      </c>
    </row>
    <row r="14">
      <c r="A14" t="inlineStr" s="20">
        <is>
          <t xml:space="preserve">Annual renewals</t>
        </is>
      </c>
      <c r="B14" s="8">
        <f>SUM('Model inputs'!B15,'Model inputs'!B16,'Model inputs'!B17)</f>
        <v>0</v>
      </c>
      <c r="C14" s="8">
        <f>SUM('Model inputs'!C15,'Model inputs'!C16,'Model inputs'!C17)</f>
        <v>0</v>
      </c>
      <c r="D14" s="8">
        <f>SUM('Model inputs'!D15,'Model inputs'!D16,'Model inputs'!D17)</f>
        <v>0</v>
      </c>
      <c r="E14" s="8">
        <f>SUM('Model inputs'!E15,'Model inputs'!E16,'Model inputs'!E17)</f>
        <v>0</v>
      </c>
      <c r="F14" s="8">
        <f>SUM('Model inputs'!F15,'Model inputs'!F16,'Model inputs'!F17)</f>
        <v>0</v>
      </c>
      <c r="G14" s="8">
        <f>SUM('Model inputs'!G15,'Model inputs'!G16,'Model inputs'!G17)</f>
        <v>0</v>
      </c>
      <c r="H14" s="8">
        <f>SUM('Model inputs'!H15,'Model inputs'!H16,'Model inputs'!H17)</f>
        <v>0</v>
      </c>
      <c r="I14" s="8">
        <f>SUM('Model inputs'!I15,'Model inputs'!I16,'Model inputs'!I17)</f>
        <v>0</v>
      </c>
      <c r="J14" s="8">
        <f>SUM('Model inputs'!J15,'Model inputs'!J16,'Model inputs'!J17)</f>
        <v>0</v>
      </c>
      <c r="K14" s="8">
        <f>SUM('Model inputs'!K15,'Model inputs'!K16,'Model inputs'!K17)</f>
        <v>0</v>
      </c>
      <c r="L14" s="8">
        <f>SUM('Model inputs'!L15,'Model inputs'!L16,'Model inputs'!L17)</f>
        <v>0</v>
      </c>
      <c r="M14" s="8">
        <f>SUM('Model inputs'!M15,'Model inputs'!M16,'Model inputs'!M17)</f>
        <v>0</v>
      </c>
      <c r="N14" s="8">
        <f>SUM('Model inputs'!N15,'Model inputs'!N16,'Model inputs'!N17)</f>
        <v>0</v>
      </c>
      <c r="O14" s="8">
        <f>SUM('Model inputs'!O15,'Model inputs'!O16,'Model inputs'!O17)</f>
        <v>0</v>
      </c>
      <c r="P14" s="8">
        <f>SUM('Model inputs'!P15,'Model inputs'!P16,'Model inputs'!P17)</f>
        <v>0</v>
      </c>
      <c r="Q14" s="8">
        <f>SUM('Model inputs'!Q15,'Model inputs'!Q16,'Model inputs'!Q17)</f>
        <v>0</v>
      </c>
      <c r="R14" s="8">
        <f>SUM('Model inputs'!R15,'Model inputs'!R16,'Model inputs'!R17)</f>
        <v>0</v>
      </c>
      <c r="S14" s="8">
        <f>SUM('Model inputs'!S15,'Model inputs'!S16,'Model inputs'!S17)</f>
        <v>0</v>
      </c>
      <c r="T14" s="8">
        <f>SUM('Model inputs'!T15,'Model inputs'!T16,'Model inputs'!T17)</f>
        <v>0</v>
      </c>
      <c r="U14" s="8">
        <f>SUM('Model inputs'!U15,'Model inputs'!U16,'Model inputs'!U17)</f>
        <v>0</v>
      </c>
      <c r="V14" s="8">
        <f>SUM('Model inputs'!V15,'Model inputs'!V16,'Model inputs'!V17)</f>
        <v>0</v>
      </c>
      <c r="W14" s="8">
        <f>SUM('Model inputs'!W15,'Model inputs'!W16,'Model inputs'!W17)</f>
        <v>0</v>
      </c>
      <c r="X14" s="8">
        <f>SUM('Model inputs'!X15,'Model inputs'!X16,'Model inputs'!X17)</f>
        <v>0</v>
      </c>
      <c r="Y14" s="8">
        <f>SUM('Model inputs'!Y15,'Model inputs'!Y16,'Model inputs'!Y17)</f>
        <v>0</v>
      </c>
      <c r="Z14" s="8">
        <f>SUM('Model inputs'!Z15,'Model inputs'!Z16,'Model inputs'!Z17)</f>
        <v>0</v>
      </c>
      <c r="AA14" s="8">
        <f>SUM('Model inputs'!AA15,'Model inputs'!AA16,'Model inputs'!AA17)</f>
        <v>0</v>
      </c>
      <c r="AB14" s="8">
        <f>SUM('Model inputs'!AB15,'Model inputs'!AB16,'Model inputs'!AB17)</f>
        <v>0.44023626889365564</v>
      </c>
      <c r="AC14" s="8">
        <f>SUM('Model inputs'!AC15,'Model inputs'!AC16,'Model inputs'!AC17)</f>
        <v>0.7846506249110148</v>
      </c>
      <c r="AD14" s="8">
        <f>SUM('Model inputs'!AD15,'Model inputs'!AD16,'Model inputs'!AD17)</f>
        <v>1.1827268865760097</v>
      </c>
      <c r="AE14" s="8">
        <f>SUM('Model inputs'!AE15,'Model inputs'!AE16,'Model inputs'!AE17)</f>
        <v>1.640162089726508</v>
      </c>
      <c r="AF14" s="8">
        <f>SUM('Model inputs'!AF15,'Model inputs'!AF16,'Model inputs'!AF17)</f>
        <v>2.163464631632885</v>
      </c>
    </row>
    <row r="15" outlineLevel="1">
      <c r="A15" t="inlineStr" s="21">
        <is>
          <t xml:space="preserve">Annual renewals &gt; Indie</t>
        </is>
      </c>
      <c r="B15" s="10">
        <f>0*(1-'Model inputs'!AG57)^12</f>
        <v>0</v>
      </c>
      <c r="C15" s="10">
        <f>0*(1-'Model inputs'!AG57)^12</f>
        <v>0</v>
      </c>
      <c r="D15" s="10">
        <f>0*(1-'Model inputs'!AG57)^12</f>
        <v>0</v>
      </c>
      <c r="E15" s="10">
        <f>0*(1-'Model inputs'!AG57)^12</f>
        <v>0</v>
      </c>
      <c r="F15" s="10">
        <f>0*(1-'Model inputs'!AG57)^12</f>
        <v>0</v>
      </c>
      <c r="G15" s="10">
        <f>0*(1-'Model inputs'!AG57)^12</f>
        <v>0</v>
      </c>
      <c r="H15" s="10">
        <f>0*(1-'Model inputs'!AG57)^12</f>
        <v>0</v>
      </c>
      <c r="I15" s="10">
        <f>0*(1-'Model inputs'!AG57)^12</f>
        <v>0</v>
      </c>
      <c r="J15" s="10">
        <f>0*(1-'Model inputs'!AG57)^12</f>
        <v>0</v>
      </c>
      <c r="K15" s="10">
        <f>0*(1-'Model inputs'!AG57)^12</f>
        <v>0</v>
      </c>
      <c r="L15" s="10">
        <f>0*(1-'Model inputs'!AG57)^12</f>
        <v>0</v>
      </c>
      <c r="M15" s="10">
        <f>0*(1-'Model inputs'!AG57)^12</f>
        <v>0</v>
      </c>
      <c r="N15" s="10">
        <f>'Model inputs'!B65*(1-'Model inputs'!AG57)^12</f>
        <v>0</v>
      </c>
      <c r="O15" s="10">
        <f>'Model inputs'!C65*(1-'Model inputs'!AG57)^12</f>
        <v>0</v>
      </c>
      <c r="P15" s="10">
        <f>'Model inputs'!D65*(1-'Model inputs'!AG57)^12</f>
        <v>0</v>
      </c>
      <c r="Q15" s="10">
        <f>'Model inputs'!E65*(1-'Model inputs'!AG57)^12</f>
        <v>0</v>
      </c>
      <c r="R15" s="10">
        <f>'Model inputs'!F65*(1-'Model inputs'!AG57)^12</f>
        <v>0</v>
      </c>
      <c r="S15" s="10">
        <f>'Model inputs'!G65*(1-'Model inputs'!AG57)^12</f>
        <v>0</v>
      </c>
      <c r="T15" s="10">
        <f>'Model inputs'!H65*(1-'Model inputs'!AG57)^12</f>
        <v>0</v>
      </c>
      <c r="U15" s="10">
        <f>'Model inputs'!I65*(1-'Model inputs'!AG57)^12</f>
        <v>0</v>
      </c>
      <c r="V15" s="10">
        <f>'Model inputs'!J65*(1-'Model inputs'!AG57)^12</f>
        <v>0</v>
      </c>
      <c r="W15" s="10">
        <f>'Model inputs'!K65*(1-'Model inputs'!AG57)^12</f>
        <v>0</v>
      </c>
      <c r="X15" s="10">
        <f>'Model inputs'!L65*(1-'Model inputs'!AG57)^12</f>
        <v>0</v>
      </c>
      <c r="Y15" s="10">
        <f>'Model inputs'!M65*(1-'Model inputs'!AG57)^12</f>
        <v>0</v>
      </c>
      <c r="Z15" s="10">
        <f>'Model inputs'!N65*(1-'Model inputs'!AG57)^12</f>
        <v>0</v>
      </c>
      <c r="AA15" s="10">
        <f>'Model inputs'!O65*(1-'Model inputs'!AG57)^12</f>
        <v>0</v>
      </c>
      <c r="AB15" s="10">
        <f>'Model inputs'!P65*(1-'Model inputs'!AG57)^12</f>
        <v>0</v>
      </c>
      <c r="AC15" s="10">
        <f>'Model inputs'!Q65*(1-'Model inputs'!AG57)^12</f>
        <v>0</v>
      </c>
      <c r="AD15" s="10">
        <f>'Model inputs'!R65*(1-'Model inputs'!AG57)^12</f>
        <v>0</v>
      </c>
      <c r="AE15" s="10">
        <f>'Model inputs'!S65*(1-'Model inputs'!AG57)^12</f>
        <v>0</v>
      </c>
      <c r="AF15" s="10">
        <f>'Model inputs'!T65*(1-'Model inputs'!AG57)^12</f>
        <v>0</v>
      </c>
    </row>
    <row r="16" outlineLevel="1">
      <c r="A16" t="inlineStr" s="21">
        <is>
          <t xml:space="preserve">Annual renewals &gt; Launch</t>
        </is>
      </c>
      <c r="B16" s="10">
        <f>0*(1-'Model inputs'!AG58)^12</f>
        <v>0</v>
      </c>
      <c r="C16" s="10">
        <f>0*(1-'Model inputs'!AG58)^12</f>
        <v>0</v>
      </c>
      <c r="D16" s="10">
        <f>0*(1-'Model inputs'!AG58)^12</f>
        <v>0</v>
      </c>
      <c r="E16" s="10">
        <f>0*(1-'Model inputs'!AG58)^12</f>
        <v>0</v>
      </c>
      <c r="F16" s="10">
        <f>0*(1-'Model inputs'!AG58)^12</f>
        <v>0</v>
      </c>
      <c r="G16" s="10">
        <f>0*(1-'Model inputs'!AG58)^12</f>
        <v>0</v>
      </c>
      <c r="H16" s="10">
        <f>0*(1-'Model inputs'!AG58)^12</f>
        <v>0</v>
      </c>
      <c r="I16" s="10">
        <f>0*(1-'Model inputs'!AG58)^12</f>
        <v>0</v>
      </c>
      <c r="J16" s="10">
        <f>0*(1-'Model inputs'!AG58)^12</f>
        <v>0</v>
      </c>
      <c r="K16" s="10">
        <f>0*(1-'Model inputs'!AG58)^12</f>
        <v>0</v>
      </c>
      <c r="L16" s="10">
        <f>0*(1-'Model inputs'!AG58)^12</f>
        <v>0</v>
      </c>
      <c r="M16" s="10">
        <f>0*(1-'Model inputs'!AG58)^12</f>
        <v>0</v>
      </c>
      <c r="N16" s="10">
        <f>'Model inputs'!B66*(1-'Model inputs'!AG58)^12</f>
        <v>0</v>
      </c>
      <c r="O16" s="10">
        <f>'Model inputs'!C66*(1-'Model inputs'!AG58)^12</f>
        <v>0</v>
      </c>
      <c r="P16" s="10">
        <f>'Model inputs'!D66*(1-'Model inputs'!AG58)^12</f>
        <v>0</v>
      </c>
      <c r="Q16" s="10">
        <f>'Model inputs'!E66*(1-'Model inputs'!AG58)^12</f>
        <v>0</v>
      </c>
      <c r="R16" s="10">
        <f>'Model inputs'!F66*(1-'Model inputs'!AG58)^12</f>
        <v>0</v>
      </c>
      <c r="S16" s="10">
        <f>'Model inputs'!G66*(1-'Model inputs'!AG58)^12</f>
        <v>0</v>
      </c>
      <c r="T16" s="10">
        <f>'Model inputs'!H66*(1-'Model inputs'!AG58)^12</f>
        <v>0</v>
      </c>
      <c r="U16" s="10">
        <f>'Model inputs'!I66*(1-'Model inputs'!AG58)^12</f>
        <v>0</v>
      </c>
      <c r="V16" s="10">
        <f>'Model inputs'!J66*(1-'Model inputs'!AG58)^12</f>
        <v>0</v>
      </c>
      <c r="W16" s="10">
        <f>'Model inputs'!K66*(1-'Model inputs'!AG58)^12</f>
        <v>0</v>
      </c>
      <c r="X16" s="10">
        <f>'Model inputs'!L66*(1-'Model inputs'!AG58)^12</f>
        <v>0</v>
      </c>
      <c r="Y16" s="10">
        <f>'Model inputs'!M66*(1-'Model inputs'!AG58)^12</f>
        <v>0</v>
      </c>
      <c r="Z16" s="10">
        <f>'Model inputs'!N66*(1-'Model inputs'!AG58)^12</f>
        <v>0</v>
      </c>
      <c r="AA16" s="10">
        <f>'Model inputs'!O66*(1-'Model inputs'!AG58)^12</f>
        <v>0</v>
      </c>
      <c r="AB16" s="10">
        <f>'Model inputs'!P66*(1-'Model inputs'!AG58)^12</f>
        <v>0.0734731242113589</v>
      </c>
      <c r="AC16" s="10">
        <f>'Model inputs'!Q66*(1-'Model inputs'!AG58)^12</f>
        <v>0.12470305751333749</v>
      </c>
      <c r="AD16" s="10">
        <f>'Model inputs'!R66*(1-'Model inputs'!AG58)^12</f>
        <v>0.17767725998323847</v>
      </c>
      <c r="AE16" s="10">
        <f>'Model inputs'!S66*(1-'Model inputs'!AG58)^12</f>
        <v>0.2326809803658907</v>
      </c>
      <c r="AF16" s="10">
        <f>'Model inputs'!T66*(1-'Model inputs'!AG58)^12</f>
        <v>0.290024176836067</v>
      </c>
    </row>
    <row r="17" outlineLevel="1">
      <c r="A17" t="inlineStr" s="21">
        <is>
          <t xml:space="preserve">Annual renewals &gt; Team</t>
        </is>
      </c>
      <c r="B17" s="10">
        <f>0*(1-'Model inputs'!AG59)^12</f>
        <v>0</v>
      </c>
      <c r="C17" s="10">
        <f>0*(1-'Model inputs'!AG59)^12</f>
        <v>0</v>
      </c>
      <c r="D17" s="10">
        <f>0*(1-'Model inputs'!AG59)^12</f>
        <v>0</v>
      </c>
      <c r="E17" s="10">
        <f>0*(1-'Model inputs'!AG59)^12</f>
        <v>0</v>
      </c>
      <c r="F17" s="10">
        <f>0*(1-'Model inputs'!AG59)^12</f>
        <v>0</v>
      </c>
      <c r="G17" s="10">
        <f>0*(1-'Model inputs'!AG59)^12</f>
        <v>0</v>
      </c>
      <c r="H17" s="10">
        <f>0*(1-'Model inputs'!AG59)^12</f>
        <v>0</v>
      </c>
      <c r="I17" s="10">
        <f>0*(1-'Model inputs'!AG59)^12</f>
        <v>0</v>
      </c>
      <c r="J17" s="10">
        <f>0*(1-'Model inputs'!AG59)^12</f>
        <v>0</v>
      </c>
      <c r="K17" s="10">
        <f>0*(1-'Model inputs'!AG59)^12</f>
        <v>0</v>
      </c>
      <c r="L17" s="10">
        <f>0*(1-'Model inputs'!AG59)^12</f>
        <v>0</v>
      </c>
      <c r="M17" s="10">
        <f>0*(1-'Model inputs'!AG59)^12</f>
        <v>0</v>
      </c>
      <c r="N17" s="10">
        <f>'Model inputs'!B67*(1-'Model inputs'!AG59)^12</f>
        <v>0</v>
      </c>
      <c r="O17" s="10">
        <f>'Model inputs'!C67*(1-'Model inputs'!AG59)^12</f>
        <v>0</v>
      </c>
      <c r="P17" s="10">
        <f>'Model inputs'!D67*(1-'Model inputs'!AG59)^12</f>
        <v>0</v>
      </c>
      <c r="Q17" s="10">
        <f>'Model inputs'!E67*(1-'Model inputs'!AG59)^12</f>
        <v>0</v>
      </c>
      <c r="R17" s="10">
        <f>'Model inputs'!F67*(1-'Model inputs'!AG59)^12</f>
        <v>0</v>
      </c>
      <c r="S17" s="10">
        <f>'Model inputs'!G67*(1-'Model inputs'!AG59)^12</f>
        <v>0</v>
      </c>
      <c r="T17" s="10">
        <f>'Model inputs'!H67*(1-'Model inputs'!AG59)^12</f>
        <v>0</v>
      </c>
      <c r="U17" s="10">
        <f>'Model inputs'!I67*(1-'Model inputs'!AG59)^12</f>
        <v>0</v>
      </c>
      <c r="V17" s="10">
        <f>'Model inputs'!J67*(1-'Model inputs'!AG59)^12</f>
        <v>0</v>
      </c>
      <c r="W17" s="10">
        <f>'Model inputs'!K67*(1-'Model inputs'!AG59)^12</f>
        <v>0</v>
      </c>
      <c r="X17" s="10">
        <f>'Model inputs'!L67*(1-'Model inputs'!AG59)^12</f>
        <v>0</v>
      </c>
      <c r="Y17" s="10">
        <f>'Model inputs'!M67*(1-'Model inputs'!AG59)^12</f>
        <v>0</v>
      </c>
      <c r="Z17" s="10">
        <f>'Model inputs'!N67*(1-'Model inputs'!AG59)^12</f>
        <v>0</v>
      </c>
      <c r="AA17" s="10">
        <f>'Model inputs'!O67*(1-'Model inputs'!AG59)^12</f>
        <v>0</v>
      </c>
      <c r="AB17" s="10">
        <f>'Model inputs'!P67*(1-'Model inputs'!AG59)^12</f>
        <v>0.3667631446822967</v>
      </c>
      <c r="AC17" s="10">
        <f>'Model inputs'!Q67*(1-'Model inputs'!AG59)^12</f>
        <v>0.6599475673976773</v>
      </c>
      <c r="AD17" s="10">
        <f>'Model inputs'!R67*(1-'Model inputs'!AG59)^12</f>
        <v>1.0050496265927713</v>
      </c>
      <c r="AE17" s="10">
        <f>'Model inputs'!S67*(1-'Model inputs'!AG59)^12</f>
        <v>1.4074811093606172</v>
      </c>
      <c r="AF17" s="10">
        <f>'Model inputs'!T67*(1-'Model inputs'!AG59)^12</f>
        <v>1.873440454796818</v>
      </c>
    </row>
    <row r="18">
      <c r="A18" t="inlineStr" s="20">
        <is>
          <t xml:space="preserve">Annual upgrade rate to next plan</t>
        </is>
      </c>
      <c r="AG18" s="13">
        <v>0</v>
      </c>
    </row>
    <row r="19" outlineLevel="1">
      <c r="A19" t="inlineStr" s="21">
        <is>
          <t xml:space="preserve">Annual upgrade rate to next plan &gt; Indie</t>
        </is>
      </c>
      <c r="AG19" s="14">
        <f>0.08</f>
        <v>0.08</v>
      </c>
    </row>
    <row r="20" outlineLevel="1">
      <c r="A20" t="inlineStr" s="21">
        <is>
          <t xml:space="preserve">Annual upgrade rate to next plan &gt; Launch</t>
        </is>
      </c>
      <c r="AG20" s="14">
        <f>0</f>
        <v>0</v>
      </c>
    </row>
    <row r="21" outlineLevel="1">
      <c r="A21" t="inlineStr" s="21">
        <is>
          <t xml:space="preserve">Annual upgrade rate to next plan &gt; Team</t>
        </is>
      </c>
      <c r="AG21" s="14">
        <f>0.05</f>
        <v>0.05</v>
      </c>
    </row>
    <row r="22">
      <c r="A22" t="inlineStr" s="20">
        <is>
          <t xml:space="preserve">Annual-mix ramp months</t>
        </is>
      </c>
      <c r="AG22" s="17">
        <f>6</f>
        <v>6</v>
      </c>
    </row>
    <row r="23">
      <c r="A23" t="inlineStr" s="20">
        <is>
          <t xml:space="preserve">Annual-pay share</t>
        </is>
      </c>
      <c r="B23" s="13">
        <f>IFERROR('Model inputs'!B6/'Model inputs'!B37,0)</f>
        <v>0</v>
      </c>
      <c r="C23" s="13">
        <f>IFERROR('Model inputs'!C6/'Model inputs'!C37,0)</f>
        <v>0</v>
      </c>
      <c r="D23" s="13">
        <f>IFERROR('Model inputs'!D6/'Model inputs'!D37,0)</f>
        <v>0</v>
      </c>
      <c r="E23" s="13">
        <f>IFERROR('Model inputs'!E6/'Model inputs'!E37,0)</f>
        <v>0</v>
      </c>
      <c r="F23" s="13">
        <f>IFERROR('Model inputs'!F6/'Model inputs'!F37,0)</f>
        <v>0</v>
      </c>
      <c r="G23" s="13">
        <f>IFERROR('Model inputs'!G6/'Model inputs'!G37,0)</f>
        <v>0</v>
      </c>
      <c r="H23" s="13">
        <f>IFERROR('Model inputs'!H6/'Model inputs'!H37,0)</f>
        <v>0</v>
      </c>
      <c r="I23" s="13">
        <f>IFERROR('Model inputs'!I6/'Model inputs'!I37,0)</f>
        <v>0</v>
      </c>
      <c r="J23" s="13">
        <f>IFERROR('Model inputs'!J6/'Model inputs'!J37,0)</f>
        <v>0</v>
      </c>
      <c r="K23" s="13">
        <f>IFERROR('Model inputs'!K6/'Model inputs'!K37,0)</f>
        <v>0</v>
      </c>
      <c r="L23" s="13">
        <f>IFERROR('Model inputs'!L6/'Model inputs'!L37,0)</f>
        <v>0</v>
      </c>
      <c r="M23" s="13">
        <f>IFERROR('Model inputs'!M6/'Model inputs'!M37,0)</f>
        <v>0</v>
      </c>
      <c r="N23" s="13">
        <f>IFERROR('Model inputs'!N6/'Model inputs'!N37,0)</f>
        <v>0</v>
      </c>
      <c r="O23" s="13">
        <f>IFERROR('Model inputs'!O6/'Model inputs'!O37,0)</f>
        <v>0</v>
      </c>
      <c r="P23" s="13">
        <f>IFERROR('Model inputs'!P6/'Model inputs'!P37,0)</f>
        <v>0.007263183034633478</v>
      </c>
      <c r="Q23" s="13">
        <f>IFERROR('Model inputs'!Q6/'Model inputs'!Q37,0)</f>
        <v>0.015323508464819228</v>
      </c>
      <c r="R23" s="13">
        <f>IFERROR('Model inputs'!R6/'Model inputs'!R37,0)</f>
        <v>0.02400725503608828</v>
      </c>
      <c r="S23" s="13">
        <f>IFERROR('Model inputs'!S6/'Model inputs'!S37,0)</f>
        <v>0.033234927811073615</v>
      </c>
      <c r="T23" s="13">
        <f>IFERROR('Model inputs'!T6/'Model inputs'!T37,0)</f>
        <v>0.04295886472009173</v>
      </c>
      <c r="U23" s="13">
        <f>IFERROR('Model inputs'!U6/'Model inputs'!U37,0)</f>
        <v>0.053145012246386104</v>
      </c>
      <c r="V23" s="13">
        <f>IFERROR('Model inputs'!V6/'Model inputs'!V37,0)</f>
        <v>0.054656837336832895</v>
      </c>
      <c r="W23" s="13">
        <f>IFERROR('Model inputs'!W6/'Model inputs'!W37,0)</f>
        <v>0.05609994835252925</v>
      </c>
      <c r="X23" s="13">
        <f>IFERROR('Model inputs'!X6/'Model inputs'!X37,0)</f>
        <v>0.05747162103799837</v>
      </c>
      <c r="Y23" s="13">
        <f>IFERROR('Model inputs'!Y6/'Model inputs'!Y37,0)</f>
        <v>0.05878006906791826</v>
      </c>
      <c r="Z23" s="13">
        <f>IFERROR('Model inputs'!Z6/'Model inputs'!Z37,0)</f>
        <v>0.060030694059278696</v>
      </c>
      <c r="AA23" s="13">
        <f>IFERROR('Model inputs'!AA6/'Model inputs'!AA37,0)</f>
        <v>0.06122727428308524</v>
      </c>
      <c r="AB23" s="13">
        <f>IFERROR('Model inputs'!AB6/'Model inputs'!AB37,0)</f>
        <v>0.06237261337059296</v>
      </c>
      <c r="AC23" s="13">
        <f>IFERROR('Model inputs'!AC6/'Model inputs'!AC37,0)</f>
        <v>0.06346891347812103</v>
      </c>
      <c r="AD23" s="13">
        <f>IFERROR('Model inputs'!AD6/'Model inputs'!AD37,0)</f>
        <v>0.06451799899827979</v>
      </c>
      <c r="AE23" s="13">
        <f>IFERROR('Model inputs'!AE6/'Model inputs'!AE37,0)</f>
        <v>0.06552145500483654</v>
      </c>
      <c r="AF23" s="13">
        <f>IFERROR('Model inputs'!AF6/'Model inputs'!AF37,0)</f>
        <v>0.06648071494723815</v>
      </c>
    </row>
    <row r="24" outlineLevel="1">
      <c r="A24" t="inlineStr" s="21">
        <is>
          <t xml:space="preserve">Annual-pay share &gt; Indie</t>
        </is>
      </c>
      <c r="B24" s="14">
        <f>IF(IF(IF(ISERROR('Model inputs'!B55&lt;=0),'Model inputs'!B55&lt;=0,IF('Model inputs'!B55="","",'Model inputs'!B55&lt;=0))="",FALSE,IF(ISERROR('Model inputs'!B55&lt;=0),'Model inputs'!B55&lt;=0,IF('Model inputs'!B55="","",'Model inputs'!B55&lt;=0))),0,'Model inputs'!AG28*MIN('Model inputs'!B55/'Model inputs'!AG22,1))</f>
        <v>0</v>
      </c>
      <c r="C24" s="14">
        <f>IF(IF(IF(ISERROR('Model inputs'!C55&lt;=0),'Model inputs'!C55&lt;=0,IF('Model inputs'!C55="","",'Model inputs'!C55&lt;=0))="",FALSE,IF(ISERROR('Model inputs'!C55&lt;=0),'Model inputs'!C55&lt;=0,IF('Model inputs'!C55="","",'Model inputs'!C55&lt;=0))),0,'Model inputs'!AG28*MIN('Model inputs'!C55/'Model inputs'!AG22,1))</f>
        <v>0</v>
      </c>
      <c r="D24" s="14">
        <f>IF(IF(IF(ISERROR('Model inputs'!D55&lt;=0),'Model inputs'!D55&lt;=0,IF('Model inputs'!D55="","",'Model inputs'!D55&lt;=0))="",FALSE,IF(ISERROR('Model inputs'!D55&lt;=0),'Model inputs'!D55&lt;=0,IF('Model inputs'!D55="","",'Model inputs'!D55&lt;=0))),0,'Model inputs'!AG28*MIN('Model inputs'!D55/'Model inputs'!AG22,1))</f>
        <v>0</v>
      </c>
      <c r="E24" s="14">
        <f>IF(IF(IF(ISERROR('Model inputs'!E55&lt;=0),'Model inputs'!E55&lt;=0,IF('Model inputs'!E55="","",'Model inputs'!E55&lt;=0))="",FALSE,IF(ISERROR('Model inputs'!E55&lt;=0),'Model inputs'!E55&lt;=0,IF('Model inputs'!E55="","",'Model inputs'!E55&lt;=0))),0,'Model inputs'!AG28*MIN('Model inputs'!E55/'Model inputs'!AG22,1))</f>
        <v>0</v>
      </c>
      <c r="F24" s="14">
        <f>IF(IF(IF(ISERROR('Model inputs'!F55&lt;=0),'Model inputs'!F55&lt;=0,IF('Model inputs'!F55="","",'Model inputs'!F55&lt;=0))="",FALSE,IF(ISERROR('Model inputs'!F55&lt;=0),'Model inputs'!F55&lt;=0,IF('Model inputs'!F55="","",'Model inputs'!F55&lt;=0))),0,'Model inputs'!AG28*MIN('Model inputs'!F55/'Model inputs'!AG22,1))</f>
        <v>0</v>
      </c>
      <c r="G24" s="14">
        <f>IF(IF(IF(ISERROR('Model inputs'!G55&lt;=0),'Model inputs'!G55&lt;=0,IF('Model inputs'!G55="","",'Model inputs'!G55&lt;=0))="",FALSE,IF(ISERROR('Model inputs'!G55&lt;=0),'Model inputs'!G55&lt;=0,IF('Model inputs'!G55="","",'Model inputs'!G55&lt;=0))),0,'Model inputs'!AG28*MIN('Model inputs'!G55/'Model inputs'!AG22,1))</f>
        <v>0</v>
      </c>
      <c r="H24" s="14">
        <f>IF(IF(IF(ISERROR('Model inputs'!H55&lt;=0),'Model inputs'!H55&lt;=0,IF('Model inputs'!H55="","",'Model inputs'!H55&lt;=0))="",FALSE,IF(ISERROR('Model inputs'!H55&lt;=0),'Model inputs'!H55&lt;=0,IF('Model inputs'!H55="","",'Model inputs'!H55&lt;=0))),0,'Model inputs'!AG28*MIN('Model inputs'!H55/'Model inputs'!AG22,1))</f>
        <v>0</v>
      </c>
      <c r="I24" s="14">
        <f>IF(IF(IF(ISERROR('Model inputs'!I55&lt;=0),'Model inputs'!I55&lt;=0,IF('Model inputs'!I55="","",'Model inputs'!I55&lt;=0))="",FALSE,IF(ISERROR('Model inputs'!I55&lt;=0),'Model inputs'!I55&lt;=0,IF('Model inputs'!I55="","",'Model inputs'!I55&lt;=0))),0,'Model inputs'!AG28*MIN('Model inputs'!I55/'Model inputs'!AG22,1))</f>
        <v>0</v>
      </c>
      <c r="J24" s="14">
        <f>IF(IF(IF(ISERROR('Model inputs'!J55&lt;=0),'Model inputs'!J55&lt;=0,IF('Model inputs'!J55="","",'Model inputs'!J55&lt;=0))="",FALSE,IF(ISERROR('Model inputs'!J55&lt;=0),'Model inputs'!J55&lt;=0,IF('Model inputs'!J55="","",'Model inputs'!J55&lt;=0))),0,'Model inputs'!AG28*MIN('Model inputs'!J55/'Model inputs'!AG22,1))</f>
        <v>0</v>
      </c>
      <c r="K24" s="14">
        <f>IF(IF(IF(ISERROR('Model inputs'!K55&lt;=0),'Model inputs'!K55&lt;=0,IF('Model inputs'!K55="","",'Model inputs'!K55&lt;=0))="",FALSE,IF(ISERROR('Model inputs'!K55&lt;=0),'Model inputs'!K55&lt;=0,IF('Model inputs'!K55="","",'Model inputs'!K55&lt;=0))),0,'Model inputs'!AG28*MIN('Model inputs'!K55/'Model inputs'!AG22,1))</f>
        <v>0</v>
      </c>
      <c r="L24" s="14">
        <f>IF(IF(IF(ISERROR('Model inputs'!L55&lt;=0),'Model inputs'!L55&lt;=0,IF('Model inputs'!L55="","",'Model inputs'!L55&lt;=0))="",FALSE,IF(ISERROR('Model inputs'!L55&lt;=0),'Model inputs'!L55&lt;=0,IF('Model inputs'!L55="","",'Model inputs'!L55&lt;=0))),0,'Model inputs'!AG28*MIN('Model inputs'!L55/'Model inputs'!AG22,1))</f>
        <v>0</v>
      </c>
      <c r="M24" s="14">
        <f>IF(IF(IF(ISERROR('Model inputs'!M55&lt;=0),'Model inputs'!M55&lt;=0,IF('Model inputs'!M55="","",'Model inputs'!M55&lt;=0))="",FALSE,IF(ISERROR('Model inputs'!M55&lt;=0),'Model inputs'!M55&lt;=0,IF('Model inputs'!M55="","",'Model inputs'!M55&lt;=0))),0,'Model inputs'!AG28*MIN('Model inputs'!M55/'Model inputs'!AG22,1))</f>
        <v>0</v>
      </c>
      <c r="N24" s="14">
        <f>IF(IF(IF(ISERROR('Model inputs'!N55&lt;=0),'Model inputs'!N55&lt;=0,IF('Model inputs'!N55="","",'Model inputs'!N55&lt;=0))="",FALSE,IF(ISERROR('Model inputs'!N55&lt;=0),'Model inputs'!N55&lt;=0,IF('Model inputs'!N55="","",'Model inputs'!N55&lt;=0))),0,'Model inputs'!AG28*MIN('Model inputs'!N55/'Model inputs'!AG22,1))</f>
        <v>0</v>
      </c>
      <c r="O24" s="14">
        <f>IF(IF(IF(ISERROR('Model inputs'!O55&lt;=0),'Model inputs'!O55&lt;=0,IF('Model inputs'!O55="","",'Model inputs'!O55&lt;=0))="",FALSE,IF(ISERROR('Model inputs'!O55&lt;=0),'Model inputs'!O55&lt;=0,IF('Model inputs'!O55="","",'Model inputs'!O55&lt;=0))),0,'Model inputs'!AG28*MIN('Model inputs'!O55/'Model inputs'!AG22,1))</f>
        <v>0</v>
      </c>
      <c r="P24" s="14">
        <f>IF(IF(IF(ISERROR('Model inputs'!P55&lt;=0),'Model inputs'!P55&lt;=0,IF('Model inputs'!P55="","",'Model inputs'!P55&lt;=0))="",FALSE,IF(ISERROR('Model inputs'!P55&lt;=0),'Model inputs'!P55&lt;=0,IF('Model inputs'!P55="","",'Model inputs'!P55&lt;=0))),0,'Model inputs'!AG28*MIN('Model inputs'!P55/'Model inputs'!AG22,1))</f>
        <v>0</v>
      </c>
      <c r="Q24" s="14">
        <f>IF(IF(IF(ISERROR('Model inputs'!Q55&lt;=0),'Model inputs'!Q55&lt;=0,IF('Model inputs'!Q55="","",'Model inputs'!Q55&lt;=0))="",FALSE,IF(ISERROR('Model inputs'!Q55&lt;=0),'Model inputs'!Q55&lt;=0,IF('Model inputs'!Q55="","",'Model inputs'!Q55&lt;=0))),0,'Model inputs'!AG28*MIN('Model inputs'!Q55/'Model inputs'!AG22,1))</f>
        <v>0</v>
      </c>
      <c r="R24" s="14">
        <f>IF(IF(IF(ISERROR('Model inputs'!R55&lt;=0),'Model inputs'!R55&lt;=0,IF('Model inputs'!R55="","",'Model inputs'!R55&lt;=0))="",FALSE,IF(ISERROR('Model inputs'!R55&lt;=0),'Model inputs'!R55&lt;=0,IF('Model inputs'!R55="","",'Model inputs'!R55&lt;=0))),0,'Model inputs'!AG28*MIN('Model inputs'!R55/'Model inputs'!AG22,1))</f>
        <v>0</v>
      </c>
      <c r="S24" s="14">
        <f>IF(IF(IF(ISERROR('Model inputs'!S55&lt;=0),'Model inputs'!S55&lt;=0,IF('Model inputs'!S55="","",'Model inputs'!S55&lt;=0))="",FALSE,IF(ISERROR('Model inputs'!S55&lt;=0),'Model inputs'!S55&lt;=0,IF('Model inputs'!S55="","",'Model inputs'!S55&lt;=0))),0,'Model inputs'!AG28*MIN('Model inputs'!S55/'Model inputs'!AG22,1))</f>
        <v>0</v>
      </c>
      <c r="T24" s="14">
        <f>IF(IF(IF(ISERROR('Model inputs'!T55&lt;=0),'Model inputs'!T55&lt;=0,IF('Model inputs'!T55="","",'Model inputs'!T55&lt;=0))="",FALSE,IF(ISERROR('Model inputs'!T55&lt;=0),'Model inputs'!T55&lt;=0,IF('Model inputs'!T55="","",'Model inputs'!T55&lt;=0))),0,'Model inputs'!AG28*MIN('Model inputs'!T55/'Model inputs'!AG22,1))</f>
        <v>0</v>
      </c>
      <c r="U24" s="14">
        <f>IF(IF(IF(ISERROR('Model inputs'!U55&lt;=0),'Model inputs'!U55&lt;=0,IF('Model inputs'!U55="","",'Model inputs'!U55&lt;=0))="",FALSE,IF(ISERROR('Model inputs'!U55&lt;=0),'Model inputs'!U55&lt;=0,IF('Model inputs'!U55="","",'Model inputs'!U55&lt;=0))),0,'Model inputs'!AG28*MIN('Model inputs'!U55/'Model inputs'!AG22,1))</f>
        <v>0</v>
      </c>
      <c r="V24" s="14">
        <f>IF(IF(IF(ISERROR('Model inputs'!V55&lt;=0),'Model inputs'!V55&lt;=0,IF('Model inputs'!V55="","",'Model inputs'!V55&lt;=0))="",FALSE,IF(ISERROR('Model inputs'!V55&lt;=0),'Model inputs'!V55&lt;=0,IF('Model inputs'!V55="","",'Model inputs'!V55&lt;=0))),0,'Model inputs'!AG28*MIN('Model inputs'!V55/'Model inputs'!AG22,1))</f>
        <v>0</v>
      </c>
      <c r="W24" s="14">
        <f>IF(IF(IF(ISERROR('Model inputs'!W55&lt;=0),'Model inputs'!W55&lt;=0,IF('Model inputs'!W55="","",'Model inputs'!W55&lt;=0))="",FALSE,IF(ISERROR('Model inputs'!W55&lt;=0),'Model inputs'!W55&lt;=0,IF('Model inputs'!W55="","",'Model inputs'!W55&lt;=0))),0,'Model inputs'!AG28*MIN('Model inputs'!W55/'Model inputs'!AG22,1))</f>
        <v>0</v>
      </c>
      <c r="X24" s="14">
        <f>IF(IF(IF(ISERROR('Model inputs'!X55&lt;=0),'Model inputs'!X55&lt;=0,IF('Model inputs'!X55="","",'Model inputs'!X55&lt;=0))="",FALSE,IF(ISERROR('Model inputs'!X55&lt;=0),'Model inputs'!X55&lt;=0,IF('Model inputs'!X55="","",'Model inputs'!X55&lt;=0))),0,'Model inputs'!AG28*MIN('Model inputs'!X55/'Model inputs'!AG22,1))</f>
        <v>0</v>
      </c>
      <c r="Y24" s="14">
        <f>IF(IF(IF(ISERROR('Model inputs'!Y55&lt;=0),'Model inputs'!Y55&lt;=0,IF('Model inputs'!Y55="","",'Model inputs'!Y55&lt;=0))="",FALSE,IF(ISERROR('Model inputs'!Y55&lt;=0),'Model inputs'!Y55&lt;=0,IF('Model inputs'!Y55="","",'Model inputs'!Y55&lt;=0))),0,'Model inputs'!AG28*MIN('Model inputs'!Y55/'Model inputs'!AG22,1))</f>
        <v>0</v>
      </c>
      <c r="Z24" s="14">
        <f>IF(IF(IF(ISERROR('Model inputs'!Z55&lt;=0),'Model inputs'!Z55&lt;=0,IF('Model inputs'!Z55="","",'Model inputs'!Z55&lt;=0))="",FALSE,IF(ISERROR('Model inputs'!Z55&lt;=0),'Model inputs'!Z55&lt;=0,IF('Model inputs'!Z55="","",'Model inputs'!Z55&lt;=0))),0,'Model inputs'!AG28*MIN('Model inputs'!Z55/'Model inputs'!AG22,1))</f>
        <v>0</v>
      </c>
      <c r="AA24" s="14">
        <f>IF(IF(IF(ISERROR('Model inputs'!AA55&lt;=0),'Model inputs'!AA55&lt;=0,IF('Model inputs'!AA55="","",'Model inputs'!AA55&lt;=0))="",FALSE,IF(ISERROR('Model inputs'!AA55&lt;=0),'Model inputs'!AA55&lt;=0,IF('Model inputs'!AA55="","",'Model inputs'!AA55&lt;=0))),0,'Model inputs'!AG28*MIN('Model inputs'!AA55/'Model inputs'!AG22,1))</f>
        <v>0</v>
      </c>
      <c r="AB24" s="14">
        <f>IF(IF(IF(ISERROR('Model inputs'!AB55&lt;=0),'Model inputs'!AB55&lt;=0,IF('Model inputs'!AB55="","",'Model inputs'!AB55&lt;=0))="",FALSE,IF(ISERROR('Model inputs'!AB55&lt;=0),'Model inputs'!AB55&lt;=0,IF('Model inputs'!AB55="","",'Model inputs'!AB55&lt;=0))),0,'Model inputs'!AG28*MIN('Model inputs'!AB55/'Model inputs'!AG22,1))</f>
        <v>0</v>
      </c>
      <c r="AC24" s="14">
        <f>IF(IF(IF(ISERROR('Model inputs'!AC55&lt;=0),'Model inputs'!AC55&lt;=0,IF('Model inputs'!AC55="","",'Model inputs'!AC55&lt;=0))="",FALSE,IF(ISERROR('Model inputs'!AC55&lt;=0),'Model inputs'!AC55&lt;=0,IF('Model inputs'!AC55="","",'Model inputs'!AC55&lt;=0))),0,'Model inputs'!AG28*MIN('Model inputs'!AC55/'Model inputs'!AG22,1))</f>
        <v>0</v>
      </c>
      <c r="AD24" s="14">
        <f>IF(IF(IF(ISERROR('Model inputs'!AD55&lt;=0),'Model inputs'!AD55&lt;=0,IF('Model inputs'!AD55="","",'Model inputs'!AD55&lt;=0))="",FALSE,IF(ISERROR('Model inputs'!AD55&lt;=0),'Model inputs'!AD55&lt;=0,IF('Model inputs'!AD55="","",'Model inputs'!AD55&lt;=0))),0,'Model inputs'!AG28*MIN('Model inputs'!AD55/'Model inputs'!AG22,1))</f>
        <v>0</v>
      </c>
      <c r="AE24" s="14">
        <f>IF(IF(IF(ISERROR('Model inputs'!AE55&lt;=0),'Model inputs'!AE55&lt;=0,IF('Model inputs'!AE55="","",'Model inputs'!AE55&lt;=0))="",FALSE,IF(ISERROR('Model inputs'!AE55&lt;=0),'Model inputs'!AE55&lt;=0,IF('Model inputs'!AE55="","",'Model inputs'!AE55&lt;=0))),0,'Model inputs'!AG28*MIN('Model inputs'!AE55/'Model inputs'!AG22,1))</f>
        <v>0</v>
      </c>
      <c r="AF24" s="14">
        <f>IF(IF(IF(ISERROR('Model inputs'!AF55&lt;=0),'Model inputs'!AF55&lt;=0,IF('Model inputs'!AF55="","",'Model inputs'!AF55&lt;=0))="",FALSE,IF(ISERROR('Model inputs'!AF55&lt;=0),'Model inputs'!AF55&lt;=0,IF('Model inputs'!AF55="","",'Model inputs'!AF55&lt;=0))),0,'Model inputs'!AG28*MIN('Model inputs'!AF55/'Model inputs'!AG22,1))</f>
        <v>0</v>
      </c>
    </row>
    <row r="25" outlineLevel="1">
      <c r="A25" t="inlineStr" s="21">
        <is>
          <t xml:space="preserve">Annual-pay share &gt; Launch</t>
        </is>
      </c>
      <c r="B25" s="14">
        <f>IF(IF(IF(ISERROR('Model inputs'!B55&lt;=0),'Model inputs'!B55&lt;=0,IF('Model inputs'!B55="","",'Model inputs'!B55&lt;=0))="",FALSE,IF(ISERROR('Model inputs'!B55&lt;=0),'Model inputs'!B55&lt;=0,IF('Model inputs'!B55="","",'Model inputs'!B55&lt;=0))),0,'Model inputs'!AG29*MIN('Model inputs'!B55/'Model inputs'!AG22,1))</f>
        <v>0</v>
      </c>
      <c r="C25" s="14">
        <f>IF(IF(IF(ISERROR('Model inputs'!C55&lt;=0),'Model inputs'!C55&lt;=0,IF('Model inputs'!C55="","",'Model inputs'!C55&lt;=0))="",FALSE,IF(ISERROR('Model inputs'!C55&lt;=0),'Model inputs'!C55&lt;=0,IF('Model inputs'!C55="","",'Model inputs'!C55&lt;=0))),0,'Model inputs'!AG29*MIN('Model inputs'!C55/'Model inputs'!AG22,1))</f>
        <v>0</v>
      </c>
      <c r="D25" s="14">
        <f>IF(IF(IF(ISERROR('Model inputs'!D55&lt;=0),'Model inputs'!D55&lt;=0,IF('Model inputs'!D55="","",'Model inputs'!D55&lt;=0))="",FALSE,IF(ISERROR('Model inputs'!D55&lt;=0),'Model inputs'!D55&lt;=0,IF('Model inputs'!D55="","",'Model inputs'!D55&lt;=0))),0,'Model inputs'!AG29*MIN('Model inputs'!D55/'Model inputs'!AG22,1))</f>
        <v>0</v>
      </c>
      <c r="E25" s="14">
        <f>IF(IF(IF(ISERROR('Model inputs'!E55&lt;=0),'Model inputs'!E55&lt;=0,IF('Model inputs'!E55="","",'Model inputs'!E55&lt;=0))="",FALSE,IF(ISERROR('Model inputs'!E55&lt;=0),'Model inputs'!E55&lt;=0,IF('Model inputs'!E55="","",'Model inputs'!E55&lt;=0))),0,'Model inputs'!AG29*MIN('Model inputs'!E55/'Model inputs'!AG22,1))</f>
        <v>0</v>
      </c>
      <c r="F25" s="14">
        <f>IF(IF(IF(ISERROR('Model inputs'!F55&lt;=0),'Model inputs'!F55&lt;=0,IF('Model inputs'!F55="","",'Model inputs'!F55&lt;=0))="",FALSE,IF(ISERROR('Model inputs'!F55&lt;=0),'Model inputs'!F55&lt;=0,IF('Model inputs'!F55="","",'Model inputs'!F55&lt;=0))),0,'Model inputs'!AG29*MIN('Model inputs'!F55/'Model inputs'!AG22,1))</f>
        <v>0</v>
      </c>
      <c r="G25" s="14">
        <f>IF(IF(IF(ISERROR('Model inputs'!G55&lt;=0),'Model inputs'!G55&lt;=0,IF('Model inputs'!G55="","",'Model inputs'!G55&lt;=0))="",FALSE,IF(ISERROR('Model inputs'!G55&lt;=0),'Model inputs'!G55&lt;=0,IF('Model inputs'!G55="","",'Model inputs'!G55&lt;=0))),0,'Model inputs'!AG29*MIN('Model inputs'!G55/'Model inputs'!AG22,1))</f>
        <v>0</v>
      </c>
      <c r="H25" s="14">
        <f>IF(IF(IF(ISERROR('Model inputs'!H55&lt;=0),'Model inputs'!H55&lt;=0,IF('Model inputs'!H55="","",'Model inputs'!H55&lt;=0))="",FALSE,IF(ISERROR('Model inputs'!H55&lt;=0),'Model inputs'!H55&lt;=0,IF('Model inputs'!H55="","",'Model inputs'!H55&lt;=0))),0,'Model inputs'!AG29*MIN('Model inputs'!H55/'Model inputs'!AG22,1))</f>
        <v>0</v>
      </c>
      <c r="I25" s="14">
        <f>IF(IF(IF(ISERROR('Model inputs'!I55&lt;=0),'Model inputs'!I55&lt;=0,IF('Model inputs'!I55="","",'Model inputs'!I55&lt;=0))="",FALSE,IF(ISERROR('Model inputs'!I55&lt;=0),'Model inputs'!I55&lt;=0,IF('Model inputs'!I55="","",'Model inputs'!I55&lt;=0))),0,'Model inputs'!AG29*MIN('Model inputs'!I55/'Model inputs'!AG22,1))</f>
        <v>0</v>
      </c>
      <c r="J25" s="14">
        <f>IF(IF(IF(ISERROR('Model inputs'!J55&lt;=0),'Model inputs'!J55&lt;=0,IF('Model inputs'!J55="","",'Model inputs'!J55&lt;=0))="",FALSE,IF(ISERROR('Model inputs'!J55&lt;=0),'Model inputs'!J55&lt;=0,IF('Model inputs'!J55="","",'Model inputs'!J55&lt;=0))),0,'Model inputs'!AG29*MIN('Model inputs'!J55/'Model inputs'!AG22,1))</f>
        <v>0</v>
      </c>
      <c r="K25" s="14">
        <f>IF(IF(IF(ISERROR('Model inputs'!K55&lt;=0),'Model inputs'!K55&lt;=0,IF('Model inputs'!K55="","",'Model inputs'!K55&lt;=0))="",FALSE,IF(ISERROR('Model inputs'!K55&lt;=0),'Model inputs'!K55&lt;=0,IF('Model inputs'!K55="","",'Model inputs'!K55&lt;=0))),0,'Model inputs'!AG29*MIN('Model inputs'!K55/'Model inputs'!AG22,1))</f>
        <v>0</v>
      </c>
      <c r="L25" s="14">
        <f>IF(IF(IF(ISERROR('Model inputs'!L55&lt;=0),'Model inputs'!L55&lt;=0,IF('Model inputs'!L55="","",'Model inputs'!L55&lt;=0))="",FALSE,IF(ISERROR('Model inputs'!L55&lt;=0),'Model inputs'!L55&lt;=0,IF('Model inputs'!L55="","",'Model inputs'!L55&lt;=0))),0,'Model inputs'!AG29*MIN('Model inputs'!L55/'Model inputs'!AG22,1))</f>
        <v>0</v>
      </c>
      <c r="M25" s="14">
        <f>IF(IF(IF(ISERROR('Model inputs'!M55&lt;=0),'Model inputs'!M55&lt;=0,IF('Model inputs'!M55="","",'Model inputs'!M55&lt;=0))="",FALSE,IF(ISERROR('Model inputs'!M55&lt;=0),'Model inputs'!M55&lt;=0,IF('Model inputs'!M55="","",'Model inputs'!M55&lt;=0))),0,'Model inputs'!AG29*MIN('Model inputs'!M55/'Model inputs'!AG22,1))</f>
        <v>0</v>
      </c>
      <c r="N25" s="14">
        <f>IF(IF(IF(ISERROR('Model inputs'!N55&lt;=0),'Model inputs'!N55&lt;=0,IF('Model inputs'!N55="","",'Model inputs'!N55&lt;=0))="",FALSE,IF(ISERROR('Model inputs'!N55&lt;=0),'Model inputs'!N55&lt;=0,IF('Model inputs'!N55="","",'Model inputs'!N55&lt;=0))),0,'Model inputs'!AG29*MIN('Model inputs'!N55/'Model inputs'!AG22,1))</f>
        <v>0</v>
      </c>
      <c r="O25" s="14">
        <f>IF(IF(IF(ISERROR('Model inputs'!O55&lt;=0),'Model inputs'!O55&lt;=0,IF('Model inputs'!O55="","",'Model inputs'!O55&lt;=0))="",FALSE,IF(ISERROR('Model inputs'!O55&lt;=0),'Model inputs'!O55&lt;=0,IF('Model inputs'!O55="","",'Model inputs'!O55&lt;=0))),0,'Model inputs'!AG29*MIN('Model inputs'!O55/'Model inputs'!AG22,1))</f>
        <v>0</v>
      </c>
      <c r="P25" s="14">
        <f>IF(IF(IF(ISERROR('Model inputs'!P55&lt;=0),'Model inputs'!P55&lt;=0,IF('Model inputs'!P55="","",'Model inputs'!P55&lt;=0))="",FALSE,IF(ISERROR('Model inputs'!P55&lt;=0),'Model inputs'!P55&lt;=0,IF('Model inputs'!P55="","",'Model inputs'!P55&lt;=0))),0,'Model inputs'!AG29*MIN('Model inputs'!P55/'Model inputs'!AG22,1))</f>
        <v>0.05833333333333333</v>
      </c>
      <c r="Q25" s="14">
        <f>IF(IF(IF(ISERROR('Model inputs'!Q55&lt;=0),'Model inputs'!Q55&lt;=0,IF('Model inputs'!Q55="","",'Model inputs'!Q55&lt;=0))="",FALSE,IF(ISERROR('Model inputs'!Q55&lt;=0),'Model inputs'!Q55&lt;=0,IF('Model inputs'!Q55="","",'Model inputs'!Q55&lt;=0))),0,'Model inputs'!AG29*MIN('Model inputs'!Q55/'Model inputs'!AG22,1))</f>
        <v>0.11666666666666665</v>
      </c>
      <c r="R25" s="14">
        <f>IF(IF(IF(ISERROR('Model inputs'!R55&lt;=0),'Model inputs'!R55&lt;=0,IF('Model inputs'!R55="","",'Model inputs'!R55&lt;=0))="",FALSE,IF(ISERROR('Model inputs'!R55&lt;=0),'Model inputs'!R55&lt;=0,IF('Model inputs'!R55="","",'Model inputs'!R55&lt;=0))),0,'Model inputs'!AG29*MIN('Model inputs'!R55/'Model inputs'!AG22,1))</f>
        <v>0.175</v>
      </c>
      <c r="S25" s="14">
        <f>IF(IF(IF(ISERROR('Model inputs'!S55&lt;=0),'Model inputs'!S55&lt;=0,IF('Model inputs'!S55="","",'Model inputs'!S55&lt;=0))="",FALSE,IF(ISERROR('Model inputs'!S55&lt;=0),'Model inputs'!S55&lt;=0,IF('Model inputs'!S55="","",'Model inputs'!S55&lt;=0))),0,'Model inputs'!AG29*MIN('Model inputs'!S55/'Model inputs'!AG22,1))</f>
        <v>0.2333333333333333</v>
      </c>
      <c r="T25" s="14">
        <f>IF(IF(IF(ISERROR('Model inputs'!T55&lt;=0),'Model inputs'!T55&lt;=0,IF('Model inputs'!T55="","",'Model inputs'!T55&lt;=0))="",FALSE,IF(ISERROR('Model inputs'!T55&lt;=0),'Model inputs'!T55&lt;=0,IF('Model inputs'!T55="","",'Model inputs'!T55&lt;=0))),0,'Model inputs'!AG29*MIN('Model inputs'!T55/'Model inputs'!AG22,1))</f>
        <v>0.2916666666666667</v>
      </c>
      <c r="U25" s="14">
        <f>IF(IF(IF(ISERROR('Model inputs'!U55&lt;=0),'Model inputs'!U55&lt;=0,IF('Model inputs'!U55="","",'Model inputs'!U55&lt;=0))="",FALSE,IF(ISERROR('Model inputs'!U55&lt;=0),'Model inputs'!U55&lt;=0,IF('Model inputs'!U55="","",'Model inputs'!U55&lt;=0))),0,'Model inputs'!AG29*MIN('Model inputs'!U55/'Model inputs'!AG22,1))</f>
        <v>0.35</v>
      </c>
      <c r="V25" s="14">
        <f>IF(IF(IF(ISERROR('Model inputs'!V55&lt;=0),'Model inputs'!V55&lt;=0,IF('Model inputs'!V55="","",'Model inputs'!V55&lt;=0))="",FALSE,IF(ISERROR('Model inputs'!V55&lt;=0),'Model inputs'!V55&lt;=0,IF('Model inputs'!V55="","",'Model inputs'!V55&lt;=0))),0,'Model inputs'!AG29*MIN('Model inputs'!V55/'Model inputs'!AG22,1))</f>
        <v>0.35</v>
      </c>
      <c r="W25" s="14">
        <f>IF(IF(IF(ISERROR('Model inputs'!W55&lt;=0),'Model inputs'!W55&lt;=0,IF('Model inputs'!W55="","",'Model inputs'!W55&lt;=0))="",FALSE,IF(ISERROR('Model inputs'!W55&lt;=0),'Model inputs'!W55&lt;=0,IF('Model inputs'!W55="","",'Model inputs'!W55&lt;=0))),0,'Model inputs'!AG29*MIN('Model inputs'!W55/'Model inputs'!AG22,1))</f>
        <v>0.35</v>
      </c>
      <c r="X25" s="14">
        <f>IF(IF(IF(ISERROR('Model inputs'!X55&lt;=0),'Model inputs'!X55&lt;=0,IF('Model inputs'!X55="","",'Model inputs'!X55&lt;=0))="",FALSE,IF(ISERROR('Model inputs'!X55&lt;=0),'Model inputs'!X55&lt;=0,IF('Model inputs'!X55="","",'Model inputs'!X55&lt;=0))),0,'Model inputs'!AG29*MIN('Model inputs'!X55/'Model inputs'!AG22,1))</f>
        <v>0.35</v>
      </c>
      <c r="Y25" s="14">
        <f>IF(IF(IF(ISERROR('Model inputs'!Y55&lt;=0),'Model inputs'!Y55&lt;=0,IF('Model inputs'!Y55="","",'Model inputs'!Y55&lt;=0))="",FALSE,IF(ISERROR('Model inputs'!Y55&lt;=0),'Model inputs'!Y55&lt;=0,IF('Model inputs'!Y55="","",'Model inputs'!Y55&lt;=0))),0,'Model inputs'!AG29*MIN('Model inputs'!Y55/'Model inputs'!AG22,1))</f>
        <v>0.35</v>
      </c>
      <c r="Z25" s="14">
        <f>IF(IF(IF(ISERROR('Model inputs'!Z55&lt;=0),'Model inputs'!Z55&lt;=0,IF('Model inputs'!Z55="","",'Model inputs'!Z55&lt;=0))="",FALSE,IF(ISERROR('Model inputs'!Z55&lt;=0),'Model inputs'!Z55&lt;=0,IF('Model inputs'!Z55="","",'Model inputs'!Z55&lt;=0))),0,'Model inputs'!AG29*MIN('Model inputs'!Z55/'Model inputs'!AG22,1))</f>
        <v>0.35</v>
      </c>
      <c r="AA25" s="14">
        <f>IF(IF(IF(ISERROR('Model inputs'!AA55&lt;=0),'Model inputs'!AA55&lt;=0,IF('Model inputs'!AA55="","",'Model inputs'!AA55&lt;=0))="",FALSE,IF(ISERROR('Model inputs'!AA55&lt;=0),'Model inputs'!AA55&lt;=0,IF('Model inputs'!AA55="","",'Model inputs'!AA55&lt;=0))),0,'Model inputs'!AG29*MIN('Model inputs'!AA55/'Model inputs'!AG22,1))</f>
        <v>0.35</v>
      </c>
      <c r="AB25" s="14">
        <f>IF(IF(IF(ISERROR('Model inputs'!AB55&lt;=0),'Model inputs'!AB55&lt;=0,IF('Model inputs'!AB55="","",'Model inputs'!AB55&lt;=0))="",FALSE,IF(ISERROR('Model inputs'!AB55&lt;=0),'Model inputs'!AB55&lt;=0,IF('Model inputs'!AB55="","",'Model inputs'!AB55&lt;=0))),0,'Model inputs'!AG29*MIN('Model inputs'!AB55/'Model inputs'!AG22,1))</f>
        <v>0.35</v>
      </c>
      <c r="AC25" s="14">
        <f>IF(IF(IF(ISERROR('Model inputs'!AC55&lt;=0),'Model inputs'!AC55&lt;=0,IF('Model inputs'!AC55="","",'Model inputs'!AC55&lt;=0))="",FALSE,IF(ISERROR('Model inputs'!AC55&lt;=0),'Model inputs'!AC55&lt;=0,IF('Model inputs'!AC55="","",'Model inputs'!AC55&lt;=0))),0,'Model inputs'!AG29*MIN('Model inputs'!AC55/'Model inputs'!AG22,1))</f>
        <v>0.35</v>
      </c>
      <c r="AD25" s="14">
        <f>IF(IF(IF(ISERROR('Model inputs'!AD55&lt;=0),'Model inputs'!AD55&lt;=0,IF('Model inputs'!AD55="","",'Model inputs'!AD55&lt;=0))="",FALSE,IF(ISERROR('Model inputs'!AD55&lt;=0),'Model inputs'!AD55&lt;=0,IF('Model inputs'!AD55="","",'Model inputs'!AD55&lt;=0))),0,'Model inputs'!AG29*MIN('Model inputs'!AD55/'Model inputs'!AG22,1))</f>
        <v>0.35</v>
      </c>
      <c r="AE25" s="14">
        <f>IF(IF(IF(ISERROR('Model inputs'!AE55&lt;=0),'Model inputs'!AE55&lt;=0,IF('Model inputs'!AE55="","",'Model inputs'!AE55&lt;=0))="",FALSE,IF(ISERROR('Model inputs'!AE55&lt;=0),'Model inputs'!AE55&lt;=0,IF('Model inputs'!AE55="","",'Model inputs'!AE55&lt;=0))),0,'Model inputs'!AG29*MIN('Model inputs'!AE55/'Model inputs'!AG22,1))</f>
        <v>0.35</v>
      </c>
      <c r="AF25" s="14">
        <f>IF(IF(IF(ISERROR('Model inputs'!AF55&lt;=0),'Model inputs'!AF55&lt;=0,IF('Model inputs'!AF55="","",'Model inputs'!AF55&lt;=0))="",FALSE,IF(ISERROR('Model inputs'!AF55&lt;=0),'Model inputs'!AF55&lt;=0,IF('Model inputs'!AF55="","",'Model inputs'!AF55&lt;=0))),0,'Model inputs'!AG29*MIN('Model inputs'!AF55/'Model inputs'!AG22,1))</f>
        <v>0.35</v>
      </c>
    </row>
    <row r="26" outlineLevel="1">
      <c r="A26" t="inlineStr" s="21">
        <is>
          <t xml:space="preserve">Annual-pay share &gt; Team</t>
        </is>
      </c>
      <c r="B26" s="14">
        <f>IF(IF(IF(ISERROR('Model inputs'!B55&lt;=0),'Model inputs'!B55&lt;=0,IF('Model inputs'!B55="","",'Model inputs'!B55&lt;=0))="",FALSE,IF(ISERROR('Model inputs'!B55&lt;=0),'Model inputs'!B55&lt;=0,IF('Model inputs'!B55="","",'Model inputs'!B55&lt;=0))),0,'Model inputs'!AG30*MIN('Model inputs'!B55/'Model inputs'!AG22,1))</f>
        <v>0</v>
      </c>
      <c r="C26" s="14">
        <f>IF(IF(IF(ISERROR('Model inputs'!C55&lt;=0),'Model inputs'!C55&lt;=0,IF('Model inputs'!C55="","",'Model inputs'!C55&lt;=0))="",FALSE,IF(ISERROR('Model inputs'!C55&lt;=0),'Model inputs'!C55&lt;=0,IF('Model inputs'!C55="","",'Model inputs'!C55&lt;=0))),0,'Model inputs'!AG30*MIN('Model inputs'!C55/'Model inputs'!AG22,1))</f>
        <v>0</v>
      </c>
      <c r="D26" s="14">
        <f>IF(IF(IF(ISERROR('Model inputs'!D55&lt;=0),'Model inputs'!D55&lt;=0,IF('Model inputs'!D55="","",'Model inputs'!D55&lt;=0))="",FALSE,IF(ISERROR('Model inputs'!D55&lt;=0),'Model inputs'!D55&lt;=0,IF('Model inputs'!D55="","",'Model inputs'!D55&lt;=0))),0,'Model inputs'!AG30*MIN('Model inputs'!D55/'Model inputs'!AG22,1))</f>
        <v>0</v>
      </c>
      <c r="E26" s="14">
        <f>IF(IF(IF(ISERROR('Model inputs'!E55&lt;=0),'Model inputs'!E55&lt;=0,IF('Model inputs'!E55="","",'Model inputs'!E55&lt;=0))="",FALSE,IF(ISERROR('Model inputs'!E55&lt;=0),'Model inputs'!E55&lt;=0,IF('Model inputs'!E55="","",'Model inputs'!E55&lt;=0))),0,'Model inputs'!AG30*MIN('Model inputs'!E55/'Model inputs'!AG22,1))</f>
        <v>0</v>
      </c>
      <c r="F26" s="14">
        <f>IF(IF(IF(ISERROR('Model inputs'!F55&lt;=0),'Model inputs'!F55&lt;=0,IF('Model inputs'!F55="","",'Model inputs'!F55&lt;=0))="",FALSE,IF(ISERROR('Model inputs'!F55&lt;=0),'Model inputs'!F55&lt;=0,IF('Model inputs'!F55="","",'Model inputs'!F55&lt;=0))),0,'Model inputs'!AG30*MIN('Model inputs'!F55/'Model inputs'!AG22,1))</f>
        <v>0</v>
      </c>
      <c r="G26" s="14">
        <f>IF(IF(IF(ISERROR('Model inputs'!G55&lt;=0),'Model inputs'!G55&lt;=0,IF('Model inputs'!G55="","",'Model inputs'!G55&lt;=0))="",FALSE,IF(ISERROR('Model inputs'!G55&lt;=0),'Model inputs'!G55&lt;=0,IF('Model inputs'!G55="","",'Model inputs'!G55&lt;=0))),0,'Model inputs'!AG30*MIN('Model inputs'!G55/'Model inputs'!AG22,1))</f>
        <v>0</v>
      </c>
      <c r="H26" s="14">
        <f>IF(IF(IF(ISERROR('Model inputs'!H55&lt;=0),'Model inputs'!H55&lt;=0,IF('Model inputs'!H55="","",'Model inputs'!H55&lt;=0))="",FALSE,IF(ISERROR('Model inputs'!H55&lt;=0),'Model inputs'!H55&lt;=0,IF('Model inputs'!H55="","",'Model inputs'!H55&lt;=0))),0,'Model inputs'!AG30*MIN('Model inputs'!H55/'Model inputs'!AG22,1))</f>
        <v>0</v>
      </c>
      <c r="I26" s="14">
        <f>IF(IF(IF(ISERROR('Model inputs'!I55&lt;=0),'Model inputs'!I55&lt;=0,IF('Model inputs'!I55="","",'Model inputs'!I55&lt;=0))="",FALSE,IF(ISERROR('Model inputs'!I55&lt;=0),'Model inputs'!I55&lt;=0,IF('Model inputs'!I55="","",'Model inputs'!I55&lt;=0))),0,'Model inputs'!AG30*MIN('Model inputs'!I55/'Model inputs'!AG22,1))</f>
        <v>0</v>
      </c>
      <c r="J26" s="14">
        <f>IF(IF(IF(ISERROR('Model inputs'!J55&lt;=0),'Model inputs'!J55&lt;=0,IF('Model inputs'!J55="","",'Model inputs'!J55&lt;=0))="",FALSE,IF(ISERROR('Model inputs'!J55&lt;=0),'Model inputs'!J55&lt;=0,IF('Model inputs'!J55="","",'Model inputs'!J55&lt;=0))),0,'Model inputs'!AG30*MIN('Model inputs'!J55/'Model inputs'!AG22,1))</f>
        <v>0</v>
      </c>
      <c r="K26" s="14">
        <f>IF(IF(IF(ISERROR('Model inputs'!K55&lt;=0),'Model inputs'!K55&lt;=0,IF('Model inputs'!K55="","",'Model inputs'!K55&lt;=0))="",FALSE,IF(ISERROR('Model inputs'!K55&lt;=0),'Model inputs'!K55&lt;=0,IF('Model inputs'!K55="","",'Model inputs'!K55&lt;=0))),0,'Model inputs'!AG30*MIN('Model inputs'!K55/'Model inputs'!AG22,1))</f>
        <v>0</v>
      </c>
      <c r="L26" s="14">
        <f>IF(IF(IF(ISERROR('Model inputs'!L55&lt;=0),'Model inputs'!L55&lt;=0,IF('Model inputs'!L55="","",'Model inputs'!L55&lt;=0))="",FALSE,IF(ISERROR('Model inputs'!L55&lt;=0),'Model inputs'!L55&lt;=0,IF('Model inputs'!L55="","",'Model inputs'!L55&lt;=0))),0,'Model inputs'!AG30*MIN('Model inputs'!L55/'Model inputs'!AG22,1))</f>
        <v>0</v>
      </c>
      <c r="M26" s="14">
        <f>IF(IF(IF(ISERROR('Model inputs'!M55&lt;=0),'Model inputs'!M55&lt;=0,IF('Model inputs'!M55="","",'Model inputs'!M55&lt;=0))="",FALSE,IF(ISERROR('Model inputs'!M55&lt;=0),'Model inputs'!M55&lt;=0,IF('Model inputs'!M55="","",'Model inputs'!M55&lt;=0))),0,'Model inputs'!AG30*MIN('Model inputs'!M55/'Model inputs'!AG22,1))</f>
        <v>0</v>
      </c>
      <c r="N26" s="14">
        <f>IF(IF(IF(ISERROR('Model inputs'!N55&lt;=0),'Model inputs'!N55&lt;=0,IF('Model inputs'!N55="","",'Model inputs'!N55&lt;=0))="",FALSE,IF(ISERROR('Model inputs'!N55&lt;=0),'Model inputs'!N55&lt;=0,IF('Model inputs'!N55="","",'Model inputs'!N55&lt;=0))),0,'Model inputs'!AG30*MIN('Model inputs'!N55/'Model inputs'!AG22,1))</f>
        <v>0</v>
      </c>
      <c r="O26" s="14">
        <f>IF(IF(IF(ISERROR('Model inputs'!O55&lt;=0),'Model inputs'!O55&lt;=0,IF('Model inputs'!O55="","",'Model inputs'!O55&lt;=0))="",FALSE,IF(ISERROR('Model inputs'!O55&lt;=0),'Model inputs'!O55&lt;=0,IF('Model inputs'!O55="","",'Model inputs'!O55&lt;=0))),0,'Model inputs'!AG30*MIN('Model inputs'!O55/'Model inputs'!AG22,1))</f>
        <v>0</v>
      </c>
      <c r="P26" s="14">
        <f>IF(IF(IF(ISERROR('Model inputs'!P55&lt;=0),'Model inputs'!P55&lt;=0,IF('Model inputs'!P55="","",'Model inputs'!P55&lt;=0))="",FALSE,IF(ISERROR('Model inputs'!P55&lt;=0),'Model inputs'!P55&lt;=0,IF('Model inputs'!P55="","",'Model inputs'!P55&lt;=0))),0,'Model inputs'!AG30*MIN('Model inputs'!P55/'Model inputs'!AG22,1))</f>
        <v>0.05833333333333333</v>
      </c>
      <c r="Q26" s="14">
        <f>IF(IF(IF(ISERROR('Model inputs'!Q55&lt;=0),'Model inputs'!Q55&lt;=0,IF('Model inputs'!Q55="","",'Model inputs'!Q55&lt;=0))="",FALSE,IF(ISERROR('Model inputs'!Q55&lt;=0),'Model inputs'!Q55&lt;=0,IF('Model inputs'!Q55="","",'Model inputs'!Q55&lt;=0))),0,'Model inputs'!AG30*MIN('Model inputs'!Q55/'Model inputs'!AG22,1))</f>
        <v>0.11666666666666665</v>
      </c>
      <c r="R26" s="14">
        <f>IF(IF(IF(ISERROR('Model inputs'!R55&lt;=0),'Model inputs'!R55&lt;=0,IF('Model inputs'!R55="","",'Model inputs'!R55&lt;=0))="",FALSE,IF(ISERROR('Model inputs'!R55&lt;=0),'Model inputs'!R55&lt;=0,IF('Model inputs'!R55="","",'Model inputs'!R55&lt;=0))),0,'Model inputs'!AG30*MIN('Model inputs'!R55/'Model inputs'!AG22,1))</f>
        <v>0.175</v>
      </c>
      <c r="S26" s="14">
        <f>IF(IF(IF(ISERROR('Model inputs'!S55&lt;=0),'Model inputs'!S55&lt;=0,IF('Model inputs'!S55="","",'Model inputs'!S55&lt;=0))="",FALSE,IF(ISERROR('Model inputs'!S55&lt;=0),'Model inputs'!S55&lt;=0,IF('Model inputs'!S55="","",'Model inputs'!S55&lt;=0))),0,'Model inputs'!AG30*MIN('Model inputs'!S55/'Model inputs'!AG22,1))</f>
        <v>0.2333333333333333</v>
      </c>
      <c r="T26" s="14">
        <f>IF(IF(IF(ISERROR('Model inputs'!T55&lt;=0),'Model inputs'!T55&lt;=0,IF('Model inputs'!T55="","",'Model inputs'!T55&lt;=0))="",FALSE,IF(ISERROR('Model inputs'!T55&lt;=0),'Model inputs'!T55&lt;=0,IF('Model inputs'!T55="","",'Model inputs'!T55&lt;=0))),0,'Model inputs'!AG30*MIN('Model inputs'!T55/'Model inputs'!AG22,1))</f>
        <v>0.2916666666666667</v>
      </c>
      <c r="U26" s="14">
        <f>IF(IF(IF(ISERROR('Model inputs'!U55&lt;=0),'Model inputs'!U55&lt;=0,IF('Model inputs'!U55="","",'Model inputs'!U55&lt;=0))="",FALSE,IF(ISERROR('Model inputs'!U55&lt;=0),'Model inputs'!U55&lt;=0,IF('Model inputs'!U55="","",'Model inputs'!U55&lt;=0))),0,'Model inputs'!AG30*MIN('Model inputs'!U55/'Model inputs'!AG22,1))</f>
        <v>0.35</v>
      </c>
      <c r="V26" s="14">
        <f>IF(IF(IF(ISERROR('Model inputs'!V55&lt;=0),'Model inputs'!V55&lt;=0,IF('Model inputs'!V55="","",'Model inputs'!V55&lt;=0))="",FALSE,IF(ISERROR('Model inputs'!V55&lt;=0),'Model inputs'!V55&lt;=0,IF('Model inputs'!V55="","",'Model inputs'!V55&lt;=0))),0,'Model inputs'!AG30*MIN('Model inputs'!V55/'Model inputs'!AG22,1))</f>
        <v>0.35</v>
      </c>
      <c r="W26" s="14">
        <f>IF(IF(IF(ISERROR('Model inputs'!W55&lt;=0),'Model inputs'!W55&lt;=0,IF('Model inputs'!W55="","",'Model inputs'!W55&lt;=0))="",FALSE,IF(ISERROR('Model inputs'!W55&lt;=0),'Model inputs'!W55&lt;=0,IF('Model inputs'!W55="","",'Model inputs'!W55&lt;=0))),0,'Model inputs'!AG30*MIN('Model inputs'!W55/'Model inputs'!AG22,1))</f>
        <v>0.35</v>
      </c>
      <c r="X26" s="14">
        <f>IF(IF(IF(ISERROR('Model inputs'!X55&lt;=0),'Model inputs'!X55&lt;=0,IF('Model inputs'!X55="","",'Model inputs'!X55&lt;=0))="",FALSE,IF(ISERROR('Model inputs'!X55&lt;=0),'Model inputs'!X55&lt;=0,IF('Model inputs'!X55="","",'Model inputs'!X55&lt;=0))),0,'Model inputs'!AG30*MIN('Model inputs'!X55/'Model inputs'!AG22,1))</f>
        <v>0.35</v>
      </c>
      <c r="Y26" s="14">
        <f>IF(IF(IF(ISERROR('Model inputs'!Y55&lt;=0),'Model inputs'!Y55&lt;=0,IF('Model inputs'!Y55="","",'Model inputs'!Y55&lt;=0))="",FALSE,IF(ISERROR('Model inputs'!Y55&lt;=0),'Model inputs'!Y55&lt;=0,IF('Model inputs'!Y55="","",'Model inputs'!Y55&lt;=0))),0,'Model inputs'!AG30*MIN('Model inputs'!Y55/'Model inputs'!AG22,1))</f>
        <v>0.35</v>
      </c>
      <c r="Z26" s="14">
        <f>IF(IF(IF(ISERROR('Model inputs'!Z55&lt;=0),'Model inputs'!Z55&lt;=0,IF('Model inputs'!Z55="","",'Model inputs'!Z55&lt;=0))="",FALSE,IF(ISERROR('Model inputs'!Z55&lt;=0),'Model inputs'!Z55&lt;=0,IF('Model inputs'!Z55="","",'Model inputs'!Z55&lt;=0))),0,'Model inputs'!AG30*MIN('Model inputs'!Z55/'Model inputs'!AG22,1))</f>
        <v>0.35</v>
      </c>
      <c r="AA26" s="14">
        <f>IF(IF(IF(ISERROR('Model inputs'!AA55&lt;=0),'Model inputs'!AA55&lt;=0,IF('Model inputs'!AA55="","",'Model inputs'!AA55&lt;=0))="",FALSE,IF(ISERROR('Model inputs'!AA55&lt;=0),'Model inputs'!AA55&lt;=0,IF('Model inputs'!AA55="","",'Model inputs'!AA55&lt;=0))),0,'Model inputs'!AG30*MIN('Model inputs'!AA55/'Model inputs'!AG22,1))</f>
        <v>0.35</v>
      </c>
      <c r="AB26" s="14">
        <f>IF(IF(IF(ISERROR('Model inputs'!AB55&lt;=0),'Model inputs'!AB55&lt;=0,IF('Model inputs'!AB55="","",'Model inputs'!AB55&lt;=0))="",FALSE,IF(ISERROR('Model inputs'!AB55&lt;=0),'Model inputs'!AB55&lt;=0,IF('Model inputs'!AB55="","",'Model inputs'!AB55&lt;=0))),0,'Model inputs'!AG30*MIN('Model inputs'!AB55/'Model inputs'!AG22,1))</f>
        <v>0.35</v>
      </c>
      <c r="AC26" s="14">
        <f>IF(IF(IF(ISERROR('Model inputs'!AC55&lt;=0),'Model inputs'!AC55&lt;=0,IF('Model inputs'!AC55="","",'Model inputs'!AC55&lt;=0))="",FALSE,IF(ISERROR('Model inputs'!AC55&lt;=0),'Model inputs'!AC55&lt;=0,IF('Model inputs'!AC55="","",'Model inputs'!AC55&lt;=0))),0,'Model inputs'!AG30*MIN('Model inputs'!AC55/'Model inputs'!AG22,1))</f>
        <v>0.35</v>
      </c>
      <c r="AD26" s="14">
        <f>IF(IF(IF(ISERROR('Model inputs'!AD55&lt;=0),'Model inputs'!AD55&lt;=0,IF('Model inputs'!AD55="","",'Model inputs'!AD55&lt;=0))="",FALSE,IF(ISERROR('Model inputs'!AD55&lt;=0),'Model inputs'!AD55&lt;=0,IF('Model inputs'!AD55="","",'Model inputs'!AD55&lt;=0))),0,'Model inputs'!AG30*MIN('Model inputs'!AD55/'Model inputs'!AG22,1))</f>
        <v>0.35</v>
      </c>
      <c r="AE26" s="14">
        <f>IF(IF(IF(ISERROR('Model inputs'!AE55&lt;=0),'Model inputs'!AE55&lt;=0,IF('Model inputs'!AE55="","",'Model inputs'!AE55&lt;=0))="",FALSE,IF(ISERROR('Model inputs'!AE55&lt;=0),'Model inputs'!AE55&lt;=0,IF('Model inputs'!AE55="","",'Model inputs'!AE55&lt;=0))),0,'Model inputs'!AG30*MIN('Model inputs'!AE55/'Model inputs'!AG22,1))</f>
        <v>0.35</v>
      </c>
      <c r="AF26" s="14">
        <f>IF(IF(IF(ISERROR('Model inputs'!AF55&lt;=0),'Model inputs'!AF55&lt;=0,IF('Model inputs'!AF55="","",'Model inputs'!AF55&lt;=0))="",FALSE,IF(ISERROR('Model inputs'!AF55&lt;=0),'Model inputs'!AF55&lt;=0,IF('Model inputs'!AF55="","",'Model inputs'!AF55&lt;=0))),0,'Model inputs'!AG30*MIN('Model inputs'!AF55/'Model inputs'!AG22,1))</f>
        <v>0.35</v>
      </c>
    </row>
    <row r="27">
      <c r="A27" t="inlineStr" s="20">
        <is>
          <t xml:space="preserve">Annual-pay share target</t>
        </is>
      </c>
      <c r="AG27" s="13">
        <v>0</v>
      </c>
    </row>
    <row r="28" outlineLevel="1">
      <c r="A28" t="inlineStr" s="21">
        <is>
          <t xml:space="preserve">Annual-pay share target &gt; Indie</t>
        </is>
      </c>
      <c r="AG28" s="14">
        <f>0</f>
        <v>0</v>
      </c>
    </row>
    <row r="29" outlineLevel="1">
      <c r="A29" t="inlineStr" s="21">
        <is>
          <t xml:space="preserve">Annual-pay share target &gt; Launch</t>
        </is>
      </c>
      <c r="AG29" s="14">
        <f>0.35</f>
        <v>0.35</v>
      </c>
    </row>
    <row r="30" outlineLevel="1">
      <c r="A30" t="inlineStr" s="21">
        <is>
          <t xml:space="preserve">Annual-pay share target &gt; Team</t>
        </is>
      </c>
      <c r="AG30" s="14">
        <f>0.35</f>
        <v>0.35</v>
      </c>
    </row>
    <row r="31">
      <c r="A31" t="inlineStr" s="20">
        <is>
          <t xml:space="preserve">Card fee per charge</t>
        </is>
      </c>
      <c r="AG31" s="22">
        <f>0.3</f>
        <v>0.3</v>
      </c>
    </row>
    <row r="32">
      <c r="A32" t="inlineStr" s="20">
        <is>
          <t xml:space="preserve">Card fee rate</t>
        </is>
      </c>
      <c r="AG32" s="23">
        <f>0.029</f>
        <v>0.029</v>
      </c>
    </row>
    <row r="33">
      <c r="A33" t="inlineStr" s="20">
        <is>
          <t xml:space="preserve">Deferred revenue</t>
        </is>
      </c>
      <c r="B33" s="15">
        <f>SUM('Model inputs'!B34,'Model inputs'!B35,'Model inputs'!B36)</f>
        <v>0</v>
      </c>
      <c r="C33" s="15">
        <f>SUM('Model inputs'!C34,'Model inputs'!C35,'Model inputs'!C36)</f>
        <v>0</v>
      </c>
      <c r="D33" s="15">
        <f>SUM('Model inputs'!D34,'Model inputs'!D35,'Model inputs'!D36)</f>
        <v>0</v>
      </c>
      <c r="E33" s="15">
        <f>SUM('Model inputs'!E34,'Model inputs'!E35,'Model inputs'!E36)</f>
        <v>0</v>
      </c>
      <c r="F33" s="15">
        <f>SUM('Model inputs'!F34,'Model inputs'!F35,'Model inputs'!F36)</f>
        <v>0</v>
      </c>
      <c r="G33" s="15">
        <f>SUM('Model inputs'!G34,'Model inputs'!G35,'Model inputs'!G36)</f>
        <v>0</v>
      </c>
      <c r="H33" s="15">
        <f>SUM('Model inputs'!H34,'Model inputs'!H35,'Model inputs'!H36)</f>
        <v>0</v>
      </c>
      <c r="I33" s="15">
        <f>SUM('Model inputs'!I34,'Model inputs'!I35,'Model inputs'!I36)</f>
        <v>0</v>
      </c>
      <c r="J33" s="15">
        <f>SUM('Model inputs'!J34,'Model inputs'!J35,'Model inputs'!J36)</f>
        <v>0</v>
      </c>
      <c r="K33" s="15">
        <f>SUM('Model inputs'!K34,'Model inputs'!K35,'Model inputs'!K36)</f>
        <v>0</v>
      </c>
      <c r="L33" s="15">
        <f>SUM('Model inputs'!L34,'Model inputs'!L35,'Model inputs'!L36)</f>
        <v>0</v>
      </c>
      <c r="M33" s="15">
        <f>SUM('Model inputs'!M34,'Model inputs'!M35,'Model inputs'!M36)</f>
        <v>0</v>
      </c>
      <c r="N33" s="15">
        <f>SUM('Model inputs'!N34,'Model inputs'!N35,'Model inputs'!N36)</f>
        <v>0</v>
      </c>
      <c r="O33" s="15">
        <f>SUM('Model inputs'!O34,'Model inputs'!O35,'Model inputs'!O36)</f>
        <v>0</v>
      </c>
      <c r="P33" s="15">
        <f>SUM('Model inputs'!P34,'Model inputs'!P35,'Model inputs'!P36)</f>
        <v>1124.8835532407406</v>
      </c>
      <c r="Q33" s="15">
        <f>SUM('Model inputs'!Q34,'Model inputs'!Q35,'Model inputs'!Q36)</f>
        <v>3008.090778356481</v>
      </c>
      <c r="R33" s="15">
        <f>SUM('Model inputs'!R34,'Model inputs'!R35,'Model inputs'!R36)</f>
        <v>5687.7891197941735</v>
      </c>
      <c r="S33" s="15">
        <f>SUM('Model inputs'!S34,'Model inputs'!S35,'Model inputs'!S36)</f>
        <v>9206.333390013287</v>
      </c>
      <c r="T33" s="15">
        <f>SUM('Model inputs'!T34,'Model inputs'!T35,'Model inputs'!T36)</f>
        <v>13611.103907186472</v>
      </c>
      <c r="U33" s="15">
        <f>SUM('Model inputs'!U34,'Model inputs'!U35,'Model inputs'!U36)</f>
        <v>18955.401370348918</v>
      </c>
      <c r="V33" s="15">
        <f>SUM('Model inputs'!V34,'Model inputs'!V35,'Model inputs'!V36)</f>
        <v>21176.29266966798</v>
      </c>
      <c r="W33" s="15">
        <f>SUM('Model inputs'!W34,'Model inputs'!W35,'Model inputs'!W36)</f>
        <v>23447.405975659356</v>
      </c>
      <c r="X33" s="15">
        <f>SUM('Model inputs'!X34,'Model inputs'!X35,'Model inputs'!X36)</f>
        <v>25609.275905396302</v>
      </c>
      <c r="Y33" s="15">
        <f>SUM('Model inputs'!Y34,'Model inputs'!Y35,'Model inputs'!Y36)</f>
        <v>27655.431781235566</v>
      </c>
      <c r="Z33" s="15">
        <f>SUM('Model inputs'!Z34,'Model inputs'!Z35,'Model inputs'!Z36)</f>
        <v>29579.708820880864</v>
      </c>
      <c r="AA33" s="15">
        <f>SUM('Model inputs'!AA34,'Model inputs'!AA35,'Model inputs'!AA36)</f>
        <v>31376.2151957953</v>
      </c>
      <c r="AB33" s="15">
        <f>SUM('Model inputs'!AB34,'Model inputs'!AB35,'Model inputs'!AB36)</f>
        <v>33952.40891171797</v>
      </c>
      <c r="AC33" s="15">
        <f>SUM('Model inputs'!AC34,'Model inputs'!AC35,'Model inputs'!AC36)</f>
        <v>37082.226650619225</v>
      </c>
      <c r="AD33" s="15">
        <f>SUM('Model inputs'!AD34,'Model inputs'!AD35,'Model inputs'!AD36)</f>
        <v>40846.47674946616</v>
      </c>
      <c r="AE33" s="15">
        <f>SUM('Model inputs'!AE34,'Model inputs'!AE35,'Model inputs'!AE36)</f>
        <v>45335.61278973159</v>
      </c>
      <c r="AF33" s="15">
        <f>SUM('Model inputs'!AF34,'Model inputs'!AF35,'Model inputs'!AF36)</f>
        <v>50651.00397835455</v>
      </c>
    </row>
    <row r="34" outlineLevel="1">
      <c r="A34" t="inlineStr" s="21">
        <is>
          <t xml:space="preserve">Deferred revenue &gt; Indie</t>
        </is>
      </c>
      <c r="B34" s="16">
        <f>0+('Model inputs'!B65+'Model inputs'!B15)*'Model inputs'!AG11-'Model inputs'!B7*'Model inputs'!AG11/12</f>
        <v>0</v>
      </c>
      <c r="C34" s="16">
        <f>'Model inputs'!B34+('Model inputs'!C65+'Model inputs'!C15)*'Model inputs'!AG11-'Model inputs'!C7*'Model inputs'!AG11/12</f>
        <v>0</v>
      </c>
      <c r="D34" s="16">
        <f>'Model inputs'!C34+('Model inputs'!D65+'Model inputs'!D15)*'Model inputs'!AG11-'Model inputs'!D7*'Model inputs'!AG11/12</f>
        <v>0</v>
      </c>
      <c r="E34" s="16">
        <f>'Model inputs'!D34+('Model inputs'!E65+'Model inputs'!E15)*'Model inputs'!AG11-'Model inputs'!E7*'Model inputs'!AG11/12</f>
        <v>0</v>
      </c>
      <c r="F34" s="16">
        <f>'Model inputs'!E34+('Model inputs'!F65+'Model inputs'!F15)*'Model inputs'!AG11-'Model inputs'!F7*'Model inputs'!AG11/12</f>
        <v>0</v>
      </c>
      <c r="G34" s="16">
        <f>'Model inputs'!F34+('Model inputs'!G65+'Model inputs'!G15)*'Model inputs'!AG11-'Model inputs'!G7*'Model inputs'!AG11/12</f>
        <v>0</v>
      </c>
      <c r="H34" s="16">
        <f>'Model inputs'!G34+('Model inputs'!H65+'Model inputs'!H15)*'Model inputs'!AG11-'Model inputs'!H7*'Model inputs'!AG11/12</f>
        <v>0</v>
      </c>
      <c r="I34" s="16">
        <f>'Model inputs'!H34+('Model inputs'!I65+'Model inputs'!I15)*'Model inputs'!AG11-'Model inputs'!I7*'Model inputs'!AG11/12</f>
        <v>0</v>
      </c>
      <c r="J34" s="16">
        <f>'Model inputs'!I34+('Model inputs'!J65+'Model inputs'!J15)*'Model inputs'!AG11-'Model inputs'!J7*'Model inputs'!AG11/12</f>
        <v>0</v>
      </c>
      <c r="K34" s="16">
        <f>'Model inputs'!J34+('Model inputs'!K65+'Model inputs'!K15)*'Model inputs'!AG11-'Model inputs'!K7*'Model inputs'!AG11/12</f>
        <v>0</v>
      </c>
      <c r="L34" s="16">
        <f>'Model inputs'!K34+('Model inputs'!L65+'Model inputs'!L15)*'Model inputs'!AG11-'Model inputs'!L7*'Model inputs'!AG11/12</f>
        <v>0</v>
      </c>
      <c r="M34" s="16">
        <f>'Model inputs'!L34+('Model inputs'!M65+'Model inputs'!M15)*'Model inputs'!AG11-'Model inputs'!M7*'Model inputs'!AG11/12</f>
        <v>0</v>
      </c>
      <c r="N34" s="16">
        <f>'Model inputs'!M34+('Model inputs'!N65+'Model inputs'!N15)*'Model inputs'!AG11-'Model inputs'!N7*'Model inputs'!AG11/12</f>
        <v>0</v>
      </c>
      <c r="O34" s="16">
        <f>'Model inputs'!N34+('Model inputs'!O65+'Model inputs'!O15)*'Model inputs'!AG11-'Model inputs'!O7*'Model inputs'!AG11/12</f>
        <v>0</v>
      </c>
      <c r="P34" s="16">
        <f>'Model inputs'!O34+('Model inputs'!P65+'Model inputs'!P15)*'Model inputs'!AG11-'Model inputs'!P7*'Model inputs'!AG11/12</f>
        <v>0</v>
      </c>
      <c r="Q34" s="16">
        <f>'Model inputs'!P34+('Model inputs'!Q65+'Model inputs'!Q15)*'Model inputs'!AG11-'Model inputs'!Q7*'Model inputs'!AG11/12</f>
        <v>0</v>
      </c>
      <c r="R34" s="16">
        <f>'Model inputs'!Q34+('Model inputs'!R65+'Model inputs'!R15)*'Model inputs'!AG11-'Model inputs'!R7*'Model inputs'!AG11/12</f>
        <v>0</v>
      </c>
      <c r="S34" s="16">
        <f>'Model inputs'!R34+('Model inputs'!S65+'Model inputs'!S15)*'Model inputs'!AG11-'Model inputs'!S7*'Model inputs'!AG11/12</f>
        <v>0</v>
      </c>
      <c r="T34" s="16">
        <f>'Model inputs'!S34+('Model inputs'!T65+'Model inputs'!T15)*'Model inputs'!AG11-'Model inputs'!T7*'Model inputs'!AG11/12</f>
        <v>0</v>
      </c>
      <c r="U34" s="16">
        <f>'Model inputs'!T34+('Model inputs'!U65+'Model inputs'!U15)*'Model inputs'!AG11-'Model inputs'!U7*'Model inputs'!AG11/12</f>
        <v>0</v>
      </c>
      <c r="V34" s="16">
        <f>'Model inputs'!U34+('Model inputs'!V65+'Model inputs'!V15)*'Model inputs'!AG11-'Model inputs'!V7*'Model inputs'!AG11/12</f>
        <v>0</v>
      </c>
      <c r="W34" s="16">
        <f>'Model inputs'!V34+('Model inputs'!W65+'Model inputs'!W15)*'Model inputs'!AG11-'Model inputs'!W7*'Model inputs'!AG11/12</f>
        <v>0</v>
      </c>
      <c r="X34" s="16">
        <f>'Model inputs'!W34+('Model inputs'!X65+'Model inputs'!X15)*'Model inputs'!AG11-'Model inputs'!X7*'Model inputs'!AG11/12</f>
        <v>0</v>
      </c>
      <c r="Y34" s="16">
        <f>'Model inputs'!X34+('Model inputs'!Y65+'Model inputs'!Y15)*'Model inputs'!AG11-'Model inputs'!Y7*'Model inputs'!AG11/12</f>
        <v>0</v>
      </c>
      <c r="Z34" s="16">
        <f>'Model inputs'!Y34+('Model inputs'!Z65+'Model inputs'!Z15)*'Model inputs'!AG11-'Model inputs'!Z7*'Model inputs'!AG11/12</f>
        <v>0</v>
      </c>
      <c r="AA34" s="16">
        <f>'Model inputs'!Z34+('Model inputs'!AA65+'Model inputs'!AA15)*'Model inputs'!AG11-'Model inputs'!AA7*'Model inputs'!AG11/12</f>
        <v>0</v>
      </c>
      <c r="AB34" s="16">
        <f>'Model inputs'!AA34+('Model inputs'!AB65+'Model inputs'!AB15)*'Model inputs'!AG11-'Model inputs'!AB7*'Model inputs'!AG11/12</f>
        <v>0</v>
      </c>
      <c r="AC34" s="16">
        <f>'Model inputs'!AB34+('Model inputs'!AC65+'Model inputs'!AC15)*'Model inputs'!AG11-'Model inputs'!AC7*'Model inputs'!AG11/12</f>
        <v>0</v>
      </c>
      <c r="AD34" s="16">
        <f>'Model inputs'!AC34+('Model inputs'!AD65+'Model inputs'!AD15)*'Model inputs'!AG11-'Model inputs'!AD7*'Model inputs'!AG11/12</f>
        <v>0</v>
      </c>
      <c r="AE34" s="16">
        <f>'Model inputs'!AD34+('Model inputs'!AE65+'Model inputs'!AE15)*'Model inputs'!AG11-'Model inputs'!AE7*'Model inputs'!AG11/12</f>
        <v>0</v>
      </c>
      <c r="AF34" s="16">
        <f>'Model inputs'!AE34+('Model inputs'!AF65+'Model inputs'!AF15)*'Model inputs'!AG11-'Model inputs'!AF7*'Model inputs'!AG11/12</f>
        <v>0</v>
      </c>
    </row>
    <row r="35" outlineLevel="1">
      <c r="A35" t="inlineStr" s="21">
        <is>
          <t xml:space="preserve">Deferred revenue &gt; Launch</t>
        </is>
      </c>
      <c r="B35" s="16">
        <f>0+('Model inputs'!B66+'Model inputs'!B16)*'Model inputs'!AG12-'Model inputs'!B8*'Model inputs'!AG12/12</f>
        <v>0</v>
      </c>
      <c r="C35" s="16">
        <f>'Model inputs'!B35+('Model inputs'!C66+'Model inputs'!C16)*'Model inputs'!AG12-'Model inputs'!C8*'Model inputs'!AG12/12</f>
        <v>0</v>
      </c>
      <c r="D35" s="16">
        <f>'Model inputs'!C35+('Model inputs'!D66+'Model inputs'!D16)*'Model inputs'!AG12-'Model inputs'!D8*'Model inputs'!AG12/12</f>
        <v>0</v>
      </c>
      <c r="E35" s="16">
        <f>'Model inputs'!D35+('Model inputs'!E66+'Model inputs'!E16)*'Model inputs'!AG12-'Model inputs'!E8*'Model inputs'!AG12/12</f>
        <v>0</v>
      </c>
      <c r="F35" s="16">
        <f>'Model inputs'!E35+('Model inputs'!F66+'Model inputs'!F16)*'Model inputs'!AG12-'Model inputs'!F8*'Model inputs'!AG12/12</f>
        <v>0</v>
      </c>
      <c r="G35" s="16">
        <f>'Model inputs'!F35+('Model inputs'!G66+'Model inputs'!G16)*'Model inputs'!AG12-'Model inputs'!G8*'Model inputs'!AG12/12</f>
        <v>0</v>
      </c>
      <c r="H35" s="16">
        <f>'Model inputs'!G35+('Model inputs'!H66+'Model inputs'!H16)*'Model inputs'!AG12-'Model inputs'!H8*'Model inputs'!AG12/12</f>
        <v>0</v>
      </c>
      <c r="I35" s="16">
        <f>'Model inputs'!H35+('Model inputs'!I66+'Model inputs'!I16)*'Model inputs'!AG12-'Model inputs'!I8*'Model inputs'!AG12/12</f>
        <v>0</v>
      </c>
      <c r="J35" s="16">
        <f>'Model inputs'!I35+('Model inputs'!J66+'Model inputs'!J16)*'Model inputs'!AG12-'Model inputs'!J8*'Model inputs'!AG12/12</f>
        <v>0</v>
      </c>
      <c r="K35" s="16">
        <f>'Model inputs'!J35+('Model inputs'!K66+'Model inputs'!K16)*'Model inputs'!AG12-'Model inputs'!K8*'Model inputs'!AG12/12</f>
        <v>0</v>
      </c>
      <c r="L35" s="16">
        <f>'Model inputs'!K35+('Model inputs'!L66+'Model inputs'!L16)*'Model inputs'!AG12-'Model inputs'!L8*'Model inputs'!AG12/12</f>
        <v>0</v>
      </c>
      <c r="M35" s="16">
        <f>'Model inputs'!L35+('Model inputs'!M66+'Model inputs'!M16)*'Model inputs'!AG12-'Model inputs'!M8*'Model inputs'!AG12/12</f>
        <v>0</v>
      </c>
      <c r="N35" s="16">
        <f>'Model inputs'!M35+('Model inputs'!N66+'Model inputs'!N16)*'Model inputs'!AG12-'Model inputs'!N8*'Model inputs'!AG12/12</f>
        <v>0</v>
      </c>
      <c r="O35" s="16">
        <f>'Model inputs'!N35+('Model inputs'!O66+'Model inputs'!O16)*'Model inputs'!AG12-'Model inputs'!O8*'Model inputs'!AG12/12</f>
        <v>0</v>
      </c>
      <c r="P35" s="16">
        <f>'Model inputs'!O35+('Model inputs'!P66+'Model inputs'!P16)*'Model inputs'!AG12-'Model inputs'!P8*'Model inputs'!AG12/12</f>
        <v>402.90784722222213</v>
      </c>
      <c r="Q35" s="16">
        <f>'Model inputs'!P35+('Model inputs'!Q66+'Model inputs'!Q16)*'Model inputs'!AG12-'Model inputs'!Q8*'Model inputs'!AG12/12</f>
        <v>1050.6689975887343</v>
      </c>
      <c r="R35" s="16">
        <f>'Model inputs'!Q35+('Model inputs'!R66+'Model inputs'!R16)*'Model inputs'!AG12-'Model inputs'!R8*'Model inputs'!AG12/12</f>
        <v>1928.233584255666</v>
      </c>
      <c r="S35" s="16">
        <f>'Model inputs'!R35+('Model inputs'!S66+'Model inputs'!S16)*'Model inputs'!AG12-'Model inputs'!S8*'Model inputs'!AG12/12</f>
        <v>3021.6286829315213</v>
      </c>
      <c r="T35" s="16">
        <f>'Model inputs'!S35+('Model inputs'!T66+'Model inputs'!T16)*'Model inputs'!AG12-'Model inputs'!T8*'Model inputs'!AG12/12</f>
        <v>4317.961051611278</v>
      </c>
      <c r="U35" s="16">
        <f>'Model inputs'!T35+('Model inputs'!U66+'Model inputs'!U16)*'Model inputs'!AG12-'Model inputs'!U8*'Model inputs'!AG12/12</f>
        <v>5805.431256058191</v>
      </c>
      <c r="V35" s="16">
        <f>'Model inputs'!U35+('Model inputs'!V66+'Model inputs'!V16)*'Model inputs'!AG12-'Model inputs'!V8*'Model inputs'!AG12/12</f>
        <v>6210.804848528572</v>
      </c>
      <c r="W35" s="16">
        <f>'Model inputs'!V35+('Model inputs'!W66+'Model inputs'!W16)*'Model inputs'!AG12-'Model inputs'!W8*'Model inputs'!AG12/12</f>
        <v>6572.447894568215</v>
      </c>
      <c r="X35" s="16">
        <f>'Model inputs'!W35+('Model inputs'!X66+'Model inputs'!X16)*'Model inputs'!AG12-'Model inputs'!X8*'Model inputs'!AG12/12</f>
        <v>6891.720134028206</v>
      </c>
      <c r="Y35" s="16">
        <f>'Model inputs'!X35+('Model inputs'!Y66+'Model inputs'!Y16)*'Model inputs'!AG12-'Model inputs'!Y8*'Model inputs'!AG12/12</f>
        <v>7167.659950787585</v>
      </c>
      <c r="Z35" s="16">
        <f>'Model inputs'!Y35+('Model inputs'!Z66+'Model inputs'!Z16)*'Model inputs'!AG12-'Model inputs'!Z8*'Model inputs'!AG12/12</f>
        <v>7399.219914050586</v>
      </c>
      <c r="AA35" s="16">
        <f>'Model inputs'!Z35+('Model inputs'!AA66+'Model inputs'!AA16)*'Model inputs'!AG12-'Model inputs'!AA8*'Model inputs'!AG12/12</f>
        <v>7585.273430083128</v>
      </c>
      <c r="AB35" s="16">
        <f>'Model inputs'!AA35+('Model inputs'!AB66+'Model inputs'!AB16)*'Model inputs'!AG12-'Model inputs'!AB8*'Model inputs'!AG12/12</f>
        <v>8091.251536150875</v>
      </c>
      <c r="AC35" s="16">
        <f>'Model inputs'!AB35+('Model inputs'!AC66+'Model inputs'!AC16)*'Model inputs'!AG12-'Model inputs'!AC8*'Model inputs'!AG12/12</f>
        <v>8804.892805671412</v>
      </c>
      <c r="AD35" s="16">
        <f>'Model inputs'!AC35+('Model inputs'!AD66+'Model inputs'!AD16)*'Model inputs'!AG12-'Model inputs'!AD8*'Model inputs'!AG12/12</f>
        <v>9733.56974424997</v>
      </c>
      <c r="AE35" s="16">
        <f>'Model inputs'!AD35+('Model inputs'!AE66+'Model inputs'!AE16)*'Model inputs'!AG12-'Model inputs'!AE8*'Model inputs'!AG12/12</f>
        <v>10886.018706815621</v>
      </c>
      <c r="AF35" s="16">
        <f>'Model inputs'!AE35+('Model inputs'!AF66+'Model inputs'!AF16)*'Model inputs'!AG12-'Model inputs'!AF8*'Model inputs'!AG12/12</f>
        <v>12272.466583423657</v>
      </c>
    </row>
    <row r="36" outlineLevel="1">
      <c r="A36" t="inlineStr" s="21">
        <is>
          <t xml:space="preserve">Deferred revenue &gt; Team</t>
        </is>
      </c>
      <c r="B36" s="16">
        <f>0+('Model inputs'!B67+'Model inputs'!B17)*'Model inputs'!AG13-'Model inputs'!B9*'Model inputs'!AG13/12</f>
        <v>0</v>
      </c>
      <c r="C36" s="16">
        <f>'Model inputs'!B36+('Model inputs'!C67+'Model inputs'!C17)*'Model inputs'!AG13-'Model inputs'!C9*'Model inputs'!AG13/12</f>
        <v>0</v>
      </c>
      <c r="D36" s="16">
        <f>'Model inputs'!C36+('Model inputs'!D67+'Model inputs'!D17)*'Model inputs'!AG13-'Model inputs'!D9*'Model inputs'!AG13/12</f>
        <v>0</v>
      </c>
      <c r="E36" s="16">
        <f>'Model inputs'!D36+('Model inputs'!E67+'Model inputs'!E17)*'Model inputs'!AG13-'Model inputs'!E9*'Model inputs'!AG13/12</f>
        <v>0</v>
      </c>
      <c r="F36" s="16">
        <f>'Model inputs'!E36+('Model inputs'!F67+'Model inputs'!F17)*'Model inputs'!AG13-'Model inputs'!F9*'Model inputs'!AG13/12</f>
        <v>0</v>
      </c>
      <c r="G36" s="16">
        <f>'Model inputs'!F36+('Model inputs'!G67+'Model inputs'!G17)*'Model inputs'!AG13-'Model inputs'!G9*'Model inputs'!AG13/12</f>
        <v>0</v>
      </c>
      <c r="H36" s="16">
        <f>'Model inputs'!G36+('Model inputs'!H67+'Model inputs'!H17)*'Model inputs'!AG13-'Model inputs'!H9*'Model inputs'!AG13/12</f>
        <v>0</v>
      </c>
      <c r="I36" s="16">
        <f>'Model inputs'!H36+('Model inputs'!I67+'Model inputs'!I17)*'Model inputs'!AG13-'Model inputs'!I9*'Model inputs'!AG13/12</f>
        <v>0</v>
      </c>
      <c r="J36" s="16">
        <f>'Model inputs'!I36+('Model inputs'!J67+'Model inputs'!J17)*'Model inputs'!AG13-'Model inputs'!J9*'Model inputs'!AG13/12</f>
        <v>0</v>
      </c>
      <c r="K36" s="16">
        <f>'Model inputs'!J36+('Model inputs'!K67+'Model inputs'!K17)*'Model inputs'!AG13-'Model inputs'!K9*'Model inputs'!AG13/12</f>
        <v>0</v>
      </c>
      <c r="L36" s="16">
        <f>'Model inputs'!K36+('Model inputs'!L67+'Model inputs'!L17)*'Model inputs'!AG13-'Model inputs'!L9*'Model inputs'!AG13/12</f>
        <v>0</v>
      </c>
      <c r="M36" s="16">
        <f>'Model inputs'!L36+('Model inputs'!M67+'Model inputs'!M17)*'Model inputs'!AG13-'Model inputs'!M9*'Model inputs'!AG13/12</f>
        <v>0</v>
      </c>
      <c r="N36" s="16">
        <f>'Model inputs'!M36+('Model inputs'!N67+'Model inputs'!N17)*'Model inputs'!AG13-'Model inputs'!N9*'Model inputs'!AG13/12</f>
        <v>0</v>
      </c>
      <c r="O36" s="16">
        <f>'Model inputs'!N36+('Model inputs'!O67+'Model inputs'!O17)*'Model inputs'!AG13-'Model inputs'!O9*'Model inputs'!AG13/12</f>
        <v>0</v>
      </c>
      <c r="P36" s="16">
        <f>'Model inputs'!O36+('Model inputs'!P67+'Model inputs'!P17)*'Model inputs'!AG13-'Model inputs'!P9*'Model inputs'!AG13/12</f>
        <v>721.9757060185185</v>
      </c>
      <c r="Q36" s="16">
        <f>'Model inputs'!P36+('Model inputs'!Q67+'Model inputs'!Q17)*'Model inputs'!AG13-'Model inputs'!Q9*'Model inputs'!AG13/12</f>
        <v>1957.421780767747</v>
      </c>
      <c r="R36" s="16">
        <f>'Model inputs'!Q36+('Model inputs'!R67+'Model inputs'!R17)*'Model inputs'!AG13-'Model inputs'!R9*'Model inputs'!AG13/12</f>
        <v>3759.5555355385077</v>
      </c>
      <c r="S36" s="16">
        <f>'Model inputs'!R36+('Model inputs'!S67+'Model inputs'!S17)*'Model inputs'!AG13-'Model inputs'!S9*'Model inputs'!AG13/12</f>
        <v>6184.704707081766</v>
      </c>
      <c r="T36" s="16">
        <f>'Model inputs'!S36+('Model inputs'!T67+'Model inputs'!T17)*'Model inputs'!AG13-'Model inputs'!T9*'Model inputs'!AG13/12</f>
        <v>9293.142855575194</v>
      </c>
      <c r="U36" s="16">
        <f>'Model inputs'!T36+('Model inputs'!U67+'Model inputs'!U17)*'Model inputs'!AG13-'Model inputs'!U9*'Model inputs'!AG13/12</f>
        <v>13149.970114290729</v>
      </c>
      <c r="V36" s="16">
        <f>'Model inputs'!U36+('Model inputs'!V67+'Model inputs'!V17)*'Model inputs'!AG13-'Model inputs'!V9*'Model inputs'!AG13/12</f>
        <v>14965.487821139408</v>
      </c>
      <c r="W36" s="16">
        <f>'Model inputs'!V36+('Model inputs'!W67+'Model inputs'!W17)*'Model inputs'!AG13-'Model inputs'!W9*'Model inputs'!AG13/12</f>
        <v>16874.95808109114</v>
      </c>
      <c r="X36" s="16">
        <f>'Model inputs'!W36+('Model inputs'!X67+'Model inputs'!X17)*'Model inputs'!AG13-'Model inputs'!X9*'Model inputs'!AG13/12</f>
        <v>18717.555771368097</v>
      </c>
      <c r="Y36" s="16">
        <f>'Model inputs'!X36+('Model inputs'!Y67+'Model inputs'!Y17)*'Model inputs'!AG13-'Model inputs'!Y9*'Model inputs'!AG13/12</f>
        <v>20487.771830447982</v>
      </c>
      <c r="Z36" s="16">
        <f>'Model inputs'!Y36+('Model inputs'!Z67+'Model inputs'!Z17)*'Model inputs'!AG13-'Model inputs'!Z9*'Model inputs'!AG13/12</f>
        <v>22180.488906830276</v>
      </c>
      <c r="AA36" s="16">
        <f>'Model inputs'!Z36+('Model inputs'!AA67+'Model inputs'!AA17)*'Model inputs'!AG13-'Model inputs'!AA9*'Model inputs'!AG13/12</f>
        <v>23790.94176571217</v>
      </c>
      <c r="AB36" s="16">
        <f>'Model inputs'!AA36+('Model inputs'!AB67+'Model inputs'!AB17)*'Model inputs'!AG13-'Model inputs'!AB9*'Model inputs'!AG13/12</f>
        <v>25861.15737556709</v>
      </c>
      <c r="AC36" s="16">
        <f>'Model inputs'!AB36+('Model inputs'!AC67+'Model inputs'!AC17)*'Model inputs'!AG13-'Model inputs'!AC9*'Model inputs'!AG13/12</f>
        <v>28277.33384494781</v>
      </c>
      <c r="AD36" s="16">
        <f>'Model inputs'!AC36+('Model inputs'!AD67+'Model inputs'!AD17)*'Model inputs'!AG13-'Model inputs'!AD9*'Model inputs'!AG13/12</f>
        <v>31112.907005216188</v>
      </c>
      <c r="AE36" s="16">
        <f>'Model inputs'!AD36+('Model inputs'!AE67+'Model inputs'!AE17)*'Model inputs'!AG13-'Model inputs'!AE9*'Model inputs'!AG13/12</f>
        <v>34449.594082915966</v>
      </c>
      <c r="AF36" s="16">
        <f>'Model inputs'!AE36+('Model inputs'!AF67+'Model inputs'!AF17)*'Model inputs'!AG13-'Model inputs'!AF9*'Model inputs'!AG13/12</f>
        <v>38378.53739493089</v>
      </c>
    </row>
    <row r="37">
      <c r="A37" t="inlineStr" s="20">
        <is>
          <t xml:space="preserve">Ending customers</t>
        </is>
      </c>
      <c r="B37" s="8">
        <f>SUM('Model inputs'!B38,'Model inputs'!B39,'Model inputs'!B40)</f>
        <v>0</v>
      </c>
      <c r="C37" s="8">
        <f>SUM('Model inputs'!C38,'Model inputs'!C39,'Model inputs'!C40)</f>
        <v>0</v>
      </c>
      <c r="D37" s="8">
        <f>SUM('Model inputs'!D38,'Model inputs'!D39,'Model inputs'!D40)</f>
        <v>0</v>
      </c>
      <c r="E37" s="8">
        <f>SUM('Model inputs'!E38,'Model inputs'!E39,'Model inputs'!E40)</f>
        <v>0</v>
      </c>
      <c r="F37" s="8">
        <f>SUM('Model inputs'!F38,'Model inputs'!F39,'Model inputs'!F40)</f>
        <v>0</v>
      </c>
      <c r="G37" s="8">
        <f>SUM('Model inputs'!G38,'Model inputs'!G39,'Model inputs'!G40)</f>
        <v>0</v>
      </c>
      <c r="H37" s="8">
        <f>SUM('Model inputs'!H38,'Model inputs'!H39,'Model inputs'!H40)</f>
        <v>0</v>
      </c>
      <c r="I37" s="8">
        <f>SUM('Model inputs'!I38,'Model inputs'!I39,'Model inputs'!I40)</f>
        <v>0</v>
      </c>
      <c r="J37" s="8">
        <f>SUM('Model inputs'!J38,'Model inputs'!J39,'Model inputs'!J40)</f>
        <v>0</v>
      </c>
      <c r="K37" s="8">
        <f>SUM('Model inputs'!K38,'Model inputs'!K39,'Model inputs'!K40)</f>
        <v>0</v>
      </c>
      <c r="L37" s="8">
        <f>SUM('Model inputs'!L38,'Model inputs'!L39,'Model inputs'!L40)</f>
        <v>0</v>
      </c>
      <c r="M37" s="8">
        <f>SUM('Model inputs'!M38,'Model inputs'!M39,'Model inputs'!M40)</f>
        <v>0</v>
      </c>
      <c r="N37" s="8">
        <f>SUM('Model inputs'!N38,'Model inputs'!N39,'Model inputs'!N40)</f>
        <v>0</v>
      </c>
      <c r="O37" s="8">
        <f>SUM('Model inputs'!O38,'Model inputs'!O39,'Model inputs'!O40)</f>
        <v>47</v>
      </c>
      <c r="P37" s="8">
        <f>SUM('Model inputs'!P38,'Model inputs'!P39,'Model inputs'!P40)</f>
        <v>84.905</v>
      </c>
      <c r="Q37" s="8">
        <f>SUM('Model inputs'!Q38,'Model inputs'!Q39,'Model inputs'!Q40)</f>
        <v>110.9505</v>
      </c>
      <c r="R37" s="8">
        <f>SUM('Model inputs'!R38,'Model inputs'!R39,'Model inputs'!R40)</f>
        <v>138.05102827083334</v>
      </c>
      <c r="S37" s="8">
        <f>SUM('Model inputs'!S38,'Model inputs'!S39,'Model inputs'!S40)</f>
        <v>166.3601248259896</v>
      </c>
      <c r="T37" s="8">
        <f>SUM('Model inputs'!T38,'Model inputs'!T39,'Model inputs'!T40)</f>
        <v>196.04006505593594</v>
      </c>
      <c r="U37" s="8">
        <f>SUM('Model inputs'!U38,'Model inputs'!U39,'Model inputs'!U40)</f>
        <v>227.2628736908502</v>
      </c>
      <c r="V37" s="8">
        <f>SUM('Model inputs'!V38,'Model inputs'!V39,'Model inputs'!V40)</f>
        <v>260.21140757088153</v>
      </c>
      <c r="W37" s="8">
        <f>SUM('Model inputs'!W38,'Model inputs'!W39,'Model inputs'!W40)</f>
        <v>295.08051439200136</v>
      </c>
      <c r="X37" s="8">
        <f>SUM('Model inputs'!X38,'Model inputs'!X39,'Model inputs'!X40)</f>
        <v>330.0136817964602</v>
      </c>
      <c r="Y37" s="8">
        <f>SUM('Model inputs'!Y38,'Model inputs'!Y39,'Model inputs'!Y40)</f>
        <v>365.0921444578123</v>
      </c>
      <c r="Z37" s="8">
        <f>SUM('Model inputs'!Z38,'Model inputs'!Z39,'Model inputs'!Z40)</f>
        <v>400.3954360097452</v>
      </c>
      <c r="AA37" s="8">
        <f>SUM('Model inputs'!AA38,'Model inputs'!AA39,'Model inputs'!AA40)</f>
        <v>436.0016417049511</v>
      </c>
      <c r="AB37" s="8">
        <f>SUM('Model inputs'!AB38,'Model inputs'!AB39,'Model inputs'!AB40)</f>
        <v>471.98764010807395</v>
      </c>
      <c r="AC37" s="8">
        <f>SUM('Model inputs'!AC38,'Model inputs'!AC39,'Model inputs'!AC40)</f>
        <v>508.42933477856207</v>
      </c>
      <c r="AD37" s="8">
        <f>SUM('Model inputs'!AD38,'Model inputs'!AD39,'Model inputs'!AD40)</f>
        <v>545.4018768448782</v>
      </c>
      <c r="AE37" s="8">
        <f>SUM('Model inputs'!AE38,'Model inputs'!AE39,'Model inputs'!AE40)</f>
        <v>582.979879321125</v>
      </c>
      <c r="AF37" s="8">
        <f>SUM('Model inputs'!AF38,'Model inputs'!AF39,'Model inputs'!AF40)</f>
        <v>621.2376239704861</v>
      </c>
    </row>
    <row r="38" outlineLevel="1">
      <c r="A38" t="inlineStr" s="21">
        <is>
          <t xml:space="preserve">Ending customers &gt; Indie</t>
        </is>
      </c>
      <c r="B38" s="10">
        <f>IF('Model inputs'!B73="",0,'Model inputs'!B73)+'Model inputs'!B77+'Model inputs'!B170+'Model inputs'!B162-'Model inputs'!B146-'Model inputs'!B166</f>
        <v>0</v>
      </c>
      <c r="C38" s="10">
        <f>'Model inputs'!C73+'Model inputs'!C77+'Model inputs'!C170+'Model inputs'!C162-'Model inputs'!C146-'Model inputs'!C166</f>
        <v>0</v>
      </c>
      <c r="D38" s="10">
        <f>'Model inputs'!D73+'Model inputs'!D77+'Model inputs'!D170+'Model inputs'!D162-'Model inputs'!D146-'Model inputs'!D166</f>
        <v>0</v>
      </c>
      <c r="E38" s="10">
        <f>'Model inputs'!E73+'Model inputs'!E77+'Model inputs'!E170+'Model inputs'!E162-'Model inputs'!E146-'Model inputs'!E166</f>
        <v>0</v>
      </c>
      <c r="F38" s="10">
        <f>'Model inputs'!F73+'Model inputs'!F77+'Model inputs'!F170+'Model inputs'!F162-'Model inputs'!F146-'Model inputs'!F166</f>
        <v>0</v>
      </c>
      <c r="G38" s="10">
        <f>'Model inputs'!G73+'Model inputs'!G77+'Model inputs'!G170+'Model inputs'!G162-'Model inputs'!G146-'Model inputs'!G166</f>
        <v>0</v>
      </c>
      <c r="H38" s="10">
        <f>'Model inputs'!H73+'Model inputs'!H77+'Model inputs'!H170+'Model inputs'!H162-'Model inputs'!H146-'Model inputs'!H166</f>
        <v>0</v>
      </c>
      <c r="I38" s="10">
        <f>'Model inputs'!I73+'Model inputs'!I77+'Model inputs'!I170+'Model inputs'!I162-'Model inputs'!I146-'Model inputs'!I166</f>
        <v>0</v>
      </c>
      <c r="J38" s="10">
        <f>'Model inputs'!J73+'Model inputs'!J77+'Model inputs'!J170+'Model inputs'!J162-'Model inputs'!J146-'Model inputs'!J166</f>
        <v>0</v>
      </c>
      <c r="K38" s="10">
        <f>'Model inputs'!K73+'Model inputs'!K77+'Model inputs'!K170+'Model inputs'!K162-'Model inputs'!K146-'Model inputs'!K166</f>
        <v>0</v>
      </c>
      <c r="L38" s="10">
        <f>'Model inputs'!L73+'Model inputs'!L77+'Model inputs'!L102+'Model inputs'!L90-'Model inputs'!L146-'Model inputs'!L94</f>
        <v>0</v>
      </c>
      <c r="M38" s="10">
        <f>'Model inputs'!M73+'Model inputs'!M77+'Model inputs'!M102+'Model inputs'!M90-'Model inputs'!M146-'Model inputs'!M94</f>
        <v>0</v>
      </c>
      <c r="N38" s="10">
        <f>'Model inputs'!N73+'Model inputs'!N77+'Model inputs'!N102+'Model inputs'!N90-'Model inputs'!N146-'Model inputs'!N94</f>
        <v>0</v>
      </c>
      <c r="O38" s="10">
        <f>'Model inputs'!O73+'Model inputs'!O77+'Model inputs'!O102+'Model inputs'!O90-'Model inputs'!O134-'Model inputs'!O94</f>
        <v>40</v>
      </c>
      <c r="P38" s="10">
        <f>'Model inputs'!P73+'Model inputs'!P77+'Model inputs'!P102+'Model inputs'!P90-'Model inputs'!P134-'Model inputs'!P94</f>
        <v>74.33333333333333</v>
      </c>
      <c r="Q38" s="10">
        <f>'Model inputs'!Q73+'Model inputs'!Q77+'Model inputs'!Q102+'Model inputs'!Q90-'Model inputs'!Q134-'Model inputs'!Q94</f>
        <v>96.37777777777778</v>
      </c>
      <c r="R38" s="10">
        <f>'Model inputs'!R73+'Model inputs'!R77+'Model inputs'!R102+'Model inputs'!R90-'Model inputs'!R134-'Model inputs'!R94</f>
        <v>119.1125925925926</v>
      </c>
      <c r="S38" s="10">
        <f>'Model inputs'!S73+'Model inputs'!S77+'Model inputs'!S102+'Model inputs'!S90-'Model inputs'!S134-'Model inputs'!S94</f>
        <v>142.66455308641977</v>
      </c>
      <c r="T38" s="10">
        <f>'Model inputs'!T73+'Model inputs'!T77+'Model inputs'!T102+'Model inputs'!T90-'Model inputs'!T134-'Model inputs'!T94</f>
        <v>167.16580688065847</v>
      </c>
      <c r="U38" s="10">
        <f>'Model inputs'!U73+'Model inputs'!U77+'Model inputs'!U102+'Model inputs'!U90-'Model inputs'!U134-'Model inputs'!U94</f>
        <v>192.75462167528124</v>
      </c>
      <c r="V38" s="10">
        <f>'Model inputs'!V73+'Model inputs'!V77+'Model inputs'!V102+'Model inputs'!V90-'Model inputs'!V134-'Model inputs'!V94</f>
        <v>219.57617163719584</v>
      </c>
      <c r="W38" s="10">
        <f>'Model inputs'!W73+'Model inputs'!W77+'Model inputs'!W102+'Model inputs'!W90-'Model inputs'!W134-'Model inputs'!W94</f>
        <v>247.78336691420412</v>
      </c>
      <c r="X38" s="10">
        <f>'Model inputs'!X73+'Model inputs'!X77+'Model inputs'!X102+'Model inputs'!X90-'Model inputs'!X134-'Model inputs'!X94</f>
        <v>275.8239067748581</v>
      </c>
      <c r="Y38" s="10">
        <f>'Model inputs'!Y73+'Model inputs'!Y77+'Model inputs'!Y102+'Model inputs'!Y90-'Model inputs'!Y134-'Model inputs'!Y94</f>
        <v>303.77745455099915</v>
      </c>
      <c r="Z38" s="10">
        <f>'Model inputs'!Z73+'Model inputs'!Z77+'Model inputs'!Z102+'Model inputs'!Z90-'Model inputs'!Z134-'Model inputs'!Z94</f>
        <v>331.7211048045094</v>
      </c>
      <c r="AA38" s="10">
        <f>'Model inputs'!AA73+'Model inputs'!AA77+'Model inputs'!AA102+'Model inputs'!AA90-'Model inputs'!AA134-'Model inputs'!AA94</f>
        <v>359.72966426339536</v>
      </c>
      <c r="AB38" s="10">
        <f>'Model inputs'!AB73+'Model inputs'!AB77+'Model inputs'!AB102+'Model inputs'!AB90-'Model inputs'!AB134-'Model inputs'!AB94</f>
        <v>387.87591841618973</v>
      </c>
      <c r="AC38" s="10">
        <f>'Model inputs'!AC73+'Model inputs'!AC77+'Model inputs'!AC102+'Model inputs'!AC90-'Model inputs'!AC134-'Model inputs'!AC94</f>
        <v>416.23088489627867</v>
      </c>
      <c r="AD38" s="10">
        <f>'Model inputs'!AD73+'Model inputs'!AD77+'Model inputs'!AD102+'Model inputs'!AD90-'Model inputs'!AD134-'Model inputs'!AD94</f>
        <v>444.8640547193417</v>
      </c>
      <c r="AE38" s="10">
        <f>'Model inputs'!AE73+'Model inputs'!AE77+'Model inputs'!AE102+'Model inputs'!AE90-'Model inputs'!AE134-'Model inputs'!AE94</f>
        <v>473.8436223735132</v>
      </c>
      <c r="AF38" s="10">
        <f>'Model inputs'!AF73+'Model inputs'!AF77+'Model inputs'!AF102+'Model inputs'!AF90-'Model inputs'!AF134-'Model inputs'!AF94</f>
        <v>503.23670570282496</v>
      </c>
    </row>
    <row r="39" outlineLevel="1">
      <c r="A39" t="inlineStr" s="21">
        <is>
          <t xml:space="preserve">Ending customers &gt; Launch</t>
        </is>
      </c>
      <c r="B39" s="10">
        <f>IF('Model inputs'!B74="",0,'Model inputs'!B74)+'Model inputs'!B78+'Model inputs'!B171+'Model inputs'!B163-'Model inputs'!B147-'Model inputs'!B167</f>
        <v>0</v>
      </c>
      <c r="C39" s="10">
        <f>'Model inputs'!C74+'Model inputs'!C78+'Model inputs'!C171+'Model inputs'!C163-'Model inputs'!C147-'Model inputs'!C167</f>
        <v>0</v>
      </c>
      <c r="D39" s="10">
        <f>'Model inputs'!D74+'Model inputs'!D78+'Model inputs'!D171+'Model inputs'!D163-'Model inputs'!D147-'Model inputs'!D167</f>
        <v>0</v>
      </c>
      <c r="E39" s="10">
        <f>'Model inputs'!E74+'Model inputs'!E78+'Model inputs'!E171+'Model inputs'!E163-'Model inputs'!E147-'Model inputs'!E167</f>
        <v>0</v>
      </c>
      <c r="F39" s="10">
        <f>'Model inputs'!F74+'Model inputs'!F78+'Model inputs'!F171+'Model inputs'!F163-'Model inputs'!F147-'Model inputs'!F167</f>
        <v>0</v>
      </c>
      <c r="G39" s="10">
        <f>'Model inputs'!G74+'Model inputs'!G78+'Model inputs'!G171+'Model inputs'!G163-'Model inputs'!G147-'Model inputs'!G167</f>
        <v>0</v>
      </c>
      <c r="H39" s="10">
        <f>'Model inputs'!H74+'Model inputs'!H78+'Model inputs'!H171+'Model inputs'!H163-'Model inputs'!H147-'Model inputs'!H167</f>
        <v>0</v>
      </c>
      <c r="I39" s="10">
        <f>'Model inputs'!I74+'Model inputs'!I78+'Model inputs'!I171+'Model inputs'!I163-'Model inputs'!I147-'Model inputs'!I167</f>
        <v>0</v>
      </c>
      <c r="J39" s="10">
        <f>'Model inputs'!J74+'Model inputs'!J78+'Model inputs'!J171+'Model inputs'!J163-'Model inputs'!J147-'Model inputs'!J167</f>
        <v>0</v>
      </c>
      <c r="K39" s="10">
        <f>'Model inputs'!K74+'Model inputs'!K78+'Model inputs'!K171+'Model inputs'!K163-'Model inputs'!K147-'Model inputs'!K167</f>
        <v>0</v>
      </c>
      <c r="L39" s="10">
        <f>'Model inputs'!L74+'Model inputs'!L78+'Model inputs'!L103+'Model inputs'!L91-'Model inputs'!L147-'Model inputs'!L95</f>
        <v>0</v>
      </c>
      <c r="M39" s="10">
        <f>'Model inputs'!M74+'Model inputs'!M78+'Model inputs'!M103+'Model inputs'!M91-'Model inputs'!M147-'Model inputs'!M95</f>
        <v>0</v>
      </c>
      <c r="N39" s="10">
        <f>'Model inputs'!N74+'Model inputs'!N78+'Model inputs'!N103+'Model inputs'!N91-'Model inputs'!N147-'Model inputs'!N95</f>
        <v>0</v>
      </c>
      <c r="O39" s="10">
        <f>'Model inputs'!O74+'Model inputs'!O78+'Model inputs'!O103+'Model inputs'!O91-'Model inputs'!O135-'Model inputs'!O95</f>
        <v>1</v>
      </c>
      <c r="P39" s="10">
        <f>'Model inputs'!P74+'Model inputs'!P78+'Model inputs'!P103+'Model inputs'!P91-'Model inputs'!P135-'Model inputs'!P95</f>
        <v>1.51</v>
      </c>
      <c r="Q39" s="10">
        <f>'Model inputs'!Q74+'Model inputs'!Q78+'Model inputs'!Q103+'Model inputs'!Q91-'Model inputs'!Q135-'Model inputs'!Q95</f>
        <v>2.025106944444444</v>
      </c>
      <c r="R39" s="10">
        <f>'Model inputs'!R74+'Model inputs'!R78+'Model inputs'!R103+'Model inputs'!R91-'Model inputs'!R135-'Model inputs'!R95</f>
        <v>2.547012070601851</v>
      </c>
      <c r="S39" s="10">
        <f>'Model inputs'!S74+'Model inputs'!S78+'Model inputs'!S103+'Model inputs'!S91-'Model inputs'!S135-'Model inputs'!S95</f>
        <v>3.0771044879079854</v>
      </c>
      <c r="T39" s="10">
        <f>'Model inputs'!T74+'Model inputs'!T78+'Model inputs'!T103+'Model inputs'!T91-'Model inputs'!T135-'Model inputs'!T95</f>
        <v>3.6168582008046233</v>
      </c>
      <c r="U39" s="10">
        <f>'Model inputs'!U74+'Model inputs'!U78+'Model inputs'!U103+'Model inputs'!U91-'Model inputs'!U135-'Model inputs'!U95</f>
        <v>4.167844494352857</v>
      </c>
      <c r="V39" s="10">
        <f>'Model inputs'!V74+'Model inputs'!V78+'Model inputs'!V103+'Model inputs'!V91-'Model inputs'!V135-'Model inputs'!V95</f>
        <v>4.731745191609298</v>
      </c>
      <c r="W39" s="10">
        <f>'Model inputs'!W74+'Model inputs'!W78+'Model inputs'!W103+'Model inputs'!W91-'Model inputs'!W135-'Model inputs'!W95</f>
        <v>5.310366891827144</v>
      </c>
      <c r="X39" s="10">
        <f>'Model inputs'!X74+'Model inputs'!X78+'Model inputs'!X103+'Model inputs'!X91-'Model inputs'!X135-'Model inputs'!X95</f>
        <v>5.905656307557946</v>
      </c>
      <c r="Y39" s="10">
        <f>'Model inputs'!Y74+'Model inputs'!Y78+'Model inputs'!Y103+'Model inputs'!Y91-'Model inputs'!Y135-'Model inputs'!Y95</f>
        <v>6.51825529091976</v>
      </c>
      <c r="Z39" s="10">
        <f>'Model inputs'!Z74+'Model inputs'!Z78+'Model inputs'!Z103+'Model inputs'!Z91-'Model inputs'!Z135-'Model inputs'!Z95</f>
        <v>7.148799939122187</v>
      </c>
      <c r="AA39" s="10">
        <f>'Model inputs'!AA74+'Model inputs'!AA78+'Model inputs'!AA103+'Model inputs'!AA91-'Model inputs'!AA135-'Model inputs'!AA95</f>
        <v>7.797924320310828</v>
      </c>
      <c r="AB39" s="10">
        <f>'Model inputs'!AB74+'Model inputs'!AB78+'Model inputs'!AB103+'Model inputs'!AB91-'Model inputs'!AB135-'Model inputs'!AB95</f>
        <v>8.466264010178019</v>
      </c>
      <c r="AC39" s="10">
        <f>'Model inputs'!AC74+'Model inputs'!AC78+'Model inputs'!AC103+'Model inputs'!AC91-'Model inputs'!AC135-'Model inputs'!AC95</f>
        <v>9.154459457032457</v>
      </c>
      <c r="AD39" s="10">
        <f>'Model inputs'!AD74+'Model inputs'!AD78+'Model inputs'!AD103+'Model inputs'!AD91-'Model inputs'!AD135-'Model inputs'!AD95</f>
        <v>9.86315919194885</v>
      </c>
      <c r="AE39" s="10">
        <f>'Model inputs'!AE74+'Model inputs'!AE78+'Model inputs'!AE103+'Model inputs'!AE91-'Model inputs'!AE135-'Model inputs'!AE95</f>
        <v>10.59302289962623</v>
      </c>
      <c r="AF39" s="10">
        <f>'Model inputs'!AF74+'Model inputs'!AF78+'Model inputs'!AF103+'Model inputs'!AF91-'Model inputs'!AF135-'Model inputs'!AF95</f>
        <v>11.344724364665112</v>
      </c>
    </row>
    <row r="40" outlineLevel="1">
      <c r="A40" t="inlineStr" s="21">
        <is>
          <t xml:space="preserve">Ending customers &gt; Team</t>
        </is>
      </c>
      <c r="B40" s="10">
        <f>IF('Model inputs'!B75="",0,'Model inputs'!B75)+'Model inputs'!B79+'Model inputs'!B172+'Model inputs'!B164-'Model inputs'!B148-'Model inputs'!B168</f>
        <v>0</v>
      </c>
      <c r="C40" s="10">
        <f>'Model inputs'!C75+'Model inputs'!C79+'Model inputs'!C172+'Model inputs'!C164-'Model inputs'!C148-'Model inputs'!C168</f>
        <v>0</v>
      </c>
      <c r="D40" s="10">
        <f>'Model inputs'!D75+'Model inputs'!D79+'Model inputs'!D172+'Model inputs'!D164-'Model inputs'!D148-'Model inputs'!D168</f>
        <v>0</v>
      </c>
      <c r="E40" s="10">
        <f>'Model inputs'!E75+'Model inputs'!E79+'Model inputs'!E172+'Model inputs'!E164-'Model inputs'!E148-'Model inputs'!E168</f>
        <v>0</v>
      </c>
      <c r="F40" s="10">
        <f>'Model inputs'!F75+'Model inputs'!F79+'Model inputs'!F172+'Model inputs'!F164-'Model inputs'!F148-'Model inputs'!F168</f>
        <v>0</v>
      </c>
      <c r="G40" s="10">
        <f>'Model inputs'!G75+'Model inputs'!G79+'Model inputs'!G172+'Model inputs'!G164-'Model inputs'!G148-'Model inputs'!G168</f>
        <v>0</v>
      </c>
      <c r="H40" s="10">
        <f>'Model inputs'!H75+'Model inputs'!H79+'Model inputs'!H172+'Model inputs'!H164-'Model inputs'!H148-'Model inputs'!H168</f>
        <v>0</v>
      </c>
      <c r="I40" s="10">
        <f>'Model inputs'!I75+'Model inputs'!I79+'Model inputs'!I172+'Model inputs'!I164-'Model inputs'!I148-'Model inputs'!I168</f>
        <v>0</v>
      </c>
      <c r="J40" s="10">
        <f>'Model inputs'!J75+'Model inputs'!J79+'Model inputs'!J172+'Model inputs'!J164-'Model inputs'!J148-'Model inputs'!J168</f>
        <v>0</v>
      </c>
      <c r="K40" s="10">
        <f>'Model inputs'!K75+'Model inputs'!K79+'Model inputs'!K172+'Model inputs'!K164-'Model inputs'!K148-'Model inputs'!K168</f>
        <v>0</v>
      </c>
      <c r="L40" s="10">
        <f>'Model inputs'!L75+'Model inputs'!L79+'Model inputs'!L104+'Model inputs'!L92-'Model inputs'!L148-'Model inputs'!L96</f>
        <v>0</v>
      </c>
      <c r="M40" s="10">
        <f>'Model inputs'!M75+'Model inputs'!M79+'Model inputs'!M104+'Model inputs'!M92-'Model inputs'!M148-'Model inputs'!M96</f>
        <v>0</v>
      </c>
      <c r="N40" s="10">
        <f>'Model inputs'!N75+'Model inputs'!N79+'Model inputs'!N104+'Model inputs'!N92-'Model inputs'!N148-'Model inputs'!N96</f>
        <v>0</v>
      </c>
      <c r="O40" s="10">
        <f>'Model inputs'!O75+'Model inputs'!O79+'Model inputs'!O104+'Model inputs'!O92-'Model inputs'!O136-'Model inputs'!O96</f>
        <v>6</v>
      </c>
      <c r="P40" s="10">
        <f>'Model inputs'!P75+'Model inputs'!P79+'Model inputs'!P104+'Model inputs'!P92-'Model inputs'!P136-'Model inputs'!P96</f>
        <v>9.061666666666667</v>
      </c>
      <c r="Q40" s="10">
        <f>'Model inputs'!Q75+'Model inputs'!Q79+'Model inputs'!Q104+'Model inputs'!Q92-'Model inputs'!Q136-'Model inputs'!Q96</f>
        <v>12.547615277777778</v>
      </c>
      <c r="R40" s="10">
        <f>'Model inputs'!R75+'Model inputs'!R79+'Model inputs'!R104+'Model inputs'!R92-'Model inputs'!R136-'Model inputs'!R96</f>
        <v>16.391423607638888</v>
      </c>
      <c r="S40" s="10">
        <f>'Model inputs'!S75+'Model inputs'!S79+'Model inputs'!S104+'Model inputs'!S92-'Model inputs'!S136-'Model inputs'!S96</f>
        <v>20.618467251661844</v>
      </c>
      <c r="T40" s="10">
        <f>'Model inputs'!T75+'Model inputs'!T79+'Model inputs'!T104+'Model inputs'!T92-'Model inputs'!T136-'Model inputs'!T96</f>
        <v>25.257399974472865</v>
      </c>
      <c r="U40" s="10">
        <f>'Model inputs'!U75+'Model inputs'!U79+'Model inputs'!U104+'Model inputs'!U92-'Model inputs'!U136-'Model inputs'!U96</f>
        <v>30.3404075212161</v>
      </c>
      <c r="V40" s="10">
        <f>'Model inputs'!V75+'Model inputs'!V79+'Model inputs'!V104+'Model inputs'!V92-'Model inputs'!V136-'Model inputs'!V96</f>
        <v>35.90349074207642</v>
      </c>
      <c r="W40" s="10">
        <f>'Model inputs'!W75+'Model inputs'!W79+'Model inputs'!W104+'Model inputs'!W92-'Model inputs'!W136-'Model inputs'!W96</f>
        <v>41.986780585970116</v>
      </c>
      <c r="X40" s="10">
        <f>'Model inputs'!X75+'Model inputs'!X79+'Model inputs'!X104+'Model inputs'!X92-'Model inputs'!X136-'Model inputs'!X96</f>
        <v>48.284118714044176</v>
      </c>
      <c r="Y40" s="10">
        <f>'Model inputs'!Y75+'Model inputs'!Y79+'Model inputs'!Y104+'Model inputs'!Y92-'Model inputs'!Y136-'Model inputs'!Y96</f>
        <v>54.79643461589339</v>
      </c>
      <c r="Z40" s="10">
        <f>'Model inputs'!Z75+'Model inputs'!Z79+'Model inputs'!Z104+'Model inputs'!Z92-'Model inputs'!Z136-'Model inputs'!Z96</f>
        <v>61.52553126611357</v>
      </c>
      <c r="AA40" s="10">
        <f>'Model inputs'!AA75+'Model inputs'!AA79+'Model inputs'!AA104+'Model inputs'!AA92-'Model inputs'!AA136-'Model inputs'!AA96</f>
        <v>68.47405312124489</v>
      </c>
      <c r="AB40" s="10">
        <f>'Model inputs'!AB75+'Model inputs'!AB79+'Model inputs'!AB104+'Model inputs'!AB92-'Model inputs'!AB136-'Model inputs'!AB96</f>
        <v>75.64545768170619</v>
      </c>
      <c r="AC40" s="10">
        <f>'Model inputs'!AC75+'Model inputs'!AC79+'Model inputs'!AC104+'Model inputs'!AC92-'Model inputs'!AC136-'Model inputs'!AC96</f>
        <v>83.04399042525094</v>
      </c>
      <c r="AD40" s="10">
        <f>'Model inputs'!AD75+'Model inputs'!AD79+'Model inputs'!AD104+'Model inputs'!AD92-'Model inputs'!AD136-'Model inputs'!AD96</f>
        <v>90.67466293358764</v>
      </c>
      <c r="AE40" s="10">
        <f>'Model inputs'!AE75+'Model inputs'!AE79+'Model inputs'!AE104+'Model inputs'!AE92-'Model inputs'!AE136-'Model inputs'!AE96</f>
        <v>98.54323404798558</v>
      </c>
      <c r="AF40" s="10">
        <f>'Model inputs'!AF75+'Model inputs'!AF79+'Model inputs'!AF104+'Model inputs'!AF92-'Model inputs'!AF136-'Model inputs'!AF96</f>
        <v>106.65619390299605</v>
      </c>
    </row>
    <row r="41">
      <c r="A41" t="inlineStr" s="20">
        <is>
          <t xml:space="preserve">Kits used per customer</t>
        </is>
      </c>
      <c r="AG41" s="8">
        <v>0</v>
      </c>
    </row>
    <row r="42" outlineLevel="1">
      <c r="A42" t="inlineStr" s="21">
        <is>
          <t xml:space="preserve">Kits used per customer &gt; Indie</t>
        </is>
      </c>
      <c r="AG42" s="10">
        <f>8</f>
        <v>8</v>
      </c>
    </row>
    <row r="43" outlineLevel="1">
      <c r="A43" t="inlineStr" s="21">
        <is>
          <t xml:space="preserve">Kits used per customer &gt; Launch</t>
        </is>
      </c>
      <c r="AG43" s="10">
        <f>200</f>
        <v>200</v>
      </c>
    </row>
    <row r="44" outlineLevel="1">
      <c r="A44" t="inlineStr" s="21">
        <is>
          <t xml:space="preserve">Kits used per customer &gt; Team</t>
        </is>
      </c>
      <c r="AG44" s="10">
        <f>45</f>
        <v>45</v>
      </c>
    </row>
    <row r="45">
      <c r="A45" t="inlineStr" s="20">
        <is>
          <t xml:space="preserve">Logo growth after month 8</t>
        </is>
      </c>
      <c r="AG45" s="13">
        <v>0</v>
      </c>
    </row>
    <row r="46" outlineLevel="1">
      <c r="A46" t="inlineStr" s="21">
        <is>
          <t xml:space="preserve">Logo growth after month 8 &gt; Indie</t>
        </is>
      </c>
      <c r="AG46" s="14">
        <f>0.04</f>
        <v>0.04</v>
      </c>
    </row>
    <row r="47" outlineLevel="1">
      <c r="A47" t="inlineStr" s="21">
        <is>
          <t xml:space="preserve">Logo growth after month 8 &gt; Launch</t>
        </is>
      </c>
      <c r="AG47" s="14">
        <f>0</f>
        <v>0</v>
      </c>
    </row>
    <row r="48" outlineLevel="1">
      <c r="A48" t="inlineStr" s="21">
        <is>
          <t xml:space="preserve">Logo growth after month 8 &gt; Team</t>
        </is>
      </c>
      <c r="AG48" s="14">
        <f>0.04</f>
        <v>0.04</v>
      </c>
    </row>
    <row r="49">
      <c r="A49" t="inlineStr" s="20">
        <is>
          <t xml:space="preserve">Logo growth through month 8</t>
        </is>
      </c>
      <c r="AG49" s="13">
        <v>0</v>
      </c>
    </row>
    <row r="50" outlineLevel="1">
      <c r="A50" t="inlineStr" s="21">
        <is>
          <t xml:space="preserve">Logo growth through month 8 &gt; Indie</t>
        </is>
      </c>
      <c r="AG50" s="14">
        <f>0.08</f>
        <v>0.08</v>
      </c>
    </row>
    <row r="51" outlineLevel="1">
      <c r="A51" t="inlineStr" s="21">
        <is>
          <t xml:space="preserve">Logo growth through month 8 &gt; Launch</t>
        </is>
      </c>
      <c r="AG51" s="14">
        <f>0</f>
        <v>0</v>
      </c>
    </row>
    <row r="52" outlineLevel="1">
      <c r="A52" t="inlineStr" s="21">
        <is>
          <t xml:space="preserve">Logo growth through month 8 &gt; Team</t>
        </is>
      </c>
      <c r="AG52" s="14">
        <f>0.1</f>
        <v>0.1</v>
      </c>
    </row>
    <row r="53">
      <c r="A53" t="inlineStr" s="20">
        <is>
          <t xml:space="preserve">Long-trailer add-on price</t>
        </is>
      </c>
      <c r="AG53" s="22">
        <f>0.4</f>
        <v>0.4</v>
      </c>
    </row>
    <row r="54">
      <c r="A54" t="inlineStr" s="20">
        <is>
          <t xml:space="preserve">Long-trailer share of kits</t>
        </is>
      </c>
      <c r="AG54" s="14">
        <f>0.15</f>
        <v>0.15</v>
      </c>
    </row>
    <row r="55">
      <c r="A55" t="inlineStr" s="20">
        <is>
          <t xml:space="preserve">Model month · RC Customers by plan</t>
        </is>
      </c>
      <c r="B55" s="17">
        <f>(YEAR(DATE(2025,10,1))-2026)*12+MONTH(DATE(2025,10,1))-11</f>
        <v>-13</v>
      </c>
      <c r="C55" s="17">
        <f>(YEAR(DATE(2025,11,1))-2026)*12+MONTH(DATE(2025,11,1))-11</f>
        <v>-12</v>
      </c>
      <c r="D55" s="17">
        <f>(YEAR(DATE(2025,12,1))-2026)*12+MONTH(DATE(2025,12,1))-11</f>
        <v>-11</v>
      </c>
      <c r="E55" s="17">
        <f>(YEAR(DATE(2026,1,1))-2026)*12+MONTH(DATE(2026,1,1))-11</f>
        <v>-10</v>
      </c>
      <c r="F55" s="17">
        <f>(YEAR(DATE(2026,2,1))-2026)*12+MONTH(DATE(2026,2,1))-11</f>
        <v>-9</v>
      </c>
      <c r="G55" s="17">
        <f>(YEAR(DATE(2026,3,1))-2026)*12+MONTH(DATE(2026,3,1))-11</f>
        <v>-8</v>
      </c>
      <c r="H55" s="17">
        <f>(YEAR(DATE(2026,4,1))-2026)*12+MONTH(DATE(2026,4,1))-11</f>
        <v>-7</v>
      </c>
      <c r="I55" s="17">
        <f>(YEAR(DATE(2026,5,1))-2026)*12+MONTH(DATE(2026,5,1))-11</f>
        <v>-6</v>
      </c>
      <c r="J55" s="17">
        <f>(YEAR(DATE(2026,6,1))-2026)*12+MONTH(DATE(2026,6,1))-11</f>
        <v>-5</v>
      </c>
      <c r="K55" s="17">
        <f>(YEAR(DATE(2026,7,1))-2026)*12+MONTH(DATE(2026,7,1))-11</f>
        <v>-4</v>
      </c>
      <c r="L55" s="17">
        <f>(YEAR(DATE(2026,8,1))-2026)*12+MONTH(DATE(2026,8,1))-11</f>
        <v>-3</v>
      </c>
      <c r="M55" s="17">
        <f>(YEAR(DATE(2026,9,1))-2026)*12+MONTH(DATE(2026,9,1))-11</f>
        <v>-2</v>
      </c>
      <c r="N55" s="17">
        <f>(YEAR(DATE(2026,10,1))-2026)*12+MONTH(DATE(2026,10,1))-11</f>
        <v>-1</v>
      </c>
      <c r="O55" s="17">
        <f>(YEAR(DATE(2026,11,1))-2026)*12+MONTH(DATE(2026,11,1))-11</f>
        <v>0</v>
      </c>
      <c r="P55" s="17">
        <f>(YEAR(DATE(2026,12,1))-2026)*12+MONTH(DATE(2026,12,1))-11</f>
        <v>1</v>
      </c>
      <c r="Q55" s="17">
        <f>(YEAR(DATE(2027,1,1))-2026)*12+MONTH(DATE(2027,1,1))-11</f>
        <v>2</v>
      </c>
      <c r="R55" s="17">
        <f>(YEAR(DATE(2027,2,1))-2026)*12+MONTH(DATE(2027,2,1))-11</f>
        <v>3</v>
      </c>
      <c r="S55" s="17">
        <f>(YEAR(DATE(2027,3,1))-2026)*12+MONTH(DATE(2027,3,1))-11</f>
        <v>4</v>
      </c>
      <c r="T55" s="17">
        <f>(YEAR(DATE(2027,4,1))-2026)*12+MONTH(DATE(2027,4,1))-11</f>
        <v>5</v>
      </c>
      <c r="U55" s="17">
        <f>(YEAR(DATE(2027,5,1))-2026)*12+MONTH(DATE(2027,5,1))-11</f>
        <v>6</v>
      </c>
      <c r="V55" s="17">
        <f>(YEAR(DATE(2027,6,1))-2026)*12+MONTH(DATE(2027,6,1))-11</f>
        <v>7</v>
      </c>
      <c r="W55" s="17">
        <f>(YEAR(DATE(2027,7,1))-2026)*12+MONTH(DATE(2027,7,1))-11</f>
        <v>8</v>
      </c>
      <c r="X55" s="17">
        <f>(YEAR(DATE(2027,8,1))-2026)*12+MONTH(DATE(2027,8,1))-11</f>
        <v>9</v>
      </c>
      <c r="Y55" s="17">
        <f>(YEAR(DATE(2027,9,1))-2026)*12+MONTH(DATE(2027,9,1))-11</f>
        <v>10</v>
      </c>
      <c r="Z55" s="17">
        <f>(YEAR(DATE(2027,10,1))-2026)*12+MONTH(DATE(2027,10,1))-11</f>
        <v>11</v>
      </c>
      <c r="AA55" s="17">
        <f>(YEAR(DATE(2027,11,1))-2026)*12+MONTH(DATE(2027,11,1))-11</f>
        <v>12</v>
      </c>
      <c r="AB55" s="17">
        <f>(YEAR(DATE(2027,12,1))-2026)*12+MONTH(DATE(2027,12,1))-11</f>
        <v>13</v>
      </c>
      <c r="AC55" s="17">
        <f>(YEAR(DATE(2028,1,1))-2026)*12+MONTH(DATE(2028,1,1))-11</f>
        <v>14</v>
      </c>
      <c r="AD55" s="17">
        <f>(YEAR(DATE(2028,2,1))-2026)*12+MONTH(DATE(2028,2,1))-11</f>
        <v>15</v>
      </c>
      <c r="AE55" s="17">
        <f>(YEAR(DATE(2028,3,1))-2026)*12+MONTH(DATE(2028,3,1))-11</f>
        <v>16</v>
      </c>
      <c r="AF55" s="17">
        <f>(YEAR(DATE(2028,4,1))-2026)*12+MONTH(DATE(2028,4,1))-11</f>
        <v>17</v>
      </c>
    </row>
    <row r="56">
      <c r="A56" t="inlineStr" s="20">
        <is>
          <t xml:space="preserve">Monthly logo churn</t>
        </is>
      </c>
      <c r="AG56" s="24">
        <v>0</v>
      </c>
    </row>
    <row r="57" outlineLevel="1">
      <c r="A57" t="inlineStr" s="21">
        <is>
          <t xml:space="preserve">Monthly logo churn &gt; Indie</t>
        </is>
      </c>
      <c r="AG57" s="23">
        <f>0.06</f>
        <v>0.06</v>
      </c>
    </row>
    <row r="58" outlineLevel="1">
      <c r="A58" t="inlineStr" s="21">
        <is>
          <t xml:space="preserve">Monthly logo churn &gt; Launch</t>
        </is>
      </c>
      <c r="AG58" s="23">
        <f>0.015</f>
        <v>0.015</v>
      </c>
    </row>
    <row r="59" outlineLevel="1">
      <c r="A59" t="inlineStr" s="21">
        <is>
          <t xml:space="preserve">Monthly logo churn &gt; Team</t>
        </is>
      </c>
      <c r="AG59" s="23">
        <f>0.03</f>
        <v>0.03</v>
      </c>
    </row>
    <row r="60">
      <c r="A60" t="inlineStr" s="20">
        <is>
          <t xml:space="preserve">Monthly price</t>
        </is>
      </c>
      <c r="AG60" s="15">
        <v>0</v>
      </c>
    </row>
    <row r="61" outlineLevel="1">
      <c r="A61" t="inlineStr" s="21">
        <is>
          <t xml:space="preserve">Monthly price &gt; Indie</t>
        </is>
      </c>
      <c r="AG61" s="16">
        <f>29</f>
        <v>29</v>
      </c>
    </row>
    <row r="62" outlineLevel="1">
      <c r="A62" t="inlineStr" s="21">
        <is>
          <t xml:space="preserve">Monthly price &gt; Launch</t>
        </is>
      </c>
      <c r="AG62" s="16">
        <f>499</f>
        <v>499</v>
      </c>
    </row>
    <row r="63" outlineLevel="1">
      <c r="A63" t="inlineStr" s="21">
        <is>
          <t xml:space="preserve">Monthly price &gt; Team</t>
        </is>
      </c>
      <c r="AG63" s="16">
        <f>149</f>
        <v>149</v>
      </c>
    </row>
    <row r="64">
      <c r="A64" t="inlineStr" s="20">
        <is>
          <t xml:space="preserve">New annual prepayments</t>
        </is>
      </c>
      <c r="B64" s="8">
        <f>SUM('Model inputs'!B65,'Model inputs'!B66,'Model inputs'!B67)</f>
        <v>0</v>
      </c>
      <c r="C64" s="8">
        <f>SUM('Model inputs'!C65,'Model inputs'!C66,'Model inputs'!C67)</f>
        <v>0</v>
      </c>
      <c r="D64" s="8">
        <f>SUM('Model inputs'!D65,'Model inputs'!D66,'Model inputs'!D67)</f>
        <v>0</v>
      </c>
      <c r="E64" s="8">
        <f>SUM('Model inputs'!E65,'Model inputs'!E66,'Model inputs'!E67)</f>
        <v>0</v>
      </c>
      <c r="F64" s="8">
        <f>SUM('Model inputs'!F65,'Model inputs'!F66,'Model inputs'!F67)</f>
        <v>0</v>
      </c>
      <c r="G64" s="8">
        <f>SUM('Model inputs'!G65,'Model inputs'!G66,'Model inputs'!G67)</f>
        <v>0</v>
      </c>
      <c r="H64" s="8">
        <f>SUM('Model inputs'!H65,'Model inputs'!H66,'Model inputs'!H67)</f>
        <v>0</v>
      </c>
      <c r="I64" s="8">
        <f>SUM('Model inputs'!I65,'Model inputs'!I66,'Model inputs'!I67)</f>
        <v>0</v>
      </c>
      <c r="J64" s="8">
        <f>SUM('Model inputs'!J65,'Model inputs'!J66,'Model inputs'!J67)</f>
        <v>0</v>
      </c>
      <c r="K64" s="8">
        <f>SUM('Model inputs'!K65,'Model inputs'!K66,'Model inputs'!K67)</f>
        <v>0</v>
      </c>
      <c r="L64" s="8">
        <f>SUM('Model inputs'!L65,'Model inputs'!L66,'Model inputs'!L67)</f>
        <v>0</v>
      </c>
      <c r="M64" s="8">
        <f>SUM('Model inputs'!M65,'Model inputs'!M66,'Model inputs'!M67)</f>
        <v>0</v>
      </c>
      <c r="N64" s="8">
        <f>SUM('Model inputs'!N65,'Model inputs'!N66,'Model inputs'!N67)</f>
        <v>0</v>
      </c>
      <c r="O64" s="8">
        <f>SUM('Model inputs'!O65,'Model inputs'!O66,'Model inputs'!O67)</f>
        <v>0</v>
      </c>
      <c r="P64" s="8">
        <f>SUM('Model inputs'!P65,'Model inputs'!P66,'Model inputs'!P67)</f>
        <v>0.6166805555555555</v>
      </c>
      <c r="Q64" s="8">
        <f>SUM('Model inputs'!Q65,'Model inputs'!Q66,'Model inputs'!Q67)</f>
        <v>1.100649537037037</v>
      </c>
      <c r="R64" s="8">
        <f>SUM('Model inputs'!R65,'Model inputs'!R66,'Model inputs'!R67)</f>
        <v>1.6615359083912034</v>
      </c>
      <c r="S64" s="8">
        <f>SUM('Model inputs'!S65,'Model inputs'!S66,'Model inputs'!S67)</f>
        <v>2.3074813761662645</v>
      </c>
      <c r="T64" s="8">
        <f>SUM('Model inputs'!T65,'Model inputs'!T66,'Model inputs'!T67)</f>
        <v>3.0477910316922854</v>
      </c>
      <c r="U64" s="8">
        <f>SUM('Model inputs'!U65,'Model inputs'!U66,'Model inputs'!U67)</f>
        <v>3.893055575398357</v>
      </c>
      <c r="V64" s="8">
        <f>SUM('Model inputs'!V65,'Model inputs'!V66,'Model inputs'!V67)</f>
        <v>2.4848998339089894</v>
      </c>
      <c r="W64" s="8">
        <f>SUM('Model inputs'!W65,'Model inputs'!W66,'Model inputs'!W67)</f>
        <v>2.733497355486792</v>
      </c>
      <c r="X64" s="8">
        <f>SUM('Model inputs'!X65,'Model inputs'!X66,'Model inputs'!X67)</f>
        <v>2.881160262666482</v>
      </c>
      <c r="Y64" s="8">
        <f>SUM('Model inputs'!Y65,'Model inputs'!Y66,'Model inputs'!Y67)</f>
        <v>3.0317081519360025</v>
      </c>
      <c r="Z64" s="8">
        <f>SUM('Model inputs'!Z65,'Model inputs'!Z66,'Model inputs'!Z67)</f>
        <v>3.1854578581921253</v>
      </c>
      <c r="AA64" s="8">
        <f>SUM('Model inputs'!AA65,'Model inputs'!AA66,'Model inputs'!AA67)</f>
        <v>3.3427254606865704</v>
      </c>
      <c r="AB64" s="8">
        <f>SUM('Model inputs'!AB65,'Model inputs'!AB66,'Model inputs'!AB67)</f>
        <v>3.503827148069677</v>
      </c>
      <c r="AC64" s="8">
        <f>SUM('Model inputs'!AC65,'Model inputs'!AC66,'Model inputs'!AC67)</f>
        <v>3.6690800583510628</v>
      </c>
      <c r="AD64" s="8">
        <f>SUM('Model inputs'!AD65,'Model inputs'!AD66,'Model inputs'!AD67)</f>
        <v>3.838803096753139</v>
      </c>
      <c r="AE64" s="8">
        <f>SUM('Model inputs'!AE65,'Model inputs'!AE66,'Model inputs'!AE67)</f>
        <v>4.013317734286764</v>
      </c>
      <c r="AF64" s="8">
        <f>SUM('Model inputs'!AF65,'Model inputs'!AF66,'Model inputs'!AF67)</f>
        <v>4.192948789744163</v>
      </c>
    </row>
    <row r="65" outlineLevel="1">
      <c r="A65" t="inlineStr" s="21">
        <is>
          <t xml:space="preserve">New annual prepayments &gt; Indie</t>
        </is>
      </c>
      <c r="B65" s="10">
        <f>IF(IF(IF(ISERROR('Model inputs'!B55&lt;1),'Model inputs'!B55&lt;1,IF('Model inputs'!B55="","",'Model inputs'!B55&lt;1))="",FALSE,IF(ISERROR('Model inputs'!B55&lt;1),'Model inputs'!B55&lt;1,IF('Model inputs'!B55="","",'Model inputs'!B55&lt;1))),0,MAX('Model inputs'!B7-0*(1-'Model inputs'!AG57),0))</f>
        <v>0</v>
      </c>
      <c r="C65" s="10">
        <f>IF(IF(IF(ISERROR('Model inputs'!C55&lt;1),'Model inputs'!C55&lt;1,IF('Model inputs'!C55="","",'Model inputs'!C55&lt;1))="",FALSE,IF(ISERROR('Model inputs'!C55&lt;1),'Model inputs'!C55&lt;1,IF('Model inputs'!C55="","",'Model inputs'!C55&lt;1))),0,MAX('Model inputs'!C7-'Model inputs'!B7*(1-'Model inputs'!AG57),0))</f>
        <v>0</v>
      </c>
      <c r="D65" s="10">
        <f>IF(IF(IF(ISERROR('Model inputs'!D55&lt;1),'Model inputs'!D55&lt;1,IF('Model inputs'!D55="","",'Model inputs'!D55&lt;1))="",FALSE,IF(ISERROR('Model inputs'!D55&lt;1),'Model inputs'!D55&lt;1,IF('Model inputs'!D55="","",'Model inputs'!D55&lt;1))),0,MAX('Model inputs'!D7-'Model inputs'!C7*(1-'Model inputs'!AG57),0))</f>
        <v>0</v>
      </c>
      <c r="E65" s="10">
        <f>IF(IF(IF(ISERROR('Model inputs'!E55&lt;1),'Model inputs'!E55&lt;1,IF('Model inputs'!E55="","",'Model inputs'!E55&lt;1))="",FALSE,IF(ISERROR('Model inputs'!E55&lt;1),'Model inputs'!E55&lt;1,IF('Model inputs'!E55="","",'Model inputs'!E55&lt;1))),0,MAX('Model inputs'!E7-'Model inputs'!D7*(1-'Model inputs'!AG57),0))</f>
        <v>0</v>
      </c>
      <c r="F65" s="10">
        <f>IF(IF(IF(ISERROR('Model inputs'!F55&lt;1),'Model inputs'!F55&lt;1,IF('Model inputs'!F55="","",'Model inputs'!F55&lt;1))="",FALSE,IF(ISERROR('Model inputs'!F55&lt;1),'Model inputs'!F55&lt;1,IF('Model inputs'!F55="","",'Model inputs'!F55&lt;1))),0,MAX('Model inputs'!F7-'Model inputs'!E7*(1-'Model inputs'!AG57),0))</f>
        <v>0</v>
      </c>
      <c r="G65" s="10">
        <f>IF(IF(IF(ISERROR('Model inputs'!G55&lt;1),'Model inputs'!G55&lt;1,IF('Model inputs'!G55="","",'Model inputs'!G55&lt;1))="",FALSE,IF(ISERROR('Model inputs'!G55&lt;1),'Model inputs'!G55&lt;1,IF('Model inputs'!G55="","",'Model inputs'!G55&lt;1))),0,MAX('Model inputs'!G7-'Model inputs'!F7*(1-'Model inputs'!AG57),0))</f>
        <v>0</v>
      </c>
      <c r="H65" s="10">
        <f>IF(IF(IF(ISERROR('Model inputs'!H55&lt;1),'Model inputs'!H55&lt;1,IF('Model inputs'!H55="","",'Model inputs'!H55&lt;1))="",FALSE,IF(ISERROR('Model inputs'!H55&lt;1),'Model inputs'!H55&lt;1,IF('Model inputs'!H55="","",'Model inputs'!H55&lt;1))),0,MAX('Model inputs'!H7-'Model inputs'!G7*(1-'Model inputs'!AG57),0))</f>
        <v>0</v>
      </c>
      <c r="I65" s="10">
        <f>IF(IF(IF(ISERROR('Model inputs'!I55&lt;1),'Model inputs'!I55&lt;1,IF('Model inputs'!I55="","",'Model inputs'!I55&lt;1))="",FALSE,IF(ISERROR('Model inputs'!I55&lt;1),'Model inputs'!I55&lt;1,IF('Model inputs'!I55="","",'Model inputs'!I55&lt;1))),0,MAX('Model inputs'!I7-'Model inputs'!H7*(1-'Model inputs'!AG57),0))</f>
        <v>0</v>
      </c>
      <c r="J65" s="10">
        <f>IF(IF(IF(ISERROR('Model inputs'!J55&lt;1),'Model inputs'!J55&lt;1,IF('Model inputs'!J55="","",'Model inputs'!J55&lt;1))="",FALSE,IF(ISERROR('Model inputs'!J55&lt;1),'Model inputs'!J55&lt;1,IF('Model inputs'!J55="","",'Model inputs'!J55&lt;1))),0,MAX('Model inputs'!J7-'Model inputs'!I7*(1-'Model inputs'!AG57),0))</f>
        <v>0</v>
      </c>
      <c r="K65" s="10">
        <f>IF(IF(IF(ISERROR('Model inputs'!K55&lt;1),'Model inputs'!K55&lt;1,IF('Model inputs'!K55="","",'Model inputs'!K55&lt;1))="",FALSE,IF(ISERROR('Model inputs'!K55&lt;1),'Model inputs'!K55&lt;1,IF('Model inputs'!K55="","",'Model inputs'!K55&lt;1))),0,MAX('Model inputs'!K7-'Model inputs'!J7*(1-'Model inputs'!AG57),0))</f>
        <v>0</v>
      </c>
      <c r="L65" s="10">
        <f>IF(IF(IF(ISERROR('Model inputs'!L55&lt;1),'Model inputs'!L55&lt;1,IF('Model inputs'!L55="","",'Model inputs'!L55&lt;1))="",FALSE,IF(ISERROR('Model inputs'!L55&lt;1),'Model inputs'!L55&lt;1,IF('Model inputs'!L55="","",'Model inputs'!L55&lt;1))),0,MAX('Model inputs'!L7-'Model inputs'!K7*(1-'Model inputs'!AG57),0))</f>
        <v>0</v>
      </c>
      <c r="M65" s="10">
        <f>IF(IF(IF(ISERROR('Model inputs'!M55&lt;1),'Model inputs'!M55&lt;1,IF('Model inputs'!M55="","",'Model inputs'!M55&lt;1))="",FALSE,IF(ISERROR('Model inputs'!M55&lt;1),'Model inputs'!M55&lt;1,IF('Model inputs'!M55="","",'Model inputs'!M55&lt;1))),0,MAX('Model inputs'!M7-'Model inputs'!L7*(1-'Model inputs'!AG57),0))</f>
        <v>0</v>
      </c>
      <c r="N65" s="10">
        <f>IF(IF(IF(ISERROR('Model inputs'!N55&lt;1),'Model inputs'!N55&lt;1,IF('Model inputs'!N55="","",'Model inputs'!N55&lt;1))="",FALSE,IF(ISERROR('Model inputs'!N55&lt;1),'Model inputs'!N55&lt;1,IF('Model inputs'!N55="","",'Model inputs'!N55&lt;1))),0,MAX('Model inputs'!N7-'Model inputs'!M7*(1-'Model inputs'!AG57),0))</f>
        <v>0</v>
      </c>
      <c r="O65" s="10">
        <f>IF(IF(IF(ISERROR('Model inputs'!O55&lt;1),'Model inputs'!O55&lt;1,IF('Model inputs'!O55="","",'Model inputs'!O55&lt;1))="",FALSE,IF(ISERROR('Model inputs'!O55&lt;1),'Model inputs'!O55&lt;1,IF('Model inputs'!O55="","",'Model inputs'!O55&lt;1))),0,MAX('Model inputs'!O7-'Model inputs'!N7*(1-'Model inputs'!AG57),0))</f>
        <v>0</v>
      </c>
      <c r="P65" s="10">
        <f>IF(IF(IF(ISERROR('Model inputs'!P55&lt;1),'Model inputs'!P55&lt;1,IF('Model inputs'!P55="","",'Model inputs'!P55&lt;1))="",FALSE,IF(ISERROR('Model inputs'!P55&lt;1),'Model inputs'!P55&lt;1,IF('Model inputs'!P55="","",'Model inputs'!P55&lt;1))),0,MAX('Model inputs'!P7-'Model inputs'!O7*(1-'Model inputs'!AG57),0))</f>
        <v>0</v>
      </c>
      <c r="Q65" s="10">
        <f>IF(IF(IF(ISERROR('Model inputs'!Q55&lt;1),'Model inputs'!Q55&lt;1,IF('Model inputs'!Q55="","",'Model inputs'!Q55&lt;1))="",FALSE,IF(ISERROR('Model inputs'!Q55&lt;1),'Model inputs'!Q55&lt;1,IF('Model inputs'!Q55="","",'Model inputs'!Q55&lt;1))),0,MAX('Model inputs'!Q7-'Model inputs'!P7*(1-'Model inputs'!AG57),0))</f>
        <v>0</v>
      </c>
      <c r="R65" s="10">
        <f>IF(IF(IF(ISERROR('Model inputs'!R55&lt;1),'Model inputs'!R55&lt;1,IF('Model inputs'!R55="","",'Model inputs'!R55&lt;1))="",FALSE,IF(ISERROR('Model inputs'!R55&lt;1),'Model inputs'!R55&lt;1,IF('Model inputs'!R55="","",'Model inputs'!R55&lt;1))),0,MAX('Model inputs'!R7-'Model inputs'!Q7*(1-'Model inputs'!AG57),0))</f>
        <v>0</v>
      </c>
      <c r="S65" s="10">
        <f>IF(IF(IF(ISERROR('Model inputs'!S55&lt;1),'Model inputs'!S55&lt;1,IF('Model inputs'!S55="","",'Model inputs'!S55&lt;1))="",FALSE,IF(ISERROR('Model inputs'!S55&lt;1),'Model inputs'!S55&lt;1,IF('Model inputs'!S55="","",'Model inputs'!S55&lt;1))),0,MAX('Model inputs'!S7-'Model inputs'!R7*(1-'Model inputs'!AG57),0))</f>
        <v>0</v>
      </c>
      <c r="T65" s="10">
        <f>IF(IF(IF(ISERROR('Model inputs'!T55&lt;1),'Model inputs'!T55&lt;1,IF('Model inputs'!T55="","",'Model inputs'!T55&lt;1))="",FALSE,IF(ISERROR('Model inputs'!T55&lt;1),'Model inputs'!T55&lt;1,IF('Model inputs'!T55="","",'Model inputs'!T55&lt;1))),0,MAX('Model inputs'!T7-'Model inputs'!S7*(1-'Model inputs'!AG57),0))</f>
        <v>0</v>
      </c>
      <c r="U65" s="10">
        <f>IF(IF(IF(ISERROR('Model inputs'!U55&lt;1),'Model inputs'!U55&lt;1,IF('Model inputs'!U55="","",'Model inputs'!U55&lt;1))="",FALSE,IF(ISERROR('Model inputs'!U55&lt;1),'Model inputs'!U55&lt;1,IF('Model inputs'!U55="","",'Model inputs'!U55&lt;1))),0,MAX('Model inputs'!U7-'Model inputs'!T7*(1-'Model inputs'!AG57),0))</f>
        <v>0</v>
      </c>
      <c r="V65" s="10">
        <f>IF(IF(IF(ISERROR('Model inputs'!V55&lt;1),'Model inputs'!V55&lt;1,IF('Model inputs'!V55="","",'Model inputs'!V55&lt;1))="",FALSE,IF(ISERROR('Model inputs'!V55&lt;1),'Model inputs'!V55&lt;1,IF('Model inputs'!V55="","",'Model inputs'!V55&lt;1))),0,MAX('Model inputs'!V7-'Model inputs'!U7*(1-'Model inputs'!AG57),0))</f>
        <v>0</v>
      </c>
      <c r="W65" s="10">
        <f>IF(IF(IF(ISERROR('Model inputs'!W55&lt;1),'Model inputs'!W55&lt;1,IF('Model inputs'!W55="","",'Model inputs'!W55&lt;1))="",FALSE,IF(ISERROR('Model inputs'!W55&lt;1),'Model inputs'!W55&lt;1,IF('Model inputs'!W55="","",'Model inputs'!W55&lt;1))),0,MAX('Model inputs'!W7-'Model inputs'!V7*(1-'Model inputs'!AG57),0))</f>
        <v>0</v>
      </c>
      <c r="X65" s="10">
        <f>IF(IF(IF(ISERROR('Model inputs'!X55&lt;1),'Model inputs'!X55&lt;1,IF('Model inputs'!X55="","",'Model inputs'!X55&lt;1))="",FALSE,IF(ISERROR('Model inputs'!X55&lt;1),'Model inputs'!X55&lt;1,IF('Model inputs'!X55="","",'Model inputs'!X55&lt;1))),0,MAX('Model inputs'!X7-'Model inputs'!W7*(1-'Model inputs'!AG57),0))</f>
        <v>0</v>
      </c>
      <c r="Y65" s="10">
        <f>IF(IF(IF(ISERROR('Model inputs'!Y55&lt;1),'Model inputs'!Y55&lt;1,IF('Model inputs'!Y55="","",'Model inputs'!Y55&lt;1))="",FALSE,IF(ISERROR('Model inputs'!Y55&lt;1),'Model inputs'!Y55&lt;1,IF('Model inputs'!Y55="","",'Model inputs'!Y55&lt;1))),0,MAX('Model inputs'!Y7-'Model inputs'!X7*(1-'Model inputs'!AG57),0))</f>
        <v>0</v>
      </c>
      <c r="Z65" s="10">
        <f>IF(IF(IF(ISERROR('Model inputs'!Z55&lt;1),'Model inputs'!Z55&lt;1,IF('Model inputs'!Z55="","",'Model inputs'!Z55&lt;1))="",FALSE,IF(ISERROR('Model inputs'!Z55&lt;1),'Model inputs'!Z55&lt;1,IF('Model inputs'!Z55="","",'Model inputs'!Z55&lt;1))),0,MAX('Model inputs'!Z7-'Model inputs'!Y7*(1-'Model inputs'!AG57),0))</f>
        <v>0</v>
      </c>
      <c r="AA65" s="10">
        <f>IF(IF(IF(ISERROR('Model inputs'!AA55&lt;1),'Model inputs'!AA55&lt;1,IF('Model inputs'!AA55="","",'Model inputs'!AA55&lt;1))="",FALSE,IF(ISERROR('Model inputs'!AA55&lt;1),'Model inputs'!AA55&lt;1,IF('Model inputs'!AA55="","",'Model inputs'!AA55&lt;1))),0,MAX('Model inputs'!AA7-'Model inputs'!Z7*(1-'Model inputs'!AG57),0))</f>
        <v>0</v>
      </c>
      <c r="AB65" s="10">
        <f>IF(IF(IF(ISERROR('Model inputs'!AB55&lt;1),'Model inputs'!AB55&lt;1,IF('Model inputs'!AB55="","",'Model inputs'!AB55&lt;1))="",FALSE,IF(ISERROR('Model inputs'!AB55&lt;1),'Model inputs'!AB55&lt;1,IF('Model inputs'!AB55="","",'Model inputs'!AB55&lt;1))),0,MAX('Model inputs'!AB7-'Model inputs'!AA7*(1-'Model inputs'!AG57),0))</f>
        <v>0</v>
      </c>
      <c r="AC65" s="10">
        <f>IF(IF(IF(ISERROR('Model inputs'!AC55&lt;1),'Model inputs'!AC55&lt;1,IF('Model inputs'!AC55="","",'Model inputs'!AC55&lt;1))="",FALSE,IF(ISERROR('Model inputs'!AC55&lt;1),'Model inputs'!AC55&lt;1,IF('Model inputs'!AC55="","",'Model inputs'!AC55&lt;1))),0,MAX('Model inputs'!AC7-'Model inputs'!AB7*(1-'Model inputs'!AG57),0))</f>
        <v>0</v>
      </c>
      <c r="AD65" s="10">
        <f>IF(IF(IF(ISERROR('Model inputs'!AD55&lt;1),'Model inputs'!AD55&lt;1,IF('Model inputs'!AD55="","",'Model inputs'!AD55&lt;1))="",FALSE,IF(ISERROR('Model inputs'!AD55&lt;1),'Model inputs'!AD55&lt;1,IF('Model inputs'!AD55="","",'Model inputs'!AD55&lt;1))),0,MAX('Model inputs'!AD7-'Model inputs'!AC7*(1-'Model inputs'!AG57),0))</f>
        <v>0</v>
      </c>
      <c r="AE65" s="10">
        <f>IF(IF(IF(ISERROR('Model inputs'!AE55&lt;1),'Model inputs'!AE55&lt;1,IF('Model inputs'!AE55="","",'Model inputs'!AE55&lt;1))="",FALSE,IF(ISERROR('Model inputs'!AE55&lt;1),'Model inputs'!AE55&lt;1,IF('Model inputs'!AE55="","",'Model inputs'!AE55&lt;1))),0,MAX('Model inputs'!AE7-'Model inputs'!AD7*(1-'Model inputs'!AG57),0))</f>
        <v>0</v>
      </c>
      <c r="AF65" s="10">
        <f>IF(IF(IF(ISERROR('Model inputs'!AF55&lt;1),'Model inputs'!AF55&lt;1,IF('Model inputs'!AF55="","",'Model inputs'!AF55&lt;1))="",FALSE,IF(ISERROR('Model inputs'!AF55&lt;1),'Model inputs'!AF55&lt;1,IF('Model inputs'!AF55="","",'Model inputs'!AF55&lt;1))),0,MAX('Model inputs'!AF7-'Model inputs'!AE7*(1-'Model inputs'!AG57),0))</f>
        <v>0</v>
      </c>
    </row>
    <row r="66" outlineLevel="1">
      <c r="A66" t="inlineStr" s="21">
        <is>
          <t xml:space="preserve">New annual prepayments &gt; Launch</t>
        </is>
      </c>
      <c r="B66" s="10">
        <f>IF(IF(IF(ISERROR('Model inputs'!B55&lt;1),'Model inputs'!B55&lt;1,IF('Model inputs'!B55="","",'Model inputs'!B55&lt;1))="",FALSE,IF(ISERROR('Model inputs'!B55&lt;1),'Model inputs'!B55&lt;1,IF('Model inputs'!B55="","",'Model inputs'!B55&lt;1))),0,MAX('Model inputs'!B8-0*(1-'Model inputs'!AG58),0))</f>
        <v>0</v>
      </c>
      <c r="C66" s="10">
        <f>IF(IF(IF(ISERROR('Model inputs'!C55&lt;1),'Model inputs'!C55&lt;1,IF('Model inputs'!C55="","",'Model inputs'!C55&lt;1))="",FALSE,IF(ISERROR('Model inputs'!C55&lt;1),'Model inputs'!C55&lt;1,IF('Model inputs'!C55="","",'Model inputs'!C55&lt;1))),0,MAX('Model inputs'!C8-'Model inputs'!B8*(1-'Model inputs'!AG58),0))</f>
        <v>0</v>
      </c>
      <c r="D66" s="10">
        <f>IF(IF(IF(ISERROR('Model inputs'!D55&lt;1),'Model inputs'!D55&lt;1,IF('Model inputs'!D55="","",'Model inputs'!D55&lt;1))="",FALSE,IF(ISERROR('Model inputs'!D55&lt;1),'Model inputs'!D55&lt;1,IF('Model inputs'!D55="","",'Model inputs'!D55&lt;1))),0,MAX('Model inputs'!D8-'Model inputs'!C8*(1-'Model inputs'!AG58),0))</f>
        <v>0</v>
      </c>
      <c r="E66" s="10">
        <f>IF(IF(IF(ISERROR('Model inputs'!E55&lt;1),'Model inputs'!E55&lt;1,IF('Model inputs'!E55="","",'Model inputs'!E55&lt;1))="",FALSE,IF(ISERROR('Model inputs'!E55&lt;1),'Model inputs'!E55&lt;1,IF('Model inputs'!E55="","",'Model inputs'!E55&lt;1))),0,MAX('Model inputs'!E8-'Model inputs'!D8*(1-'Model inputs'!AG58),0))</f>
        <v>0</v>
      </c>
      <c r="F66" s="10">
        <f>IF(IF(IF(ISERROR('Model inputs'!F55&lt;1),'Model inputs'!F55&lt;1,IF('Model inputs'!F55="","",'Model inputs'!F55&lt;1))="",FALSE,IF(ISERROR('Model inputs'!F55&lt;1),'Model inputs'!F55&lt;1,IF('Model inputs'!F55="","",'Model inputs'!F55&lt;1))),0,MAX('Model inputs'!F8-'Model inputs'!E8*(1-'Model inputs'!AG58),0))</f>
        <v>0</v>
      </c>
      <c r="G66" s="10">
        <f>IF(IF(IF(ISERROR('Model inputs'!G55&lt;1),'Model inputs'!G55&lt;1,IF('Model inputs'!G55="","",'Model inputs'!G55&lt;1))="",FALSE,IF(ISERROR('Model inputs'!G55&lt;1),'Model inputs'!G55&lt;1,IF('Model inputs'!G55="","",'Model inputs'!G55&lt;1))),0,MAX('Model inputs'!G8-'Model inputs'!F8*(1-'Model inputs'!AG58),0))</f>
        <v>0</v>
      </c>
      <c r="H66" s="10">
        <f>IF(IF(IF(ISERROR('Model inputs'!H55&lt;1),'Model inputs'!H55&lt;1,IF('Model inputs'!H55="","",'Model inputs'!H55&lt;1))="",FALSE,IF(ISERROR('Model inputs'!H55&lt;1),'Model inputs'!H55&lt;1,IF('Model inputs'!H55="","",'Model inputs'!H55&lt;1))),0,MAX('Model inputs'!H8-'Model inputs'!G8*(1-'Model inputs'!AG58),0))</f>
        <v>0</v>
      </c>
      <c r="I66" s="10">
        <f>IF(IF(IF(ISERROR('Model inputs'!I55&lt;1),'Model inputs'!I55&lt;1,IF('Model inputs'!I55="","",'Model inputs'!I55&lt;1))="",FALSE,IF(ISERROR('Model inputs'!I55&lt;1),'Model inputs'!I55&lt;1,IF('Model inputs'!I55="","",'Model inputs'!I55&lt;1))),0,MAX('Model inputs'!I8-'Model inputs'!H8*(1-'Model inputs'!AG58),0))</f>
        <v>0</v>
      </c>
      <c r="J66" s="10">
        <f>IF(IF(IF(ISERROR('Model inputs'!J55&lt;1),'Model inputs'!J55&lt;1,IF('Model inputs'!J55="","",'Model inputs'!J55&lt;1))="",FALSE,IF(ISERROR('Model inputs'!J55&lt;1),'Model inputs'!J55&lt;1,IF('Model inputs'!J55="","",'Model inputs'!J55&lt;1))),0,MAX('Model inputs'!J8-'Model inputs'!I8*(1-'Model inputs'!AG58),0))</f>
        <v>0</v>
      </c>
      <c r="K66" s="10">
        <f>IF(IF(IF(ISERROR('Model inputs'!K55&lt;1),'Model inputs'!K55&lt;1,IF('Model inputs'!K55="","",'Model inputs'!K55&lt;1))="",FALSE,IF(ISERROR('Model inputs'!K55&lt;1),'Model inputs'!K55&lt;1,IF('Model inputs'!K55="","",'Model inputs'!K55&lt;1))),0,MAX('Model inputs'!K8-'Model inputs'!J8*(1-'Model inputs'!AG58),0))</f>
        <v>0</v>
      </c>
      <c r="L66" s="10">
        <f>IF(IF(IF(ISERROR('Model inputs'!L55&lt;1),'Model inputs'!L55&lt;1,IF('Model inputs'!L55="","",'Model inputs'!L55&lt;1))="",FALSE,IF(ISERROR('Model inputs'!L55&lt;1),'Model inputs'!L55&lt;1,IF('Model inputs'!L55="","",'Model inputs'!L55&lt;1))),0,MAX('Model inputs'!L8-'Model inputs'!K8*(1-'Model inputs'!AG58),0))</f>
        <v>0</v>
      </c>
      <c r="M66" s="10">
        <f>IF(IF(IF(ISERROR('Model inputs'!M55&lt;1),'Model inputs'!M55&lt;1,IF('Model inputs'!M55="","",'Model inputs'!M55&lt;1))="",FALSE,IF(ISERROR('Model inputs'!M55&lt;1),'Model inputs'!M55&lt;1,IF('Model inputs'!M55="","",'Model inputs'!M55&lt;1))),0,MAX('Model inputs'!M8-'Model inputs'!L8*(1-'Model inputs'!AG58),0))</f>
        <v>0</v>
      </c>
      <c r="N66" s="10">
        <f>IF(IF(IF(ISERROR('Model inputs'!N55&lt;1),'Model inputs'!N55&lt;1,IF('Model inputs'!N55="","",'Model inputs'!N55&lt;1))="",FALSE,IF(ISERROR('Model inputs'!N55&lt;1),'Model inputs'!N55&lt;1,IF('Model inputs'!N55="","",'Model inputs'!N55&lt;1))),0,MAX('Model inputs'!N8-'Model inputs'!M8*(1-'Model inputs'!AG58),0))</f>
        <v>0</v>
      </c>
      <c r="O66" s="10">
        <f>IF(IF(IF(ISERROR('Model inputs'!O55&lt;1),'Model inputs'!O55&lt;1,IF('Model inputs'!O55="","",'Model inputs'!O55&lt;1))="",FALSE,IF(ISERROR('Model inputs'!O55&lt;1),'Model inputs'!O55&lt;1,IF('Model inputs'!O55="","",'Model inputs'!O55&lt;1))),0,MAX('Model inputs'!O8-'Model inputs'!N8*(1-'Model inputs'!AG58),0))</f>
        <v>0</v>
      </c>
      <c r="P66" s="10">
        <f>IF(IF(IF(ISERROR('Model inputs'!P55&lt;1),'Model inputs'!P55&lt;1,IF('Model inputs'!P55="","",'Model inputs'!P55&lt;1))="",FALSE,IF(ISERROR('Model inputs'!P55&lt;1),'Model inputs'!P55&lt;1,IF('Model inputs'!P55="","",'Model inputs'!P55&lt;1))),0,MAX('Model inputs'!P8-'Model inputs'!O8*(1-'Model inputs'!AG58),0))</f>
        <v>0.08808333333333332</v>
      </c>
      <c r="Q66" s="10">
        <f>IF(IF(IF(ISERROR('Model inputs'!Q55&lt;1),'Model inputs'!Q55&lt;1,IF('Model inputs'!Q55="","",'Model inputs'!Q55&lt;1))="",FALSE,IF(ISERROR('Model inputs'!Q55&lt;1),'Model inputs'!Q55&lt;1,IF('Model inputs'!Q55="","",'Model inputs'!Q55&lt;1))),0,MAX('Model inputs'!Q8-'Model inputs'!P8*(1-'Model inputs'!AG58),0))</f>
        <v>0.14950039351851846</v>
      </c>
      <c r="R66" s="10">
        <f>IF(IF(IF(ISERROR('Model inputs'!R55&lt;1),'Model inputs'!R55&lt;1,IF('Model inputs'!R55="","",'Model inputs'!R55&lt;1))="",FALSE,IF(ISERROR('Model inputs'!R55&lt;1),'Model inputs'!R55&lt;1,IF('Model inputs'!R55="","",'Model inputs'!R55&lt;1))),0,MAX('Model inputs'!R8-'Model inputs'!Q8*(1-'Model inputs'!AG58),0))</f>
        <v>0.21300857265624992</v>
      </c>
      <c r="S66" s="10">
        <f>IF(IF(IF(ISERROR('Model inputs'!S55&lt;1),'Model inputs'!S55&lt;1,IF('Model inputs'!S55="","",'Model inputs'!S55&lt;1))="",FALSE,IF(ISERROR('Model inputs'!S55&lt;1),'Model inputs'!S55&lt;1,IF('Model inputs'!S55="","",'Model inputs'!S55&lt;1))),0,MAX('Model inputs'!S8-'Model inputs'!R8*(1-'Model inputs'!AG58),0))</f>
        <v>0.27894984150853586</v>
      </c>
      <c r="T66" s="10">
        <f>IF(IF(IF(ISERROR('Model inputs'!T55&lt;1),'Model inputs'!T55&lt;1,IF('Model inputs'!T55="","",'Model inputs'!T55&lt;1))="",FALSE,IF(ISERROR('Model inputs'!T55&lt;1),'Model inputs'!T55&lt;1,IF('Model inputs'!T55="","",'Model inputs'!T55&lt;1))),0,MAX('Model inputs'!T8-'Model inputs'!S8*(1-'Model inputs'!AG58),0))</f>
        <v>0.34769579376382986</v>
      </c>
      <c r="U66" s="10">
        <f>IF(IF(IF(ISERROR('Model inputs'!U55&lt;1),'Model inputs'!U55&lt;1,IF('Model inputs'!U55="","",'Model inputs'!U55&lt;1))="",FALSE,IF(ISERROR('Model inputs'!U55&lt;1),'Model inputs'!U55&lt;1,IF('Model inputs'!U55="","",'Model inputs'!U55&lt;1))),0,MAX('Model inputs'!U8-'Model inputs'!T8*(1-'Model inputs'!AG58),0))</f>
        <v>0.41965235241733834</v>
      </c>
      <c r="V66" s="10">
        <f>IF(IF(IF(ISERROR('Model inputs'!V55&lt;1),'Model inputs'!V55&lt;1,IF('Model inputs'!V55="","",'Model inputs'!V55&lt;1))="",FALSE,IF(ISERROR('Model inputs'!V55&lt;1),'Model inputs'!V55&lt;1,IF('Model inputs'!V55="","",'Model inputs'!V55&lt;1))),0,MAX('Model inputs'!V8-'Model inputs'!U8*(1-'Model inputs'!AG58),0))</f>
        <v>0.21924642763510693</v>
      </c>
      <c r="W66" s="10">
        <f>IF(IF(IF(ISERROR('Model inputs'!W55&lt;1),'Model inputs'!W55&lt;1,IF('Model inputs'!W55="","",'Model inputs'!W55&lt;1))="",FALSE,IF(ISERROR('Model inputs'!W55&lt;1),'Model inputs'!W55&lt;1,IF('Model inputs'!W55="","",'Model inputs'!W55&lt;1))),0,MAX('Model inputs'!W8-'Model inputs'!V8*(1-'Model inputs'!AG58),0))</f>
        <v>0.22735925733219475</v>
      </c>
      <c r="X66" s="10">
        <f>IF(IF(IF(ISERROR('Model inputs'!X55&lt;1),'Model inputs'!X55&lt;1,IF('Model inputs'!X55="","",'Model inputs'!X55&lt;1))="",FALSE,IF(ISERROR('Model inputs'!X55&lt;1),'Model inputs'!X55&lt;1,IF('Model inputs'!X55="","",'Model inputs'!X55&lt;1))),0,MAX('Model inputs'!X8-'Model inputs'!W8*(1-'Model inputs'!AG58),0))</f>
        <v>0.23623072168787318</v>
      </c>
      <c r="Y66" s="10">
        <f>IF(IF(IF(ISERROR('Model inputs'!Y55&lt;1),'Model inputs'!Y55&lt;1,IF('Model inputs'!Y55="","",'Model inputs'!Y55&lt;1))="",FALSE,IF(ISERROR('Model inputs'!Y55&lt;1),'Model inputs'!Y55&lt;1,IF('Model inputs'!Y55="","",'Model inputs'!Y55&lt;1))),0,MAX('Model inputs'!Y8-'Model inputs'!X8*(1-'Model inputs'!AG58),0))</f>
        <v>0.24541433979131444</v>
      </c>
      <c r="Z66" s="10">
        <f>IF(IF(IF(ISERROR('Model inputs'!Z55&lt;1),'Model inputs'!Z55&lt;1,IF('Model inputs'!Z55="","",'Model inputs'!Z55&lt;1))="",FALSE,IF(ISERROR('Model inputs'!Z55&lt;1),'Model inputs'!Z55&lt;1,IF('Model inputs'!Z55="","",'Model inputs'!Z55&lt;1))),0,MAX('Model inputs'!Z8-'Model inputs'!Y8*(1-'Model inputs'!AG58),0))</f>
        <v>0.25491146714817825</v>
      </c>
      <c r="AA66" s="10">
        <f>IF(IF(IF(ISERROR('Model inputs'!AA55&lt;1),'Model inputs'!AA55&lt;1,IF('Model inputs'!AA55="","",'Model inputs'!AA55&lt;1))="",FALSE,IF(ISERROR('Model inputs'!AA55&lt;1),'Model inputs'!AA55&lt;1,IF('Model inputs'!AA55="","",'Model inputs'!AA55&lt;1))),0,MAX('Model inputs'!AA8-'Model inputs'!Z8*(1-'Model inputs'!AG58),0))</f>
        <v>0.26472473309641575</v>
      </c>
      <c r="AB66" s="10">
        <f>IF(IF(IF(ISERROR('Model inputs'!AB55&lt;1),'Model inputs'!AB55&lt;1,IF('Model inputs'!AB55="","",'Model inputs'!AB55&lt;1))="",FALSE,IF(ISERROR('Model inputs'!AB55&lt;1),'Model inputs'!AB55&lt;1,IF('Model inputs'!AB55="","",'Model inputs'!AB55&lt;1))),0,MAX('Model inputs'!AB8-'Model inputs'!AA8*(1-'Model inputs'!AG58),0))</f>
        <v>0.2748579941351488</v>
      </c>
      <c r="AC66" s="10">
        <f>IF(IF(IF(ISERROR('Model inputs'!AC55&lt;1),'Model inputs'!AC55&lt;1,IF('Model inputs'!AC55="","",'Model inputs'!AC55&lt;1))="",FALSE,IF(ISERROR('Model inputs'!AC55&lt;1),'Model inputs'!AC55&lt;1,IF('Model inputs'!AC55="","",'Model inputs'!AC55&lt;1))),0,MAX('Model inputs'!AC8-'Model inputs'!AB8*(1-'Model inputs'!AG58),0))</f>
        <v>0.2853162924524879</v>
      </c>
      <c r="AD66" s="10">
        <f>IF(IF(IF(ISERROR('Model inputs'!AD55&lt;1),'Model inputs'!AD55&lt;1,IF('Model inputs'!AD55="","",'Model inputs'!AD55&lt;1))="",FALSE,IF(ISERROR('Model inputs'!AD55&lt;1),'Model inputs'!AD55&lt;1,IF('Model inputs'!AD55="","",'Model inputs'!AD55&lt;1))),0,MAX('Model inputs'!AD8-'Model inputs'!AC8*(1-'Model inputs'!AG58),0))</f>
        <v>0.2961058193701578</v>
      </c>
      <c r="AE66" s="10">
        <f>IF(IF(IF(ISERROR('Model inputs'!AE55&lt;1),'Model inputs'!AE55&lt;1,IF('Model inputs'!AE55="","",'Model inputs'!AE55&lt;1))="",FALSE,IF(ISERROR('Model inputs'!AE55&lt;1),'Model inputs'!AE55&lt;1,IF('Model inputs'!AE55="","",'Model inputs'!AE55&lt;1))),0,MAX('Model inputs'!AE8-'Model inputs'!AD8*(1-'Model inputs'!AG58),0))</f>
        <v>0.3072338834448147</v>
      </c>
      <c r="AF66" s="10">
        <f>IF(IF(IF(ISERROR('Model inputs'!AF55&lt;1),'Model inputs'!AF55&lt;1,IF('Model inputs'!AF55="","",'Model inputs'!AF55&lt;1))="",FALSE,IF(ISERROR('Model inputs'!AF55&lt;1),'Model inputs'!AF55&lt;1,IF('Model inputs'!AF55="","",'Model inputs'!AF55&lt;1))),0,MAX('Model inputs'!AF8-'Model inputs'!AE8*(1-'Model inputs'!AG58),0))</f>
        <v>0.318708882986646</v>
      </c>
    </row>
    <row r="67" outlineLevel="1">
      <c r="A67" t="inlineStr" s="21">
        <is>
          <t xml:space="preserve">New annual prepayments &gt; Team</t>
        </is>
      </c>
      <c r="B67" s="10">
        <f>IF(IF(IF(ISERROR('Model inputs'!B55&lt;1),'Model inputs'!B55&lt;1,IF('Model inputs'!B55="","",'Model inputs'!B55&lt;1))="",FALSE,IF(ISERROR('Model inputs'!B55&lt;1),'Model inputs'!B55&lt;1,IF('Model inputs'!B55="","",'Model inputs'!B55&lt;1))),0,MAX('Model inputs'!B9-0*(1-'Model inputs'!AG59),0))</f>
        <v>0</v>
      </c>
      <c r="C67" s="10">
        <f>IF(IF(IF(ISERROR('Model inputs'!C55&lt;1),'Model inputs'!C55&lt;1,IF('Model inputs'!C55="","",'Model inputs'!C55&lt;1))="",FALSE,IF(ISERROR('Model inputs'!C55&lt;1),'Model inputs'!C55&lt;1,IF('Model inputs'!C55="","",'Model inputs'!C55&lt;1))),0,MAX('Model inputs'!C9-'Model inputs'!B9*(1-'Model inputs'!AG59),0))</f>
        <v>0</v>
      </c>
      <c r="D67" s="10">
        <f>IF(IF(IF(ISERROR('Model inputs'!D55&lt;1),'Model inputs'!D55&lt;1,IF('Model inputs'!D55="","",'Model inputs'!D55&lt;1))="",FALSE,IF(ISERROR('Model inputs'!D55&lt;1),'Model inputs'!D55&lt;1,IF('Model inputs'!D55="","",'Model inputs'!D55&lt;1))),0,MAX('Model inputs'!D9-'Model inputs'!C9*(1-'Model inputs'!AG59),0))</f>
        <v>0</v>
      </c>
      <c r="E67" s="10">
        <f>IF(IF(IF(ISERROR('Model inputs'!E55&lt;1),'Model inputs'!E55&lt;1,IF('Model inputs'!E55="","",'Model inputs'!E55&lt;1))="",FALSE,IF(ISERROR('Model inputs'!E55&lt;1),'Model inputs'!E55&lt;1,IF('Model inputs'!E55="","",'Model inputs'!E55&lt;1))),0,MAX('Model inputs'!E9-'Model inputs'!D9*(1-'Model inputs'!AG59),0))</f>
        <v>0</v>
      </c>
      <c r="F67" s="10">
        <f>IF(IF(IF(ISERROR('Model inputs'!F55&lt;1),'Model inputs'!F55&lt;1,IF('Model inputs'!F55="","",'Model inputs'!F55&lt;1))="",FALSE,IF(ISERROR('Model inputs'!F55&lt;1),'Model inputs'!F55&lt;1,IF('Model inputs'!F55="","",'Model inputs'!F55&lt;1))),0,MAX('Model inputs'!F9-'Model inputs'!E9*(1-'Model inputs'!AG59),0))</f>
        <v>0</v>
      </c>
      <c r="G67" s="10">
        <f>IF(IF(IF(ISERROR('Model inputs'!G55&lt;1),'Model inputs'!G55&lt;1,IF('Model inputs'!G55="","",'Model inputs'!G55&lt;1))="",FALSE,IF(ISERROR('Model inputs'!G55&lt;1),'Model inputs'!G55&lt;1,IF('Model inputs'!G55="","",'Model inputs'!G55&lt;1))),0,MAX('Model inputs'!G9-'Model inputs'!F9*(1-'Model inputs'!AG59),0))</f>
        <v>0</v>
      </c>
      <c r="H67" s="10">
        <f>IF(IF(IF(ISERROR('Model inputs'!H55&lt;1),'Model inputs'!H55&lt;1,IF('Model inputs'!H55="","",'Model inputs'!H55&lt;1))="",FALSE,IF(ISERROR('Model inputs'!H55&lt;1),'Model inputs'!H55&lt;1,IF('Model inputs'!H55="","",'Model inputs'!H55&lt;1))),0,MAX('Model inputs'!H9-'Model inputs'!G9*(1-'Model inputs'!AG59),0))</f>
        <v>0</v>
      </c>
      <c r="I67" s="10">
        <f>IF(IF(IF(ISERROR('Model inputs'!I55&lt;1),'Model inputs'!I55&lt;1,IF('Model inputs'!I55="","",'Model inputs'!I55&lt;1))="",FALSE,IF(ISERROR('Model inputs'!I55&lt;1),'Model inputs'!I55&lt;1,IF('Model inputs'!I55="","",'Model inputs'!I55&lt;1))),0,MAX('Model inputs'!I9-'Model inputs'!H9*(1-'Model inputs'!AG59),0))</f>
        <v>0</v>
      </c>
      <c r="J67" s="10">
        <f>IF(IF(IF(ISERROR('Model inputs'!J55&lt;1),'Model inputs'!J55&lt;1,IF('Model inputs'!J55="","",'Model inputs'!J55&lt;1))="",FALSE,IF(ISERROR('Model inputs'!J55&lt;1),'Model inputs'!J55&lt;1,IF('Model inputs'!J55="","",'Model inputs'!J55&lt;1))),0,MAX('Model inputs'!J9-'Model inputs'!I9*(1-'Model inputs'!AG59),0))</f>
        <v>0</v>
      </c>
      <c r="K67" s="10">
        <f>IF(IF(IF(ISERROR('Model inputs'!K55&lt;1),'Model inputs'!K55&lt;1,IF('Model inputs'!K55="","",'Model inputs'!K55&lt;1))="",FALSE,IF(ISERROR('Model inputs'!K55&lt;1),'Model inputs'!K55&lt;1,IF('Model inputs'!K55="","",'Model inputs'!K55&lt;1))),0,MAX('Model inputs'!K9-'Model inputs'!J9*(1-'Model inputs'!AG59),0))</f>
        <v>0</v>
      </c>
      <c r="L67" s="10">
        <f>IF(IF(IF(ISERROR('Model inputs'!L55&lt;1),'Model inputs'!L55&lt;1,IF('Model inputs'!L55="","",'Model inputs'!L55&lt;1))="",FALSE,IF(ISERROR('Model inputs'!L55&lt;1),'Model inputs'!L55&lt;1,IF('Model inputs'!L55="","",'Model inputs'!L55&lt;1))),0,MAX('Model inputs'!L9-'Model inputs'!K9*(1-'Model inputs'!AG59),0))</f>
        <v>0</v>
      </c>
      <c r="M67" s="10">
        <f>IF(IF(IF(ISERROR('Model inputs'!M55&lt;1),'Model inputs'!M55&lt;1,IF('Model inputs'!M55="","",'Model inputs'!M55&lt;1))="",FALSE,IF(ISERROR('Model inputs'!M55&lt;1),'Model inputs'!M55&lt;1,IF('Model inputs'!M55="","",'Model inputs'!M55&lt;1))),0,MAX('Model inputs'!M9-'Model inputs'!L9*(1-'Model inputs'!AG59),0))</f>
        <v>0</v>
      </c>
      <c r="N67" s="10">
        <f>IF(IF(IF(ISERROR('Model inputs'!N55&lt;1),'Model inputs'!N55&lt;1,IF('Model inputs'!N55="","",'Model inputs'!N55&lt;1))="",FALSE,IF(ISERROR('Model inputs'!N55&lt;1),'Model inputs'!N55&lt;1,IF('Model inputs'!N55="","",'Model inputs'!N55&lt;1))),0,MAX('Model inputs'!N9-'Model inputs'!M9*(1-'Model inputs'!AG59),0))</f>
        <v>0</v>
      </c>
      <c r="O67" s="10">
        <f>IF(IF(IF(ISERROR('Model inputs'!O55&lt;1),'Model inputs'!O55&lt;1,IF('Model inputs'!O55="","",'Model inputs'!O55&lt;1))="",FALSE,IF(ISERROR('Model inputs'!O55&lt;1),'Model inputs'!O55&lt;1,IF('Model inputs'!O55="","",'Model inputs'!O55&lt;1))),0,MAX('Model inputs'!O9-'Model inputs'!N9*(1-'Model inputs'!AG59),0))</f>
        <v>0</v>
      </c>
      <c r="P67" s="10">
        <f>IF(IF(IF(ISERROR('Model inputs'!P55&lt;1),'Model inputs'!P55&lt;1,IF('Model inputs'!P55="","",'Model inputs'!P55&lt;1))="",FALSE,IF(ISERROR('Model inputs'!P55&lt;1),'Model inputs'!P55&lt;1,IF('Model inputs'!P55="","",'Model inputs'!P55&lt;1))),0,MAX('Model inputs'!P9-'Model inputs'!O9*(1-'Model inputs'!AG59),0))</f>
        <v>0.5285972222222222</v>
      </c>
      <c r="Q67" s="10">
        <f>IF(IF(IF(ISERROR('Model inputs'!Q55&lt;1),'Model inputs'!Q55&lt;1,IF('Model inputs'!Q55="","",'Model inputs'!Q55&lt;1))="",FALSE,IF(ISERROR('Model inputs'!Q55&lt;1),'Model inputs'!Q55&lt;1,IF('Model inputs'!Q55="","",'Model inputs'!Q55&lt;1))),0,MAX('Model inputs'!Q9-'Model inputs'!P9*(1-'Model inputs'!AG59),0))</f>
        <v>0.9511491435185185</v>
      </c>
      <c r="R67" s="10">
        <f>IF(IF(IF(ISERROR('Model inputs'!R55&lt;1),'Model inputs'!R55&lt;1,IF('Model inputs'!R55="","",'Model inputs'!R55&lt;1))="",FALSE,IF(ISERROR('Model inputs'!R55&lt;1),'Model inputs'!R55&lt;1,IF('Model inputs'!R55="","",'Model inputs'!R55&lt;1))),0,MAX('Model inputs'!R9-'Model inputs'!Q9*(1-'Model inputs'!AG59),0))</f>
        <v>1.4485273357349535</v>
      </c>
      <c r="S67" s="10">
        <f>IF(IF(IF(ISERROR('Model inputs'!S55&lt;1),'Model inputs'!S55&lt;1,IF('Model inputs'!S55="","",'Model inputs'!S55&lt;1))="",FALSE,IF(ISERROR('Model inputs'!S55&lt;1),'Model inputs'!S55&lt;1,IF('Model inputs'!S55="","",'Model inputs'!S55&lt;1))),0,MAX('Model inputs'!S9-'Model inputs'!R9*(1-'Model inputs'!AG59),0))</f>
        <v>2.028531534657729</v>
      </c>
      <c r="T67" s="10">
        <f>IF(IF(IF(ISERROR('Model inputs'!T55&lt;1),'Model inputs'!T55&lt;1,IF('Model inputs'!T55="","",'Model inputs'!T55&lt;1))="",FALSE,IF(ISERROR('Model inputs'!T55&lt;1),'Model inputs'!T55&lt;1,IF('Model inputs'!T55="","",'Model inputs'!T55&lt;1))),0,MAX('Model inputs'!T9-'Model inputs'!S9*(1-'Model inputs'!AG59),0))</f>
        <v>2.7000952379284557</v>
      </c>
      <c r="U67" s="10">
        <f>IF(IF(IF(ISERROR('Model inputs'!U55&lt;1),'Model inputs'!U55&lt;1,IF('Model inputs'!U55="","",'Model inputs'!U55&lt;1))="",FALSE,IF(ISERROR('Model inputs'!U55&lt;1),'Model inputs'!U55&lt;1,IF('Model inputs'!U55="","",'Model inputs'!U55&lt;1))),0,MAX('Model inputs'!U9-'Model inputs'!T9*(1-'Model inputs'!AG59),0))</f>
        <v>3.473403222981019</v>
      </c>
      <c r="V67" s="10">
        <f>IF(IF(IF(ISERROR('Model inputs'!V55&lt;1),'Model inputs'!V55&lt;1,IF('Model inputs'!V55="","",'Model inputs'!V55&lt;1))="",FALSE,IF(ISERROR('Model inputs'!V55&lt;1),'Model inputs'!V55&lt;1,IF('Model inputs'!V55="","",'Model inputs'!V55&lt;1))),0,MAX('Model inputs'!V9-'Model inputs'!U9*(1-'Model inputs'!AG59),0))</f>
        <v>2.2656534062738825</v>
      </c>
      <c r="W67" s="10">
        <f>IF(IF(IF(ISERROR('Model inputs'!W55&lt;1),'Model inputs'!W55&lt;1,IF('Model inputs'!W55="","",'Model inputs'!W55&lt;1))="",FALSE,IF(ISERROR('Model inputs'!W55&lt;1),'Model inputs'!W55&lt;1,IF('Model inputs'!W55="","",'Model inputs'!W55&lt;1))),0,MAX('Model inputs'!W9-'Model inputs'!V9*(1-'Model inputs'!AG59),0))</f>
        <v>2.5061380981545973</v>
      </c>
      <c r="X67" s="10">
        <f>IF(IF(IF(ISERROR('Model inputs'!X55&lt;1),'Model inputs'!X55&lt;1,IF('Model inputs'!X55="","",'Model inputs'!X55&lt;1))="",FALSE,IF(ISERROR('Model inputs'!X55&lt;1),'Model inputs'!X55&lt;1,IF('Model inputs'!X55="","",'Model inputs'!X55&lt;1))),0,MAX('Model inputs'!X9-'Model inputs'!W9*(1-'Model inputs'!AG59),0))</f>
        <v>2.644929540978609</v>
      </c>
      <c r="Y67" s="10">
        <f>IF(IF(IF(ISERROR('Model inputs'!Y55&lt;1),'Model inputs'!Y55&lt;1,IF('Model inputs'!Y55="","",'Model inputs'!Y55&lt;1))="",FALSE,IF(ISERROR('Model inputs'!Y55&lt;1),'Model inputs'!Y55&lt;1,IF('Model inputs'!Y55="","",'Model inputs'!Y55&lt;1))),0,MAX('Model inputs'!Y9-'Model inputs'!X9*(1-'Model inputs'!AG59),0))</f>
        <v>2.786293812144688</v>
      </c>
      <c r="Z67" s="10">
        <f>IF(IF(IF(ISERROR('Model inputs'!Z55&lt;1),'Model inputs'!Z55&lt;1,IF('Model inputs'!Z55="","",'Model inputs'!Z55&lt;1))="",FALSE,IF(ISERROR('Model inputs'!Z55&lt;1),'Model inputs'!Z55&lt;1,IF('Model inputs'!Z55="","",'Model inputs'!Z55&lt;1))),0,MAX('Model inputs'!Z9-'Model inputs'!Y9*(1-'Model inputs'!AG59),0))</f>
        <v>2.930546391043947</v>
      </c>
      <c r="AA67" s="10">
        <f>IF(IF(IF(ISERROR('Model inputs'!AA55&lt;1),'Model inputs'!AA55&lt;1,IF('Model inputs'!AA55="","",'Model inputs'!AA55&lt;1))="",FALSE,IF(ISERROR('Model inputs'!AA55&lt;1),'Model inputs'!AA55&lt;1,IF('Model inputs'!AA55="","",'Model inputs'!AA55&lt;1))),0,MAX('Model inputs'!AA9-'Model inputs'!Z9*(1-'Model inputs'!AG59),0))</f>
        <v>3.0780007275901546</v>
      </c>
      <c r="AB67" s="10">
        <f>IF(IF(IF(ISERROR('Model inputs'!AB55&lt;1),'Model inputs'!AB55&lt;1,IF('Model inputs'!AB55="","",'Model inputs'!AB55&lt;1))="",FALSE,IF(ISERROR('Model inputs'!AB55&lt;1),'Model inputs'!AB55&lt;1,IF('Model inputs'!AB55="","",'Model inputs'!AB55&lt;1))),0,MAX('Model inputs'!AB9-'Model inputs'!AA9*(1-'Model inputs'!AG59),0))</f>
        <v>3.2289691539345284</v>
      </c>
      <c r="AC67" s="10">
        <f>IF(IF(IF(ISERROR('Model inputs'!AC55&lt;1),'Model inputs'!AC55&lt;1,IF('Model inputs'!AC55="","",'Model inputs'!AC55&lt;1))="",FALSE,IF(ISERROR('Model inputs'!AC55&lt;1),'Model inputs'!AC55&lt;1,IF('Model inputs'!AC55="","",'Model inputs'!AC55&lt;1))),0,MAX('Model inputs'!AC9-'Model inputs'!AB9*(1-'Model inputs'!AG59),0))</f>
        <v>3.383763765898575</v>
      </c>
      <c r="AD67" s="10">
        <f>IF(IF(IF(ISERROR('Model inputs'!AD55&lt;1),'Model inputs'!AD55&lt;1,IF('Model inputs'!AD55="","",'Model inputs'!AD55&lt;1))="",FALSE,IF(ISERROR('Model inputs'!AD55&lt;1),'Model inputs'!AD55&lt;1,IF('Model inputs'!AD55="","",'Model inputs'!AD55&lt;1))),0,MAX('Model inputs'!AD9-'Model inputs'!AC9*(1-'Model inputs'!AG59),0))</f>
        <v>3.542697277382981</v>
      </c>
      <c r="AE67" s="10">
        <f>IF(IF(IF(ISERROR('Model inputs'!AE55&lt;1),'Model inputs'!AE55&lt;1,IF('Model inputs'!AE55="","",'Model inputs'!AE55&lt;1))="",FALSE,IF(ISERROR('Model inputs'!AE55&lt;1),'Model inputs'!AE55&lt;1,IF('Model inputs'!AE55="","",'Model inputs'!AE55&lt;1))),0,MAX('Model inputs'!AE9-'Model inputs'!AD9*(1-'Model inputs'!AG59),0))</f>
        <v>3.7060838508419494</v>
      </c>
      <c r="AF67" s="10">
        <f>IF(IF(IF(ISERROR('Model inputs'!AF55&lt;1),'Model inputs'!AF55&lt;1,IF('Model inputs'!AF55="","",'Model inputs'!AF55&lt;1))="",FALSE,IF(ISERROR('Model inputs'!AF55&lt;1),'Model inputs'!AF55&lt;1,IF('Model inputs'!AF55="","",'Model inputs'!AF55&lt;1))),0,MAX('Model inputs'!AF9-'Model inputs'!AE9*(1-'Model inputs'!AG59),0))</f>
        <v>3.8742399067575164</v>
      </c>
    </row>
    <row r="68">
      <c r="A68" t="inlineStr" s="20">
        <is>
          <t xml:space="preserve">New logos in month 1</t>
        </is>
      </c>
      <c r="AG68" s="8">
        <v>0</v>
      </c>
    </row>
    <row r="69" outlineLevel="1">
      <c r="A69" t="inlineStr" s="21">
        <is>
          <t xml:space="preserve">New logos in month 1 &gt; Indie</t>
        </is>
      </c>
      <c r="AG69" s="10">
        <f>25</f>
        <v>25</v>
      </c>
    </row>
    <row r="70" outlineLevel="1">
      <c r="A70" t="inlineStr" s="21">
        <is>
          <t xml:space="preserve">New logos in month 1 &gt; Launch</t>
        </is>
      </c>
      <c r="AG70" s="10">
        <f>0.5</f>
        <v>0.5</v>
      </c>
    </row>
    <row r="71" outlineLevel="1">
      <c r="A71" t="inlineStr" s="21">
        <is>
          <t xml:space="preserve">New logos in month 1 &gt; Team</t>
        </is>
      </c>
      <c r="AG71" s="10">
        <f>3</f>
        <v>3</v>
      </c>
    </row>
    <row r="72">
      <c r="A72" t="inlineStr" s="20">
        <is>
          <t xml:space="preserve">Opening customers</t>
        </is>
      </c>
      <c r="B72" s="8">
        <f>SUM('Model inputs'!B73,'Model inputs'!B74,'Model inputs'!B75)</f>
        <v>0</v>
      </c>
      <c r="C72" s="8">
        <f>SUM('Model inputs'!C73,'Model inputs'!C74,'Model inputs'!C75)</f>
        <v>0</v>
      </c>
      <c r="D72" s="8">
        <f>SUM('Model inputs'!D73,'Model inputs'!D74,'Model inputs'!D75)</f>
        <v>0</v>
      </c>
      <c r="E72" s="8">
        <f>SUM('Model inputs'!E73,'Model inputs'!E74,'Model inputs'!E75)</f>
        <v>0</v>
      </c>
      <c r="F72" s="8">
        <f>SUM('Model inputs'!F73,'Model inputs'!F74,'Model inputs'!F75)</f>
        <v>0</v>
      </c>
      <c r="G72" s="8">
        <f>SUM('Model inputs'!G73,'Model inputs'!G74,'Model inputs'!G75)</f>
        <v>0</v>
      </c>
      <c r="H72" s="8">
        <f>SUM('Model inputs'!H73,'Model inputs'!H74,'Model inputs'!H75)</f>
        <v>0</v>
      </c>
      <c r="I72" s="8">
        <f>SUM('Model inputs'!I73,'Model inputs'!I74,'Model inputs'!I75)</f>
        <v>0</v>
      </c>
      <c r="J72" s="8">
        <f>SUM('Model inputs'!J73,'Model inputs'!J74,'Model inputs'!J75)</f>
        <v>0</v>
      </c>
      <c r="K72" s="8">
        <f>SUM('Model inputs'!K73,'Model inputs'!K74,'Model inputs'!K75)</f>
        <v>0</v>
      </c>
      <c r="L72" s="8">
        <f>SUM('Model inputs'!L73,'Model inputs'!L74,'Model inputs'!L75)</f>
        <v>0</v>
      </c>
      <c r="M72" s="8">
        <f>SUM('Model inputs'!M73,'Model inputs'!M74,'Model inputs'!M75)</f>
        <v>0</v>
      </c>
      <c r="N72" s="8">
        <f>SUM('Model inputs'!N73,'Model inputs'!N74,'Model inputs'!N75)</f>
        <v>0</v>
      </c>
      <c r="O72" s="8">
        <f>SUM('Model inputs'!O73,'Model inputs'!O74,'Model inputs'!O75)</f>
        <v>47</v>
      </c>
      <c r="P72" s="8">
        <f>SUM('Model inputs'!P73,'Model inputs'!P74,'Model inputs'!P75)</f>
        <v>47</v>
      </c>
      <c r="Q72" s="8">
        <f>SUM('Model inputs'!Q73,'Model inputs'!Q74,'Model inputs'!Q75)</f>
        <v>84.905</v>
      </c>
      <c r="R72" s="8">
        <f>SUM('Model inputs'!R73,'Model inputs'!R74,'Model inputs'!R75)</f>
        <v>110.9505</v>
      </c>
      <c r="S72" s="8">
        <f>SUM('Model inputs'!S73,'Model inputs'!S74,'Model inputs'!S75)</f>
        <v>138.05102827083334</v>
      </c>
      <c r="T72" s="8">
        <f>SUM('Model inputs'!T73,'Model inputs'!T74,'Model inputs'!T75)</f>
        <v>166.3601248259896</v>
      </c>
      <c r="U72" s="8">
        <f>SUM('Model inputs'!U73,'Model inputs'!U74,'Model inputs'!U75)</f>
        <v>196.04006505593594</v>
      </c>
      <c r="V72" s="8">
        <f>SUM('Model inputs'!V73,'Model inputs'!V74,'Model inputs'!V75)</f>
        <v>227.2628736908502</v>
      </c>
      <c r="W72" s="8">
        <f>SUM('Model inputs'!W73,'Model inputs'!W74,'Model inputs'!W75)</f>
        <v>260.21140757088153</v>
      </c>
      <c r="X72" s="8">
        <f>SUM('Model inputs'!X73,'Model inputs'!X74,'Model inputs'!X75)</f>
        <v>295.08051439200136</v>
      </c>
      <c r="Y72" s="8">
        <f>SUM('Model inputs'!Y73,'Model inputs'!Y74,'Model inputs'!Y75)</f>
        <v>330.0136817964602</v>
      </c>
      <c r="Z72" s="8">
        <f>SUM('Model inputs'!Z73,'Model inputs'!Z74,'Model inputs'!Z75)</f>
        <v>365.0921444578123</v>
      </c>
      <c r="AA72" s="8">
        <f>SUM('Model inputs'!AA73,'Model inputs'!AA74,'Model inputs'!AA75)</f>
        <v>400.3954360097452</v>
      </c>
      <c r="AB72" s="8">
        <f>SUM('Model inputs'!AB73,'Model inputs'!AB74,'Model inputs'!AB75)</f>
        <v>436.0016417049511</v>
      </c>
      <c r="AC72" s="8">
        <f>SUM('Model inputs'!AC73,'Model inputs'!AC74,'Model inputs'!AC75)</f>
        <v>471.98764010807395</v>
      </c>
      <c r="AD72" s="8">
        <f>SUM('Model inputs'!AD73,'Model inputs'!AD74,'Model inputs'!AD75)</f>
        <v>508.42933477856207</v>
      </c>
      <c r="AE72" s="8">
        <f>SUM('Model inputs'!AE73,'Model inputs'!AE74,'Model inputs'!AE75)</f>
        <v>545.4018768448782</v>
      </c>
      <c r="AF72" s="8">
        <f>SUM('Model inputs'!AF73,'Model inputs'!AF74,'Model inputs'!AF75)</f>
        <v>582.979879321125</v>
      </c>
    </row>
    <row r="73" outlineLevel="1">
      <c r="A73" t="inlineStr" s="21">
        <is>
          <t xml:space="preserve">Opening customers &gt; Indie</t>
        </is>
      </c>
      <c r="B73" t="str" s="10">
        <f>IF(IF(IF(ISERROR('Model inputs'!B55=0),'Model inputs'!B55=0,IF('Model inputs'!B55="","",'Model inputs'!B55=0))="",FALSE,IF(ISERROR('Model inputs'!B55=0),'Model inputs'!B55=0,IF('Model inputs'!B55="","",'Model inputs'!B55=0))),IF('Model inputs'!AG86="","",'Model inputs'!AG86),"")</f>
        <v/>
      </c>
      <c r="C73" s="10">
        <f>IF(IF(IF(ISERROR('Model inputs'!C55=0),'Model inputs'!C55=0,IF('Model inputs'!C55="","",'Model inputs'!C55=0))="",FALSE,IF(ISERROR('Model inputs'!C55=0),'Model inputs'!C55=0,IF('Model inputs'!C55="","",'Model inputs'!C55=0))),IF('Model inputs'!AG86="","",'Model inputs'!AG86),IF('Model inputs'!B38="","",'Model inputs'!B38))</f>
        <v>0</v>
      </c>
      <c r="D73" s="10">
        <f>IF(IF(IF(ISERROR('Model inputs'!D55=0),'Model inputs'!D55=0,IF('Model inputs'!D55="","",'Model inputs'!D55=0))="",FALSE,IF(ISERROR('Model inputs'!D55=0),'Model inputs'!D55=0,IF('Model inputs'!D55="","",'Model inputs'!D55=0))),IF('Model inputs'!AG86="","",'Model inputs'!AG86),IF('Model inputs'!C38="","",'Model inputs'!C38))</f>
        <v>0</v>
      </c>
      <c r="E73" s="10">
        <f>IF(IF(IF(ISERROR('Model inputs'!E55=0),'Model inputs'!E55=0,IF('Model inputs'!E55="","",'Model inputs'!E55=0))="",FALSE,IF(ISERROR('Model inputs'!E55=0),'Model inputs'!E55=0,IF('Model inputs'!E55="","",'Model inputs'!E55=0))),IF('Model inputs'!AG86="","",'Model inputs'!AG86),IF('Model inputs'!D38="","",'Model inputs'!D38))</f>
        <v>0</v>
      </c>
      <c r="F73" s="10">
        <f>IF(IF(IF(ISERROR('Model inputs'!F55=0),'Model inputs'!F55=0,IF('Model inputs'!F55="","",'Model inputs'!F55=0))="",FALSE,IF(ISERROR('Model inputs'!F55=0),'Model inputs'!F55=0,IF('Model inputs'!F55="","",'Model inputs'!F55=0))),IF('Model inputs'!AG86="","",'Model inputs'!AG86),IF('Model inputs'!E38="","",'Model inputs'!E38))</f>
        <v>0</v>
      </c>
      <c r="G73" s="10">
        <f>IF(IF(IF(ISERROR('Model inputs'!G55=0),'Model inputs'!G55=0,IF('Model inputs'!G55="","",'Model inputs'!G55=0))="",FALSE,IF(ISERROR('Model inputs'!G55=0),'Model inputs'!G55=0,IF('Model inputs'!G55="","",'Model inputs'!G55=0))),IF('Model inputs'!AG86="","",'Model inputs'!AG86),IF('Model inputs'!F38="","",'Model inputs'!F38))</f>
        <v>0</v>
      </c>
      <c r="H73" s="10">
        <f>IF(IF(IF(ISERROR('Model inputs'!H55=0),'Model inputs'!H55=0,IF('Model inputs'!H55="","",'Model inputs'!H55=0))="",FALSE,IF(ISERROR('Model inputs'!H55=0),'Model inputs'!H55=0,IF('Model inputs'!H55="","",'Model inputs'!H55=0))),IF('Model inputs'!AG86="","",'Model inputs'!AG86),IF('Model inputs'!G38="","",'Model inputs'!G38))</f>
        <v>0</v>
      </c>
      <c r="I73" s="10">
        <f>IF(IF(IF(ISERROR('Model inputs'!I55=0),'Model inputs'!I55=0,IF('Model inputs'!I55="","",'Model inputs'!I55=0))="",FALSE,IF(ISERROR('Model inputs'!I55=0),'Model inputs'!I55=0,IF('Model inputs'!I55="","",'Model inputs'!I55=0))),IF('Model inputs'!AG86="","",'Model inputs'!AG86),IF('Model inputs'!H38="","",'Model inputs'!H38))</f>
        <v>0</v>
      </c>
      <c r="J73" s="10">
        <f>IF(IF(IF(ISERROR('Model inputs'!J55=0),'Model inputs'!J55=0,IF('Model inputs'!J55="","",'Model inputs'!J55=0))="",FALSE,IF(ISERROR('Model inputs'!J55=0),'Model inputs'!J55=0,IF('Model inputs'!J55="","",'Model inputs'!J55=0))),IF('Model inputs'!AG86="","",'Model inputs'!AG86),IF('Model inputs'!I38="","",'Model inputs'!I38))</f>
        <v>0</v>
      </c>
      <c r="K73" s="10">
        <f>IF(IF(IF(ISERROR('Model inputs'!K55=0),'Model inputs'!K55=0,IF('Model inputs'!K55="","",'Model inputs'!K55=0))="",FALSE,IF(ISERROR('Model inputs'!K55=0),'Model inputs'!K55=0,IF('Model inputs'!K55="","",'Model inputs'!K55=0))),IF('Model inputs'!AG86="","",'Model inputs'!AG86),IF('Model inputs'!J38="","",'Model inputs'!J38))</f>
        <v>0</v>
      </c>
      <c r="L73" s="10">
        <f>IF(IF(IF(ISERROR('Model inputs'!L55=0),'Model inputs'!L55=0,IF('Model inputs'!L55="","",'Model inputs'!L55=0))="",FALSE,IF(ISERROR('Model inputs'!L55=0),'Model inputs'!L55=0,IF('Model inputs'!L55="","",'Model inputs'!L55=0))),IF('Model inputs'!AG86="","",'Model inputs'!AG86),IF('Model inputs'!K38="","",'Model inputs'!K38))</f>
        <v>0</v>
      </c>
      <c r="M73" s="10">
        <f>IF(IF(IF(ISERROR('Model inputs'!M55=0),'Model inputs'!M55=0,IF('Model inputs'!M55="","",'Model inputs'!M55=0))="",FALSE,IF(ISERROR('Model inputs'!M55=0),'Model inputs'!M55=0,IF('Model inputs'!M55="","",'Model inputs'!M55=0))),IF('Model inputs'!AG86="","",'Model inputs'!AG86),IF('Model inputs'!L38="","",'Model inputs'!L38))</f>
        <v>0</v>
      </c>
      <c r="N73" s="10">
        <f>IF(IF(IF(ISERROR('Model inputs'!N55=0),'Model inputs'!N55=0,IF('Model inputs'!N55="","",'Model inputs'!N55=0))="",FALSE,IF(ISERROR('Model inputs'!N55=0),'Model inputs'!N55=0,IF('Model inputs'!N55="","",'Model inputs'!N55=0))),IF('Model inputs'!AG86="","",'Model inputs'!AG86),IF('Model inputs'!M38="","",'Model inputs'!M38))</f>
        <v>0</v>
      </c>
      <c r="O73" s="10">
        <f>IF(IF(IF(ISERROR('Model inputs'!O55=0),'Model inputs'!O55=0,IF('Model inputs'!O55="","",'Model inputs'!O55=0))="",FALSE,IF(ISERROR('Model inputs'!O55=0),'Model inputs'!O55=0,IF('Model inputs'!O55="","",'Model inputs'!O55=0))),IF('Model inputs'!AG86="","",'Model inputs'!AG86),IF('Model inputs'!N38="","",'Model inputs'!N38))</f>
        <v>40</v>
      </c>
      <c r="P73" s="10">
        <f>IF(IF(IF(ISERROR('Model inputs'!P55=0),'Model inputs'!P55=0,IF('Model inputs'!P55="","",'Model inputs'!P55=0))="",FALSE,IF(ISERROR('Model inputs'!P55=0),'Model inputs'!P55=0,IF('Model inputs'!P55="","",'Model inputs'!P55=0))),IF('Model inputs'!AG86="","",'Model inputs'!AG86),IF('Model inputs'!O38="","",'Model inputs'!O38))</f>
        <v>40</v>
      </c>
      <c r="Q73" s="10">
        <f>IF(IF(IF(ISERROR('Model inputs'!Q55=0),'Model inputs'!Q55=0,IF('Model inputs'!Q55="","",'Model inputs'!Q55=0))="",FALSE,IF(ISERROR('Model inputs'!Q55=0),'Model inputs'!Q55=0,IF('Model inputs'!Q55="","",'Model inputs'!Q55=0))),IF('Model inputs'!AG86="","",'Model inputs'!AG86),IF('Model inputs'!P38="","",'Model inputs'!P38))</f>
        <v>74.33333333333333</v>
      </c>
      <c r="R73" s="10">
        <f>IF(IF(IF(ISERROR('Model inputs'!R55=0),'Model inputs'!R55=0,IF('Model inputs'!R55="","",'Model inputs'!R55=0))="",FALSE,IF(ISERROR('Model inputs'!R55=0),'Model inputs'!R55=0,IF('Model inputs'!R55="","",'Model inputs'!R55=0))),IF('Model inputs'!AG86="","",'Model inputs'!AG86),IF('Model inputs'!Q38="","",'Model inputs'!Q38))</f>
        <v>96.37777777777778</v>
      </c>
      <c r="S73" s="10">
        <f>IF(IF(IF(ISERROR('Model inputs'!S55=0),'Model inputs'!S55=0,IF('Model inputs'!S55="","",'Model inputs'!S55=0))="",FALSE,IF(ISERROR('Model inputs'!S55=0),'Model inputs'!S55=0,IF('Model inputs'!S55="","",'Model inputs'!S55=0))),IF('Model inputs'!AG86="","",'Model inputs'!AG86),IF('Model inputs'!R38="","",'Model inputs'!R38))</f>
        <v>119.1125925925926</v>
      </c>
      <c r="T73" s="10">
        <f>IF(IF(IF(ISERROR('Model inputs'!T55=0),'Model inputs'!T55=0,IF('Model inputs'!T55="","",'Model inputs'!T55=0))="",FALSE,IF(ISERROR('Model inputs'!T55=0),'Model inputs'!T55=0,IF('Model inputs'!T55="","",'Model inputs'!T55=0))),IF('Model inputs'!AG86="","",'Model inputs'!AG86),IF('Model inputs'!S38="","",'Model inputs'!S38))</f>
        <v>142.66455308641977</v>
      </c>
      <c r="U73" s="10">
        <f>IF(IF(IF(ISERROR('Model inputs'!U55=0),'Model inputs'!U55=0,IF('Model inputs'!U55="","",'Model inputs'!U55=0))="",FALSE,IF(ISERROR('Model inputs'!U55=0),'Model inputs'!U55=0,IF('Model inputs'!U55="","",'Model inputs'!U55=0))),IF('Model inputs'!AG86="","",'Model inputs'!AG86),IF('Model inputs'!T38="","",'Model inputs'!T38))</f>
        <v>167.16580688065847</v>
      </c>
      <c r="V73" s="10">
        <f>IF(IF(IF(ISERROR('Model inputs'!V55=0),'Model inputs'!V55=0,IF('Model inputs'!V55="","",'Model inputs'!V55=0))="",FALSE,IF(ISERROR('Model inputs'!V55=0),'Model inputs'!V55=0,IF('Model inputs'!V55="","",'Model inputs'!V55=0))),IF('Model inputs'!AG86="","",'Model inputs'!AG86),IF('Model inputs'!U38="","",'Model inputs'!U38))</f>
        <v>192.75462167528124</v>
      </c>
      <c r="W73" s="10">
        <f>IF(IF(IF(ISERROR('Model inputs'!W55=0),'Model inputs'!W55=0,IF('Model inputs'!W55="","",'Model inputs'!W55=0))="",FALSE,IF(ISERROR('Model inputs'!W55=0),'Model inputs'!W55=0,IF('Model inputs'!W55="","",'Model inputs'!W55=0))),IF('Model inputs'!AG86="","",'Model inputs'!AG86),IF('Model inputs'!V38="","",'Model inputs'!V38))</f>
        <v>219.57617163719584</v>
      </c>
      <c r="X73" s="10">
        <f>IF(IF(IF(ISERROR('Model inputs'!X55=0),'Model inputs'!X55=0,IF('Model inputs'!X55="","",'Model inputs'!X55=0))="",FALSE,IF(ISERROR('Model inputs'!X55=0),'Model inputs'!X55=0,IF('Model inputs'!X55="","",'Model inputs'!X55=0))),IF('Model inputs'!AG86="","",'Model inputs'!AG86),IF('Model inputs'!W38="","",'Model inputs'!W38))</f>
        <v>247.78336691420412</v>
      </c>
      <c r="Y73" s="10">
        <f>IF(IF(IF(ISERROR('Model inputs'!Y55=0),'Model inputs'!Y55=0,IF('Model inputs'!Y55="","",'Model inputs'!Y55=0))="",FALSE,IF(ISERROR('Model inputs'!Y55=0),'Model inputs'!Y55=0,IF('Model inputs'!Y55="","",'Model inputs'!Y55=0))),IF('Model inputs'!AG86="","",'Model inputs'!AG86),IF('Model inputs'!X38="","",'Model inputs'!X38))</f>
        <v>275.8239067748581</v>
      </c>
      <c r="Z73" s="10">
        <f>IF(IF(IF(ISERROR('Model inputs'!Z55=0),'Model inputs'!Z55=0,IF('Model inputs'!Z55="","",'Model inputs'!Z55=0))="",FALSE,IF(ISERROR('Model inputs'!Z55=0),'Model inputs'!Z55=0,IF('Model inputs'!Z55="","",'Model inputs'!Z55=0))),IF('Model inputs'!AG86="","",'Model inputs'!AG86),IF('Model inputs'!Y38="","",'Model inputs'!Y38))</f>
        <v>303.77745455099915</v>
      </c>
      <c r="AA73" s="10">
        <f>IF(IF(IF(ISERROR('Model inputs'!AA55=0),'Model inputs'!AA55=0,IF('Model inputs'!AA55="","",'Model inputs'!AA55=0))="",FALSE,IF(ISERROR('Model inputs'!AA55=0),'Model inputs'!AA55=0,IF('Model inputs'!AA55="","",'Model inputs'!AA55=0))),IF('Model inputs'!AG86="","",'Model inputs'!AG86),IF('Model inputs'!Z38="","",'Model inputs'!Z38))</f>
        <v>331.7211048045094</v>
      </c>
      <c r="AB73" s="10">
        <f>IF(IF(IF(ISERROR('Model inputs'!AB55=0),'Model inputs'!AB55=0,IF('Model inputs'!AB55="","",'Model inputs'!AB55=0))="",FALSE,IF(ISERROR('Model inputs'!AB55=0),'Model inputs'!AB55=0,IF('Model inputs'!AB55="","",'Model inputs'!AB55=0))),IF('Model inputs'!AG86="","",'Model inputs'!AG86),IF('Model inputs'!AA38="","",'Model inputs'!AA38))</f>
        <v>359.72966426339536</v>
      </c>
      <c r="AC73" s="10">
        <f>IF(IF(IF(ISERROR('Model inputs'!AC55=0),'Model inputs'!AC55=0,IF('Model inputs'!AC55="","",'Model inputs'!AC55=0))="",FALSE,IF(ISERROR('Model inputs'!AC55=0),'Model inputs'!AC55=0,IF('Model inputs'!AC55="","",'Model inputs'!AC55=0))),IF('Model inputs'!AG86="","",'Model inputs'!AG86),IF('Model inputs'!AB38="","",'Model inputs'!AB38))</f>
        <v>387.87591841618973</v>
      </c>
      <c r="AD73" s="10">
        <f>IF(IF(IF(ISERROR('Model inputs'!AD55=0),'Model inputs'!AD55=0,IF('Model inputs'!AD55="","",'Model inputs'!AD55=0))="",FALSE,IF(ISERROR('Model inputs'!AD55=0),'Model inputs'!AD55=0,IF('Model inputs'!AD55="","",'Model inputs'!AD55=0))),IF('Model inputs'!AG86="","",'Model inputs'!AG86),IF('Model inputs'!AC38="","",'Model inputs'!AC38))</f>
        <v>416.23088489627867</v>
      </c>
      <c r="AE73" s="10">
        <f>IF(IF(IF(ISERROR('Model inputs'!AE55=0),'Model inputs'!AE55=0,IF('Model inputs'!AE55="","",'Model inputs'!AE55=0))="",FALSE,IF(ISERROR('Model inputs'!AE55=0),'Model inputs'!AE55=0,IF('Model inputs'!AE55="","",'Model inputs'!AE55=0))),IF('Model inputs'!AG86="","",'Model inputs'!AG86),IF('Model inputs'!AD38="","",'Model inputs'!AD38))</f>
        <v>444.8640547193417</v>
      </c>
      <c r="AF73" s="10">
        <f>IF(IF(IF(ISERROR('Model inputs'!AF55=0),'Model inputs'!AF55=0,IF('Model inputs'!AF55="","",'Model inputs'!AF55=0))="",FALSE,IF(ISERROR('Model inputs'!AF55=0),'Model inputs'!AF55=0,IF('Model inputs'!AF55="","",'Model inputs'!AF55=0))),IF('Model inputs'!AG86="","",'Model inputs'!AG86),IF('Model inputs'!AE38="","",'Model inputs'!AE38))</f>
        <v>473.8436223735132</v>
      </c>
    </row>
    <row r="74" outlineLevel="1">
      <c r="A74" t="inlineStr" s="21">
        <is>
          <t xml:space="preserve">Opening customers &gt; Launch</t>
        </is>
      </c>
      <c r="B74" t="str" s="10">
        <f>IF(IF(IF(ISERROR('Model inputs'!B55=0),'Model inputs'!B55=0,IF('Model inputs'!B55="","",'Model inputs'!B55=0))="",FALSE,IF(ISERROR('Model inputs'!B55=0),'Model inputs'!B55=0,IF('Model inputs'!B55="","",'Model inputs'!B55=0))),IF('Model inputs'!AG87="","",'Model inputs'!AG87),"")</f>
        <v/>
      </c>
      <c r="C74" s="10">
        <f>IF(IF(IF(ISERROR('Model inputs'!C55=0),'Model inputs'!C55=0,IF('Model inputs'!C55="","",'Model inputs'!C55=0))="",FALSE,IF(ISERROR('Model inputs'!C55=0),'Model inputs'!C55=0,IF('Model inputs'!C55="","",'Model inputs'!C55=0))),IF('Model inputs'!AG87="","",'Model inputs'!AG87),IF('Model inputs'!B39="","",'Model inputs'!B39))</f>
        <v>0</v>
      </c>
      <c r="D74" s="10">
        <f>IF(IF(IF(ISERROR('Model inputs'!D55=0),'Model inputs'!D55=0,IF('Model inputs'!D55="","",'Model inputs'!D55=0))="",FALSE,IF(ISERROR('Model inputs'!D55=0),'Model inputs'!D55=0,IF('Model inputs'!D55="","",'Model inputs'!D55=0))),IF('Model inputs'!AG87="","",'Model inputs'!AG87),IF('Model inputs'!C39="","",'Model inputs'!C39))</f>
        <v>0</v>
      </c>
      <c r="E74" s="10">
        <f>IF(IF(IF(ISERROR('Model inputs'!E55=0),'Model inputs'!E55=0,IF('Model inputs'!E55="","",'Model inputs'!E55=0))="",FALSE,IF(ISERROR('Model inputs'!E55=0),'Model inputs'!E55=0,IF('Model inputs'!E55="","",'Model inputs'!E55=0))),IF('Model inputs'!AG87="","",'Model inputs'!AG87),IF('Model inputs'!D39="","",'Model inputs'!D39))</f>
        <v>0</v>
      </c>
      <c r="F74" s="10">
        <f>IF(IF(IF(ISERROR('Model inputs'!F55=0),'Model inputs'!F55=0,IF('Model inputs'!F55="","",'Model inputs'!F55=0))="",FALSE,IF(ISERROR('Model inputs'!F55=0),'Model inputs'!F55=0,IF('Model inputs'!F55="","",'Model inputs'!F55=0))),IF('Model inputs'!AG87="","",'Model inputs'!AG87),IF('Model inputs'!E39="","",'Model inputs'!E39))</f>
        <v>0</v>
      </c>
      <c r="G74" s="10">
        <f>IF(IF(IF(ISERROR('Model inputs'!G55=0),'Model inputs'!G55=0,IF('Model inputs'!G55="","",'Model inputs'!G55=0))="",FALSE,IF(ISERROR('Model inputs'!G55=0),'Model inputs'!G55=0,IF('Model inputs'!G55="","",'Model inputs'!G55=0))),IF('Model inputs'!AG87="","",'Model inputs'!AG87),IF('Model inputs'!F39="","",'Model inputs'!F39))</f>
        <v>0</v>
      </c>
      <c r="H74" s="10">
        <f>IF(IF(IF(ISERROR('Model inputs'!H55=0),'Model inputs'!H55=0,IF('Model inputs'!H55="","",'Model inputs'!H55=0))="",FALSE,IF(ISERROR('Model inputs'!H55=0),'Model inputs'!H55=0,IF('Model inputs'!H55="","",'Model inputs'!H55=0))),IF('Model inputs'!AG87="","",'Model inputs'!AG87),IF('Model inputs'!G39="","",'Model inputs'!G39))</f>
        <v>0</v>
      </c>
      <c r="I74" s="10">
        <f>IF(IF(IF(ISERROR('Model inputs'!I55=0),'Model inputs'!I55=0,IF('Model inputs'!I55="","",'Model inputs'!I55=0))="",FALSE,IF(ISERROR('Model inputs'!I55=0),'Model inputs'!I55=0,IF('Model inputs'!I55="","",'Model inputs'!I55=0))),IF('Model inputs'!AG87="","",'Model inputs'!AG87),IF('Model inputs'!H39="","",'Model inputs'!H39))</f>
        <v>0</v>
      </c>
      <c r="J74" s="10">
        <f>IF(IF(IF(ISERROR('Model inputs'!J55=0),'Model inputs'!J55=0,IF('Model inputs'!J55="","",'Model inputs'!J55=0))="",FALSE,IF(ISERROR('Model inputs'!J55=0),'Model inputs'!J55=0,IF('Model inputs'!J55="","",'Model inputs'!J55=0))),IF('Model inputs'!AG87="","",'Model inputs'!AG87),IF('Model inputs'!I39="","",'Model inputs'!I39))</f>
        <v>0</v>
      </c>
      <c r="K74" s="10">
        <f>IF(IF(IF(ISERROR('Model inputs'!K55=0),'Model inputs'!K55=0,IF('Model inputs'!K55="","",'Model inputs'!K55=0))="",FALSE,IF(ISERROR('Model inputs'!K55=0),'Model inputs'!K55=0,IF('Model inputs'!K55="","",'Model inputs'!K55=0))),IF('Model inputs'!AG87="","",'Model inputs'!AG87),IF('Model inputs'!J39="","",'Model inputs'!J39))</f>
        <v>0</v>
      </c>
      <c r="L74" s="10">
        <f>IF(IF(IF(ISERROR('Model inputs'!L55=0),'Model inputs'!L55=0,IF('Model inputs'!L55="","",'Model inputs'!L55=0))="",FALSE,IF(ISERROR('Model inputs'!L55=0),'Model inputs'!L55=0,IF('Model inputs'!L55="","",'Model inputs'!L55=0))),IF('Model inputs'!AG87="","",'Model inputs'!AG87),IF('Model inputs'!K39="","",'Model inputs'!K39))</f>
        <v>0</v>
      </c>
      <c r="M74" s="10">
        <f>IF(IF(IF(ISERROR('Model inputs'!M55=0),'Model inputs'!M55=0,IF('Model inputs'!M55="","",'Model inputs'!M55=0))="",FALSE,IF(ISERROR('Model inputs'!M55=0),'Model inputs'!M55=0,IF('Model inputs'!M55="","",'Model inputs'!M55=0))),IF('Model inputs'!AG87="","",'Model inputs'!AG87),IF('Model inputs'!L39="","",'Model inputs'!L39))</f>
        <v>0</v>
      </c>
      <c r="N74" s="10">
        <f>IF(IF(IF(ISERROR('Model inputs'!N55=0),'Model inputs'!N55=0,IF('Model inputs'!N55="","",'Model inputs'!N55=0))="",FALSE,IF(ISERROR('Model inputs'!N55=0),'Model inputs'!N55=0,IF('Model inputs'!N55="","",'Model inputs'!N55=0))),IF('Model inputs'!AG87="","",'Model inputs'!AG87),IF('Model inputs'!M39="","",'Model inputs'!M39))</f>
        <v>0</v>
      </c>
      <c r="O74" s="10">
        <f>IF(IF(IF(ISERROR('Model inputs'!O55=0),'Model inputs'!O55=0,IF('Model inputs'!O55="","",'Model inputs'!O55=0))="",FALSE,IF(ISERROR('Model inputs'!O55=0),'Model inputs'!O55=0,IF('Model inputs'!O55="","",'Model inputs'!O55=0))),IF('Model inputs'!AG87="","",'Model inputs'!AG87),IF('Model inputs'!N39="","",'Model inputs'!N39))</f>
        <v>1</v>
      </c>
      <c r="P74" s="10">
        <f>IF(IF(IF(ISERROR('Model inputs'!P55=0),'Model inputs'!P55=0,IF('Model inputs'!P55="","",'Model inputs'!P55=0))="",FALSE,IF(ISERROR('Model inputs'!P55=0),'Model inputs'!P55=0,IF('Model inputs'!P55="","",'Model inputs'!P55=0))),IF('Model inputs'!AG87="","",'Model inputs'!AG87),IF('Model inputs'!O39="","",'Model inputs'!O39))</f>
        <v>1</v>
      </c>
      <c r="Q74" s="10">
        <f>IF(IF(IF(ISERROR('Model inputs'!Q55=0),'Model inputs'!Q55=0,IF('Model inputs'!Q55="","",'Model inputs'!Q55=0))="",FALSE,IF(ISERROR('Model inputs'!Q55=0),'Model inputs'!Q55=0,IF('Model inputs'!Q55="","",'Model inputs'!Q55=0))),IF('Model inputs'!AG87="","",'Model inputs'!AG87),IF('Model inputs'!P39="","",'Model inputs'!P39))</f>
        <v>1.51</v>
      </c>
      <c r="R74" s="10">
        <f>IF(IF(IF(ISERROR('Model inputs'!R55=0),'Model inputs'!R55=0,IF('Model inputs'!R55="","",'Model inputs'!R55=0))="",FALSE,IF(ISERROR('Model inputs'!R55=0),'Model inputs'!R55=0,IF('Model inputs'!R55="","",'Model inputs'!R55=0))),IF('Model inputs'!AG87="","",'Model inputs'!AG87),IF('Model inputs'!Q39="","",'Model inputs'!Q39))</f>
        <v>2.025106944444444</v>
      </c>
      <c r="S74" s="10">
        <f>IF(IF(IF(ISERROR('Model inputs'!S55=0),'Model inputs'!S55=0,IF('Model inputs'!S55="","",'Model inputs'!S55=0))="",FALSE,IF(ISERROR('Model inputs'!S55=0),'Model inputs'!S55=0,IF('Model inputs'!S55="","",'Model inputs'!S55=0))),IF('Model inputs'!AG87="","",'Model inputs'!AG87),IF('Model inputs'!R39="","",'Model inputs'!R39))</f>
        <v>2.547012070601851</v>
      </c>
      <c r="T74" s="10">
        <f>IF(IF(IF(ISERROR('Model inputs'!T55=0),'Model inputs'!T55=0,IF('Model inputs'!T55="","",'Model inputs'!T55=0))="",FALSE,IF(ISERROR('Model inputs'!T55=0),'Model inputs'!T55=0,IF('Model inputs'!T55="","",'Model inputs'!T55=0))),IF('Model inputs'!AG87="","",'Model inputs'!AG87),IF('Model inputs'!S39="","",'Model inputs'!S39))</f>
        <v>3.0771044879079854</v>
      </c>
      <c r="U74" s="10">
        <f>IF(IF(IF(ISERROR('Model inputs'!U55=0),'Model inputs'!U55=0,IF('Model inputs'!U55="","",'Model inputs'!U55=0))="",FALSE,IF(ISERROR('Model inputs'!U55=0),'Model inputs'!U55=0,IF('Model inputs'!U55="","",'Model inputs'!U55=0))),IF('Model inputs'!AG87="","",'Model inputs'!AG87),IF('Model inputs'!T39="","",'Model inputs'!T39))</f>
        <v>3.6168582008046233</v>
      </c>
      <c r="V74" s="10">
        <f>IF(IF(IF(ISERROR('Model inputs'!V55=0),'Model inputs'!V55=0,IF('Model inputs'!V55="","",'Model inputs'!V55=0))="",FALSE,IF(ISERROR('Model inputs'!V55=0),'Model inputs'!V55=0,IF('Model inputs'!V55="","",'Model inputs'!V55=0))),IF('Model inputs'!AG87="","",'Model inputs'!AG87),IF('Model inputs'!U39="","",'Model inputs'!U39))</f>
        <v>4.167844494352857</v>
      </c>
      <c r="W74" s="10">
        <f>IF(IF(IF(ISERROR('Model inputs'!W55=0),'Model inputs'!W55=0,IF('Model inputs'!W55="","",'Model inputs'!W55=0))="",FALSE,IF(ISERROR('Model inputs'!W55=0),'Model inputs'!W55=0,IF('Model inputs'!W55="","",'Model inputs'!W55=0))),IF('Model inputs'!AG87="","",'Model inputs'!AG87),IF('Model inputs'!V39="","",'Model inputs'!V39))</f>
        <v>4.731745191609298</v>
      </c>
      <c r="X74" s="10">
        <f>IF(IF(IF(ISERROR('Model inputs'!X55=0),'Model inputs'!X55=0,IF('Model inputs'!X55="","",'Model inputs'!X55=0))="",FALSE,IF(ISERROR('Model inputs'!X55=0),'Model inputs'!X55=0,IF('Model inputs'!X55="","",'Model inputs'!X55=0))),IF('Model inputs'!AG87="","",'Model inputs'!AG87),IF('Model inputs'!W39="","",'Model inputs'!W39))</f>
        <v>5.310366891827144</v>
      </c>
      <c r="Y74" s="10">
        <f>IF(IF(IF(ISERROR('Model inputs'!Y55=0),'Model inputs'!Y55=0,IF('Model inputs'!Y55="","",'Model inputs'!Y55=0))="",FALSE,IF(ISERROR('Model inputs'!Y55=0),'Model inputs'!Y55=0,IF('Model inputs'!Y55="","",'Model inputs'!Y55=0))),IF('Model inputs'!AG87="","",'Model inputs'!AG87),IF('Model inputs'!X39="","",'Model inputs'!X39))</f>
        <v>5.905656307557946</v>
      </c>
      <c r="Z74" s="10">
        <f>IF(IF(IF(ISERROR('Model inputs'!Z55=0),'Model inputs'!Z55=0,IF('Model inputs'!Z55="","",'Model inputs'!Z55=0))="",FALSE,IF(ISERROR('Model inputs'!Z55=0),'Model inputs'!Z55=0,IF('Model inputs'!Z55="","",'Model inputs'!Z55=0))),IF('Model inputs'!AG87="","",'Model inputs'!AG87),IF('Model inputs'!Y39="","",'Model inputs'!Y39))</f>
        <v>6.51825529091976</v>
      </c>
      <c r="AA74" s="10">
        <f>IF(IF(IF(ISERROR('Model inputs'!AA55=0),'Model inputs'!AA55=0,IF('Model inputs'!AA55="","",'Model inputs'!AA55=0))="",FALSE,IF(ISERROR('Model inputs'!AA55=0),'Model inputs'!AA55=0,IF('Model inputs'!AA55="","",'Model inputs'!AA55=0))),IF('Model inputs'!AG87="","",'Model inputs'!AG87),IF('Model inputs'!Z39="","",'Model inputs'!Z39))</f>
        <v>7.148799939122187</v>
      </c>
      <c r="AB74" s="10">
        <f>IF(IF(IF(ISERROR('Model inputs'!AB55=0),'Model inputs'!AB55=0,IF('Model inputs'!AB55="","",'Model inputs'!AB55=0))="",FALSE,IF(ISERROR('Model inputs'!AB55=0),'Model inputs'!AB55=0,IF('Model inputs'!AB55="","",'Model inputs'!AB55=0))),IF('Model inputs'!AG87="","",'Model inputs'!AG87),IF('Model inputs'!AA39="","",'Model inputs'!AA39))</f>
        <v>7.797924320310828</v>
      </c>
      <c r="AC74" s="10">
        <f>IF(IF(IF(ISERROR('Model inputs'!AC55=0),'Model inputs'!AC55=0,IF('Model inputs'!AC55="","",'Model inputs'!AC55=0))="",FALSE,IF(ISERROR('Model inputs'!AC55=0),'Model inputs'!AC55=0,IF('Model inputs'!AC55="","",'Model inputs'!AC55=0))),IF('Model inputs'!AG87="","",'Model inputs'!AG87),IF('Model inputs'!AB39="","",'Model inputs'!AB39))</f>
        <v>8.466264010178019</v>
      </c>
      <c r="AD74" s="10">
        <f>IF(IF(IF(ISERROR('Model inputs'!AD55=0),'Model inputs'!AD55=0,IF('Model inputs'!AD55="","",'Model inputs'!AD55=0))="",FALSE,IF(ISERROR('Model inputs'!AD55=0),'Model inputs'!AD55=0,IF('Model inputs'!AD55="","",'Model inputs'!AD55=0))),IF('Model inputs'!AG87="","",'Model inputs'!AG87),IF('Model inputs'!AC39="","",'Model inputs'!AC39))</f>
        <v>9.154459457032457</v>
      </c>
      <c r="AE74" s="10">
        <f>IF(IF(IF(ISERROR('Model inputs'!AE55=0),'Model inputs'!AE55=0,IF('Model inputs'!AE55="","",'Model inputs'!AE55=0))="",FALSE,IF(ISERROR('Model inputs'!AE55=0),'Model inputs'!AE55=0,IF('Model inputs'!AE55="","",'Model inputs'!AE55=0))),IF('Model inputs'!AG87="","",'Model inputs'!AG87),IF('Model inputs'!AD39="","",'Model inputs'!AD39))</f>
        <v>9.86315919194885</v>
      </c>
      <c r="AF74" s="10">
        <f>IF(IF(IF(ISERROR('Model inputs'!AF55=0),'Model inputs'!AF55=0,IF('Model inputs'!AF55="","",'Model inputs'!AF55=0))="",FALSE,IF(ISERROR('Model inputs'!AF55=0),'Model inputs'!AF55=0,IF('Model inputs'!AF55="","",'Model inputs'!AF55=0))),IF('Model inputs'!AG87="","",'Model inputs'!AG87),IF('Model inputs'!AE39="","",'Model inputs'!AE39))</f>
        <v>10.59302289962623</v>
      </c>
    </row>
    <row r="75" outlineLevel="1">
      <c r="A75" t="inlineStr" s="21">
        <is>
          <t xml:space="preserve">Opening customers &gt; Team</t>
        </is>
      </c>
      <c r="B75" t="str" s="10">
        <f>IF(IF(IF(ISERROR('Model inputs'!B55=0),'Model inputs'!B55=0,IF('Model inputs'!B55="","",'Model inputs'!B55=0))="",FALSE,IF(ISERROR('Model inputs'!B55=0),'Model inputs'!B55=0,IF('Model inputs'!B55="","",'Model inputs'!B55=0))),IF('Model inputs'!AG88="","",'Model inputs'!AG88),"")</f>
        <v/>
      </c>
      <c r="C75" s="10">
        <f>IF(IF(IF(ISERROR('Model inputs'!C55=0),'Model inputs'!C55=0,IF('Model inputs'!C55="","",'Model inputs'!C55=0))="",FALSE,IF(ISERROR('Model inputs'!C55=0),'Model inputs'!C55=0,IF('Model inputs'!C55="","",'Model inputs'!C55=0))),IF('Model inputs'!AG88="","",'Model inputs'!AG88),IF('Model inputs'!B40="","",'Model inputs'!B40))</f>
        <v>0</v>
      </c>
      <c r="D75" s="10">
        <f>IF(IF(IF(ISERROR('Model inputs'!D55=0),'Model inputs'!D55=0,IF('Model inputs'!D55="","",'Model inputs'!D55=0))="",FALSE,IF(ISERROR('Model inputs'!D55=0),'Model inputs'!D55=0,IF('Model inputs'!D55="","",'Model inputs'!D55=0))),IF('Model inputs'!AG88="","",'Model inputs'!AG88),IF('Model inputs'!C40="","",'Model inputs'!C40))</f>
        <v>0</v>
      </c>
      <c r="E75" s="10">
        <f>IF(IF(IF(ISERROR('Model inputs'!E55=0),'Model inputs'!E55=0,IF('Model inputs'!E55="","",'Model inputs'!E55=0))="",FALSE,IF(ISERROR('Model inputs'!E55=0),'Model inputs'!E55=0,IF('Model inputs'!E55="","",'Model inputs'!E55=0))),IF('Model inputs'!AG88="","",'Model inputs'!AG88),IF('Model inputs'!D40="","",'Model inputs'!D40))</f>
        <v>0</v>
      </c>
      <c r="F75" s="10">
        <f>IF(IF(IF(ISERROR('Model inputs'!F55=0),'Model inputs'!F55=0,IF('Model inputs'!F55="","",'Model inputs'!F55=0))="",FALSE,IF(ISERROR('Model inputs'!F55=0),'Model inputs'!F55=0,IF('Model inputs'!F55="","",'Model inputs'!F55=0))),IF('Model inputs'!AG88="","",'Model inputs'!AG88),IF('Model inputs'!E40="","",'Model inputs'!E40))</f>
        <v>0</v>
      </c>
      <c r="G75" s="10">
        <f>IF(IF(IF(ISERROR('Model inputs'!G55=0),'Model inputs'!G55=0,IF('Model inputs'!G55="","",'Model inputs'!G55=0))="",FALSE,IF(ISERROR('Model inputs'!G55=0),'Model inputs'!G55=0,IF('Model inputs'!G55="","",'Model inputs'!G55=0))),IF('Model inputs'!AG88="","",'Model inputs'!AG88),IF('Model inputs'!F40="","",'Model inputs'!F40))</f>
        <v>0</v>
      </c>
      <c r="H75" s="10">
        <f>IF(IF(IF(ISERROR('Model inputs'!H55=0),'Model inputs'!H55=0,IF('Model inputs'!H55="","",'Model inputs'!H55=0))="",FALSE,IF(ISERROR('Model inputs'!H55=0),'Model inputs'!H55=0,IF('Model inputs'!H55="","",'Model inputs'!H55=0))),IF('Model inputs'!AG88="","",'Model inputs'!AG88),IF('Model inputs'!G40="","",'Model inputs'!G40))</f>
        <v>0</v>
      </c>
      <c r="I75" s="10">
        <f>IF(IF(IF(ISERROR('Model inputs'!I55=0),'Model inputs'!I55=0,IF('Model inputs'!I55="","",'Model inputs'!I55=0))="",FALSE,IF(ISERROR('Model inputs'!I55=0),'Model inputs'!I55=0,IF('Model inputs'!I55="","",'Model inputs'!I55=0))),IF('Model inputs'!AG88="","",'Model inputs'!AG88),IF('Model inputs'!H40="","",'Model inputs'!H40))</f>
        <v>0</v>
      </c>
      <c r="J75" s="10">
        <f>IF(IF(IF(ISERROR('Model inputs'!J55=0),'Model inputs'!J55=0,IF('Model inputs'!J55="","",'Model inputs'!J55=0))="",FALSE,IF(ISERROR('Model inputs'!J55=0),'Model inputs'!J55=0,IF('Model inputs'!J55="","",'Model inputs'!J55=0))),IF('Model inputs'!AG88="","",'Model inputs'!AG88),IF('Model inputs'!I40="","",'Model inputs'!I40))</f>
        <v>0</v>
      </c>
      <c r="K75" s="10">
        <f>IF(IF(IF(ISERROR('Model inputs'!K55=0),'Model inputs'!K55=0,IF('Model inputs'!K55="","",'Model inputs'!K55=0))="",FALSE,IF(ISERROR('Model inputs'!K55=0),'Model inputs'!K55=0,IF('Model inputs'!K55="","",'Model inputs'!K55=0))),IF('Model inputs'!AG88="","",'Model inputs'!AG88),IF('Model inputs'!J40="","",'Model inputs'!J40))</f>
        <v>0</v>
      </c>
      <c r="L75" s="10">
        <f>IF(IF(IF(ISERROR('Model inputs'!L55=0),'Model inputs'!L55=0,IF('Model inputs'!L55="","",'Model inputs'!L55=0))="",FALSE,IF(ISERROR('Model inputs'!L55=0),'Model inputs'!L55=0,IF('Model inputs'!L55="","",'Model inputs'!L55=0))),IF('Model inputs'!AG88="","",'Model inputs'!AG88),IF('Model inputs'!K40="","",'Model inputs'!K40))</f>
        <v>0</v>
      </c>
      <c r="M75" s="10">
        <f>IF(IF(IF(ISERROR('Model inputs'!M55=0),'Model inputs'!M55=0,IF('Model inputs'!M55="","",'Model inputs'!M55=0))="",FALSE,IF(ISERROR('Model inputs'!M55=0),'Model inputs'!M55=0,IF('Model inputs'!M55="","",'Model inputs'!M55=0))),IF('Model inputs'!AG88="","",'Model inputs'!AG88),IF('Model inputs'!L40="","",'Model inputs'!L40))</f>
        <v>0</v>
      </c>
      <c r="N75" s="10">
        <f>IF(IF(IF(ISERROR('Model inputs'!N55=0),'Model inputs'!N55=0,IF('Model inputs'!N55="","",'Model inputs'!N55=0))="",FALSE,IF(ISERROR('Model inputs'!N55=0),'Model inputs'!N55=0,IF('Model inputs'!N55="","",'Model inputs'!N55=0))),IF('Model inputs'!AG88="","",'Model inputs'!AG88),IF('Model inputs'!M40="","",'Model inputs'!M40))</f>
        <v>0</v>
      </c>
      <c r="O75" s="10">
        <f>IF(IF(IF(ISERROR('Model inputs'!O55=0),'Model inputs'!O55=0,IF('Model inputs'!O55="","",'Model inputs'!O55=0))="",FALSE,IF(ISERROR('Model inputs'!O55=0),'Model inputs'!O55=0,IF('Model inputs'!O55="","",'Model inputs'!O55=0))),IF('Model inputs'!AG88="","",'Model inputs'!AG88),IF('Model inputs'!N40="","",'Model inputs'!N40))</f>
        <v>6</v>
      </c>
      <c r="P75" s="10">
        <f>IF(IF(IF(ISERROR('Model inputs'!P55=0),'Model inputs'!P55=0,IF('Model inputs'!P55="","",'Model inputs'!P55=0))="",FALSE,IF(ISERROR('Model inputs'!P55=0),'Model inputs'!P55=0,IF('Model inputs'!P55="","",'Model inputs'!P55=0))),IF('Model inputs'!AG88="","",'Model inputs'!AG88),IF('Model inputs'!O40="","",'Model inputs'!O40))</f>
        <v>6</v>
      </c>
      <c r="Q75" s="10">
        <f>IF(IF(IF(ISERROR('Model inputs'!Q55=0),'Model inputs'!Q55=0,IF('Model inputs'!Q55="","",'Model inputs'!Q55=0))="",FALSE,IF(ISERROR('Model inputs'!Q55=0),'Model inputs'!Q55=0,IF('Model inputs'!Q55="","",'Model inputs'!Q55=0))),IF('Model inputs'!AG88="","",'Model inputs'!AG88),IF('Model inputs'!P40="","",'Model inputs'!P40))</f>
        <v>9.061666666666667</v>
      </c>
      <c r="R75" s="10">
        <f>IF(IF(IF(ISERROR('Model inputs'!R55=0),'Model inputs'!R55=0,IF('Model inputs'!R55="","",'Model inputs'!R55=0))="",FALSE,IF(ISERROR('Model inputs'!R55=0),'Model inputs'!R55=0,IF('Model inputs'!R55="","",'Model inputs'!R55=0))),IF('Model inputs'!AG88="","",'Model inputs'!AG88),IF('Model inputs'!Q40="","",'Model inputs'!Q40))</f>
        <v>12.547615277777778</v>
      </c>
      <c r="S75" s="10">
        <f>IF(IF(IF(ISERROR('Model inputs'!S55=0),'Model inputs'!S55=0,IF('Model inputs'!S55="","",'Model inputs'!S55=0))="",FALSE,IF(ISERROR('Model inputs'!S55=0),'Model inputs'!S55=0,IF('Model inputs'!S55="","",'Model inputs'!S55=0))),IF('Model inputs'!AG88="","",'Model inputs'!AG88),IF('Model inputs'!R40="","",'Model inputs'!R40))</f>
        <v>16.391423607638888</v>
      </c>
      <c r="T75" s="10">
        <f>IF(IF(IF(ISERROR('Model inputs'!T55=0),'Model inputs'!T55=0,IF('Model inputs'!T55="","",'Model inputs'!T55=0))="",FALSE,IF(ISERROR('Model inputs'!T55=0),'Model inputs'!T55=0,IF('Model inputs'!T55="","",'Model inputs'!T55=0))),IF('Model inputs'!AG88="","",'Model inputs'!AG88),IF('Model inputs'!S40="","",'Model inputs'!S40))</f>
        <v>20.618467251661844</v>
      </c>
      <c r="U75" s="10">
        <f>IF(IF(IF(ISERROR('Model inputs'!U55=0),'Model inputs'!U55=0,IF('Model inputs'!U55="","",'Model inputs'!U55=0))="",FALSE,IF(ISERROR('Model inputs'!U55=0),'Model inputs'!U55=0,IF('Model inputs'!U55="","",'Model inputs'!U55=0))),IF('Model inputs'!AG88="","",'Model inputs'!AG88),IF('Model inputs'!T40="","",'Model inputs'!T40))</f>
        <v>25.257399974472865</v>
      </c>
      <c r="V75" s="10">
        <f>IF(IF(IF(ISERROR('Model inputs'!V55=0),'Model inputs'!V55=0,IF('Model inputs'!V55="","",'Model inputs'!V55=0))="",FALSE,IF(ISERROR('Model inputs'!V55=0),'Model inputs'!V55=0,IF('Model inputs'!V55="","",'Model inputs'!V55=0))),IF('Model inputs'!AG88="","",'Model inputs'!AG88),IF('Model inputs'!U40="","",'Model inputs'!U40))</f>
        <v>30.3404075212161</v>
      </c>
      <c r="W75" s="10">
        <f>IF(IF(IF(ISERROR('Model inputs'!W55=0),'Model inputs'!W55=0,IF('Model inputs'!W55="","",'Model inputs'!W55=0))="",FALSE,IF(ISERROR('Model inputs'!W55=0),'Model inputs'!W55=0,IF('Model inputs'!W55="","",'Model inputs'!W55=0))),IF('Model inputs'!AG88="","",'Model inputs'!AG88),IF('Model inputs'!V40="","",'Model inputs'!V40))</f>
        <v>35.90349074207642</v>
      </c>
      <c r="X75" s="10">
        <f>IF(IF(IF(ISERROR('Model inputs'!X55=0),'Model inputs'!X55=0,IF('Model inputs'!X55="","",'Model inputs'!X55=0))="",FALSE,IF(ISERROR('Model inputs'!X55=0),'Model inputs'!X55=0,IF('Model inputs'!X55="","",'Model inputs'!X55=0))),IF('Model inputs'!AG88="","",'Model inputs'!AG88),IF('Model inputs'!W40="","",'Model inputs'!W40))</f>
        <v>41.986780585970116</v>
      </c>
      <c r="Y75" s="10">
        <f>IF(IF(IF(ISERROR('Model inputs'!Y55=0),'Model inputs'!Y55=0,IF('Model inputs'!Y55="","",'Model inputs'!Y55=0))="",FALSE,IF(ISERROR('Model inputs'!Y55=0),'Model inputs'!Y55=0,IF('Model inputs'!Y55="","",'Model inputs'!Y55=0))),IF('Model inputs'!AG88="","",'Model inputs'!AG88),IF('Model inputs'!X40="","",'Model inputs'!X40))</f>
        <v>48.284118714044176</v>
      </c>
      <c r="Z75" s="10">
        <f>IF(IF(IF(ISERROR('Model inputs'!Z55=0),'Model inputs'!Z55=0,IF('Model inputs'!Z55="","",'Model inputs'!Z55=0))="",FALSE,IF(ISERROR('Model inputs'!Z55=0),'Model inputs'!Z55=0,IF('Model inputs'!Z55="","",'Model inputs'!Z55=0))),IF('Model inputs'!AG88="","",'Model inputs'!AG88),IF('Model inputs'!Y40="","",'Model inputs'!Y40))</f>
        <v>54.79643461589339</v>
      </c>
      <c r="AA75" s="10">
        <f>IF(IF(IF(ISERROR('Model inputs'!AA55=0),'Model inputs'!AA55=0,IF('Model inputs'!AA55="","",'Model inputs'!AA55=0))="",FALSE,IF(ISERROR('Model inputs'!AA55=0),'Model inputs'!AA55=0,IF('Model inputs'!AA55="","",'Model inputs'!AA55=0))),IF('Model inputs'!AG88="","",'Model inputs'!AG88),IF('Model inputs'!Z40="","",'Model inputs'!Z40))</f>
        <v>61.52553126611357</v>
      </c>
      <c r="AB75" s="10">
        <f>IF(IF(IF(ISERROR('Model inputs'!AB55=0),'Model inputs'!AB55=0,IF('Model inputs'!AB55="","",'Model inputs'!AB55=0))="",FALSE,IF(ISERROR('Model inputs'!AB55=0),'Model inputs'!AB55=0,IF('Model inputs'!AB55="","",'Model inputs'!AB55=0))),IF('Model inputs'!AG88="","",'Model inputs'!AG88),IF('Model inputs'!AA40="","",'Model inputs'!AA40))</f>
        <v>68.47405312124489</v>
      </c>
      <c r="AC75" s="10">
        <f>IF(IF(IF(ISERROR('Model inputs'!AC55=0),'Model inputs'!AC55=0,IF('Model inputs'!AC55="","",'Model inputs'!AC55=0))="",FALSE,IF(ISERROR('Model inputs'!AC55=0),'Model inputs'!AC55=0,IF('Model inputs'!AC55="","",'Model inputs'!AC55=0))),IF('Model inputs'!AG88="","",'Model inputs'!AG88),IF('Model inputs'!AB40="","",'Model inputs'!AB40))</f>
        <v>75.64545768170619</v>
      </c>
      <c r="AD75" s="10">
        <f>IF(IF(IF(ISERROR('Model inputs'!AD55=0),'Model inputs'!AD55=0,IF('Model inputs'!AD55="","",'Model inputs'!AD55=0))="",FALSE,IF(ISERROR('Model inputs'!AD55=0),'Model inputs'!AD55=0,IF('Model inputs'!AD55="","",'Model inputs'!AD55=0))),IF('Model inputs'!AG88="","",'Model inputs'!AG88),IF('Model inputs'!AC40="","",'Model inputs'!AC40))</f>
        <v>83.04399042525094</v>
      </c>
      <c r="AE75" s="10">
        <f>IF(IF(IF(ISERROR('Model inputs'!AE55=0),'Model inputs'!AE55=0,IF('Model inputs'!AE55="","",'Model inputs'!AE55=0))="",FALSE,IF(ISERROR('Model inputs'!AE55=0),'Model inputs'!AE55=0,IF('Model inputs'!AE55="","",'Model inputs'!AE55=0))),IF('Model inputs'!AG88="","",'Model inputs'!AG88),IF('Model inputs'!AD40="","",'Model inputs'!AD40))</f>
        <v>90.67466293358764</v>
      </c>
      <c r="AF75" s="10">
        <f>IF(IF(IF(ISERROR('Model inputs'!AF55=0),'Model inputs'!AF55=0,IF('Model inputs'!AF55="","",'Model inputs'!AF55=0))="",FALSE,IF(ISERROR('Model inputs'!AF55=0),'Model inputs'!AF55=0,IF('Model inputs'!AF55="","",'Model inputs'!AF55=0))),IF('Model inputs'!AG88="","",'Model inputs'!AG88),IF('Model inputs'!AE40="","",'Model inputs'!AE40))</f>
        <v>98.54323404798558</v>
      </c>
    </row>
    <row r="76">
      <c r="A76" t="inlineStr" s="20">
        <is>
          <t xml:space="preserve">Organic new logos</t>
        </is>
      </c>
      <c r="B76" s="8">
        <f>SUM('Model inputs'!B77,'Model inputs'!B78,'Model inputs'!B79)</f>
        <v>0</v>
      </c>
      <c r="C76" s="8">
        <f>SUM('Model inputs'!C77,'Model inputs'!C78,'Model inputs'!C79)</f>
        <v>0</v>
      </c>
      <c r="D76" s="8">
        <f>SUM('Model inputs'!D77,'Model inputs'!D78,'Model inputs'!D79)</f>
        <v>0</v>
      </c>
      <c r="E76" s="8">
        <f>SUM('Model inputs'!E77,'Model inputs'!E78,'Model inputs'!E79)</f>
        <v>0</v>
      </c>
      <c r="F76" s="8">
        <f>SUM('Model inputs'!F77,'Model inputs'!F78,'Model inputs'!F79)</f>
        <v>0</v>
      </c>
      <c r="G76" s="8">
        <f>SUM('Model inputs'!G77,'Model inputs'!G78,'Model inputs'!G79)</f>
        <v>0</v>
      </c>
      <c r="H76" s="8">
        <f>SUM('Model inputs'!H77,'Model inputs'!H78,'Model inputs'!H79)</f>
        <v>0</v>
      </c>
      <c r="I76" s="8">
        <f>SUM('Model inputs'!I77,'Model inputs'!I78,'Model inputs'!I79)</f>
        <v>0</v>
      </c>
      <c r="J76" s="8">
        <f>SUM('Model inputs'!J77,'Model inputs'!J78,'Model inputs'!J79)</f>
        <v>0</v>
      </c>
      <c r="K76" s="8">
        <f>SUM('Model inputs'!K77,'Model inputs'!K78,'Model inputs'!K79)</f>
        <v>0</v>
      </c>
      <c r="L76" s="8">
        <f>SUM('Model inputs'!L77,'Model inputs'!L78,'Model inputs'!L79)</f>
        <v>0</v>
      </c>
      <c r="M76" s="8">
        <f>SUM('Model inputs'!M77,'Model inputs'!M78,'Model inputs'!M79)</f>
        <v>0</v>
      </c>
      <c r="N76" s="8">
        <f>SUM('Model inputs'!N77,'Model inputs'!N78,'Model inputs'!N79)</f>
        <v>0</v>
      </c>
      <c r="O76" s="8">
        <f>SUM('Model inputs'!O77,'Model inputs'!O78,'Model inputs'!O79)</f>
        <v>0</v>
      </c>
      <c r="P76" s="8">
        <f>SUM('Model inputs'!P77,'Model inputs'!P78,'Model inputs'!P79)</f>
        <v>28.5</v>
      </c>
      <c r="Q76" s="8">
        <f>SUM('Model inputs'!Q77,'Model inputs'!Q78,'Model inputs'!Q79)</f>
        <v>30.8</v>
      </c>
      <c r="R76" s="8">
        <f>SUM('Model inputs'!R77,'Model inputs'!R78,'Model inputs'!R79)</f>
        <v>33.290000000000006</v>
      </c>
      <c r="S76" s="8">
        <f>SUM('Model inputs'!S77,'Model inputs'!S78,'Model inputs'!S79)</f>
        <v>35.985800000000005</v>
      </c>
      <c r="T76" s="8">
        <f>SUM('Model inputs'!T77,'Model inputs'!T78,'Model inputs'!T79)</f>
        <v>38.90452400000001</v>
      </c>
      <c r="U76" s="8">
        <f>SUM('Model inputs'!U77,'Model inputs'!U78,'Model inputs'!U79)</f>
        <v>42.064731920000014</v>
      </c>
      <c r="V76" s="8">
        <f>SUM('Model inputs'!V77,'Model inputs'!V78,'Model inputs'!V79)</f>
        <v>45.486541073600016</v>
      </c>
      <c r="W76" s="8">
        <f>SUM('Model inputs'!W77,'Model inputs'!W78,'Model inputs'!W79)</f>
        <v>49.19175801948802</v>
      </c>
      <c r="X76" s="8">
        <f>SUM('Model inputs'!X77,'Model inputs'!X78,'Model inputs'!X79)</f>
        <v>51.13942834026755</v>
      </c>
      <c r="Y76" s="8">
        <f>SUM('Model inputs'!Y77,'Model inputs'!Y78,'Model inputs'!Y79)</f>
        <v>53.16500547387825</v>
      </c>
      <c r="Z76" s="8">
        <f>SUM('Model inputs'!Z77,'Model inputs'!Z78,'Model inputs'!Z79)</f>
        <v>55.27160569283338</v>
      </c>
      <c r="AA76" s="8">
        <f>SUM('Model inputs'!AA77,'Model inputs'!AA78,'Model inputs'!AA79)</f>
        <v>57.462469920546724</v>
      </c>
      <c r="AB76" s="8">
        <f>SUM('Model inputs'!AB77,'Model inputs'!AB78,'Model inputs'!AB79)</f>
        <v>59.740968717368595</v>
      </c>
      <c r="AC76" s="8">
        <f>SUM('Model inputs'!AC77,'Model inputs'!AC78,'Model inputs'!AC79)</f>
        <v>62.11060746606334</v>
      </c>
      <c r="AD76" s="8">
        <f>SUM('Model inputs'!AD77,'Model inputs'!AD78,'Model inputs'!AD79)</f>
        <v>64.57503176470587</v>
      </c>
      <c r="AE76" s="8">
        <f>SUM('Model inputs'!AE77,'Model inputs'!AE78,'Model inputs'!AE79)</f>
        <v>67.13803303529411</v>
      </c>
      <c r="AF76" s="8">
        <f>SUM('Model inputs'!AF77,'Model inputs'!AF78,'Model inputs'!AF79)</f>
        <v>69.80355435670587</v>
      </c>
    </row>
    <row r="77" outlineLevel="1">
      <c r="A77" t="inlineStr" s="21">
        <is>
          <t xml:space="preserve">Organic new logos &gt; Indie</t>
        </is>
      </c>
      <c r="B77" s="10">
        <f>IF(IF(IF(ISERROR('Model inputs'!B55&lt;1),'Model inputs'!B55&lt;1,IF('Model inputs'!B55="","",'Model inputs'!B55&lt;1))="",FALSE,IF(ISERROR('Model inputs'!B55&lt;1),'Model inputs'!B55&lt;1,IF('Model inputs'!B55="","",'Model inputs'!B55&lt;1))),0,IF(IF(IF(ISERROR('Model inputs'!B55=1),'Model inputs'!B55=1,IF('Model inputs'!B55="","",'Model inputs'!B55=1))="",FALSE,IF(ISERROR('Model inputs'!B55=1),'Model inputs'!B55=1,IF('Model inputs'!B55="","",'Model inputs'!B55=1))),IF('Model inputs'!AG69="","",'Model inputs'!AG69),0*(1+IF(IF(IF(IF(ISERROR('Model inputs'!B55&lt;=8),'Model inputs'!B55&lt;=8,IF('Model inputs'!B55="","",'Model inputs'!B55&lt;=8))="",FALSE,IF(ISERROR('Model inputs'!B55&lt;=8),'Model inputs'!B55&lt;=8,IF('Model inputs'!B55="","",'Model inputs'!B55&lt;=8))),IF('Model inputs'!AG50="","",'Model inputs'!AG50),IF('Model inputs'!AG46="","",'Model inputs'!AG46))="",0,IF(IF(IF(ISERROR('Model inputs'!B55&lt;=8),'Model inputs'!B55&lt;=8,IF('Model inputs'!B55="","",'Model inputs'!B55&lt;=8))="",FALSE,IF(ISERROR('Model inputs'!B55&lt;=8),'Model inputs'!B55&lt;=8,IF('Model inputs'!B55="","",'Model inputs'!B55&lt;=8))),IF('Model inputs'!AG50="","",'Model inputs'!AG50),IF('Model inputs'!AG46="","",'Model inputs'!AG46))))))</f>
        <v>0</v>
      </c>
      <c r="C77" s="10">
        <f>IF(IF(IF(ISERROR('Model inputs'!C55&lt;1),'Model inputs'!C55&lt;1,IF('Model inputs'!C55="","",'Model inputs'!C55&lt;1))="",FALSE,IF(ISERROR('Model inputs'!C55&lt;1),'Model inputs'!C55&lt;1,IF('Model inputs'!C55="","",'Model inputs'!C55&lt;1))),0,IF(IF(IF(ISERROR('Model inputs'!C55=1),'Model inputs'!C55=1,IF('Model inputs'!C55="","",'Model inputs'!C55=1))="",FALSE,IF(ISERROR('Model inputs'!C55=1),'Model inputs'!C55=1,IF('Model inputs'!C55="","",'Model inputs'!C55=1))),IF('Model inputs'!AG69="","",'Model inputs'!AG69),'Model inputs'!B77*(1+IF(IF(IF(IF(ISERROR('Model inputs'!C55&lt;=8),'Model inputs'!C55&lt;=8,IF('Model inputs'!C55="","",'Model inputs'!C55&lt;=8))="",FALSE,IF(ISERROR('Model inputs'!C55&lt;=8),'Model inputs'!C55&lt;=8,IF('Model inputs'!C55="","",'Model inputs'!C55&lt;=8))),IF('Model inputs'!AG50="","",'Model inputs'!AG50),IF('Model inputs'!AG46="","",'Model inputs'!AG46))="",0,IF(IF(IF(ISERROR('Model inputs'!C55&lt;=8),'Model inputs'!C55&lt;=8,IF('Model inputs'!C55="","",'Model inputs'!C55&lt;=8))="",FALSE,IF(ISERROR('Model inputs'!C55&lt;=8),'Model inputs'!C55&lt;=8,IF('Model inputs'!C55="","",'Model inputs'!C55&lt;=8))),IF('Model inputs'!AG50="","",'Model inputs'!AG50),IF('Model inputs'!AG46="","",'Model inputs'!AG46))))))</f>
        <v>0</v>
      </c>
      <c r="D77" s="10">
        <f>IF(IF(IF(ISERROR('Model inputs'!D55&lt;1),'Model inputs'!D55&lt;1,IF('Model inputs'!D55="","",'Model inputs'!D55&lt;1))="",FALSE,IF(ISERROR('Model inputs'!D55&lt;1),'Model inputs'!D55&lt;1,IF('Model inputs'!D55="","",'Model inputs'!D55&lt;1))),0,IF(IF(IF(ISERROR('Model inputs'!D55=1),'Model inputs'!D55=1,IF('Model inputs'!D55="","",'Model inputs'!D55=1))="",FALSE,IF(ISERROR('Model inputs'!D55=1),'Model inputs'!D55=1,IF('Model inputs'!D55="","",'Model inputs'!D55=1))),IF('Model inputs'!AG69="","",'Model inputs'!AG69),'Model inputs'!C77*(1+IF(IF(IF(IF(ISERROR('Model inputs'!D55&lt;=8),'Model inputs'!D55&lt;=8,IF('Model inputs'!D55="","",'Model inputs'!D55&lt;=8))="",FALSE,IF(ISERROR('Model inputs'!D55&lt;=8),'Model inputs'!D55&lt;=8,IF('Model inputs'!D55="","",'Model inputs'!D55&lt;=8))),IF('Model inputs'!AG50="","",'Model inputs'!AG50),IF('Model inputs'!AG46="","",'Model inputs'!AG46))="",0,IF(IF(IF(ISERROR('Model inputs'!D55&lt;=8),'Model inputs'!D55&lt;=8,IF('Model inputs'!D55="","",'Model inputs'!D55&lt;=8))="",FALSE,IF(ISERROR('Model inputs'!D55&lt;=8),'Model inputs'!D55&lt;=8,IF('Model inputs'!D55="","",'Model inputs'!D55&lt;=8))),IF('Model inputs'!AG50="","",'Model inputs'!AG50),IF('Model inputs'!AG46="","",'Model inputs'!AG46))))))</f>
        <v>0</v>
      </c>
      <c r="E77" s="10">
        <f>IF(IF(IF(ISERROR('Model inputs'!E55&lt;1),'Model inputs'!E55&lt;1,IF('Model inputs'!E55="","",'Model inputs'!E55&lt;1))="",FALSE,IF(ISERROR('Model inputs'!E55&lt;1),'Model inputs'!E55&lt;1,IF('Model inputs'!E55="","",'Model inputs'!E55&lt;1))),0,IF(IF(IF(ISERROR('Model inputs'!E55=1),'Model inputs'!E55=1,IF('Model inputs'!E55="","",'Model inputs'!E55=1))="",FALSE,IF(ISERROR('Model inputs'!E55=1),'Model inputs'!E55=1,IF('Model inputs'!E55="","",'Model inputs'!E55=1))),IF('Model inputs'!AG69="","",'Model inputs'!AG69),'Model inputs'!D77*(1+IF(IF(IF(IF(ISERROR('Model inputs'!E55&lt;=8),'Model inputs'!E55&lt;=8,IF('Model inputs'!E55="","",'Model inputs'!E55&lt;=8))="",FALSE,IF(ISERROR('Model inputs'!E55&lt;=8),'Model inputs'!E55&lt;=8,IF('Model inputs'!E55="","",'Model inputs'!E55&lt;=8))),IF('Model inputs'!AG50="","",'Model inputs'!AG50),IF('Model inputs'!AG46="","",'Model inputs'!AG46))="",0,IF(IF(IF(ISERROR('Model inputs'!E55&lt;=8),'Model inputs'!E55&lt;=8,IF('Model inputs'!E55="","",'Model inputs'!E55&lt;=8))="",FALSE,IF(ISERROR('Model inputs'!E55&lt;=8),'Model inputs'!E55&lt;=8,IF('Model inputs'!E55="","",'Model inputs'!E55&lt;=8))),IF('Model inputs'!AG50="","",'Model inputs'!AG50),IF('Model inputs'!AG46="","",'Model inputs'!AG46))))))</f>
        <v>0</v>
      </c>
      <c r="F77" s="10">
        <f>IF(IF(IF(ISERROR('Model inputs'!F55&lt;1),'Model inputs'!F55&lt;1,IF('Model inputs'!F55="","",'Model inputs'!F55&lt;1))="",FALSE,IF(ISERROR('Model inputs'!F55&lt;1),'Model inputs'!F55&lt;1,IF('Model inputs'!F55="","",'Model inputs'!F55&lt;1))),0,IF(IF(IF(ISERROR('Model inputs'!F55=1),'Model inputs'!F55=1,IF('Model inputs'!F55="","",'Model inputs'!F55=1))="",FALSE,IF(ISERROR('Model inputs'!F55=1),'Model inputs'!F55=1,IF('Model inputs'!F55="","",'Model inputs'!F55=1))),IF('Model inputs'!AG69="","",'Model inputs'!AG69),'Model inputs'!E77*(1+IF(IF(IF(IF(ISERROR('Model inputs'!F55&lt;=8),'Model inputs'!F55&lt;=8,IF('Model inputs'!F55="","",'Model inputs'!F55&lt;=8))="",FALSE,IF(ISERROR('Model inputs'!F55&lt;=8),'Model inputs'!F55&lt;=8,IF('Model inputs'!F55="","",'Model inputs'!F55&lt;=8))),IF('Model inputs'!AG50="","",'Model inputs'!AG50),IF('Model inputs'!AG46="","",'Model inputs'!AG46))="",0,IF(IF(IF(ISERROR('Model inputs'!F55&lt;=8),'Model inputs'!F55&lt;=8,IF('Model inputs'!F55="","",'Model inputs'!F55&lt;=8))="",FALSE,IF(ISERROR('Model inputs'!F55&lt;=8),'Model inputs'!F55&lt;=8,IF('Model inputs'!F55="","",'Model inputs'!F55&lt;=8))),IF('Model inputs'!AG50="","",'Model inputs'!AG50),IF('Model inputs'!AG46="","",'Model inputs'!AG46))))))</f>
        <v>0</v>
      </c>
      <c r="G77" s="10">
        <f>IF(IF(IF(ISERROR('Model inputs'!G55&lt;1),'Model inputs'!G55&lt;1,IF('Model inputs'!G55="","",'Model inputs'!G55&lt;1))="",FALSE,IF(ISERROR('Model inputs'!G55&lt;1),'Model inputs'!G55&lt;1,IF('Model inputs'!G55="","",'Model inputs'!G55&lt;1))),0,IF(IF(IF(ISERROR('Model inputs'!G55=1),'Model inputs'!G55=1,IF('Model inputs'!G55="","",'Model inputs'!G55=1))="",FALSE,IF(ISERROR('Model inputs'!G55=1),'Model inputs'!G55=1,IF('Model inputs'!G55="","",'Model inputs'!G55=1))),IF('Model inputs'!AG69="","",'Model inputs'!AG69),'Model inputs'!F77*(1+IF(IF(IF(IF(ISERROR('Model inputs'!G55&lt;=8),'Model inputs'!G55&lt;=8,IF('Model inputs'!G55="","",'Model inputs'!G55&lt;=8))="",FALSE,IF(ISERROR('Model inputs'!G55&lt;=8),'Model inputs'!G55&lt;=8,IF('Model inputs'!G55="","",'Model inputs'!G55&lt;=8))),IF('Model inputs'!AG50="","",'Model inputs'!AG50),IF('Model inputs'!AG46="","",'Model inputs'!AG46))="",0,IF(IF(IF(ISERROR('Model inputs'!G55&lt;=8),'Model inputs'!G55&lt;=8,IF('Model inputs'!G55="","",'Model inputs'!G55&lt;=8))="",FALSE,IF(ISERROR('Model inputs'!G55&lt;=8),'Model inputs'!G55&lt;=8,IF('Model inputs'!G55="","",'Model inputs'!G55&lt;=8))),IF('Model inputs'!AG50="","",'Model inputs'!AG50),IF('Model inputs'!AG46="","",'Model inputs'!AG46))))))</f>
        <v>0</v>
      </c>
      <c r="H77" s="10">
        <f>IF(IF(IF(ISERROR('Model inputs'!H55&lt;1),'Model inputs'!H55&lt;1,IF('Model inputs'!H55="","",'Model inputs'!H55&lt;1))="",FALSE,IF(ISERROR('Model inputs'!H55&lt;1),'Model inputs'!H55&lt;1,IF('Model inputs'!H55="","",'Model inputs'!H55&lt;1))),0,IF(IF(IF(ISERROR('Model inputs'!H55=1),'Model inputs'!H55=1,IF('Model inputs'!H55="","",'Model inputs'!H55=1))="",FALSE,IF(ISERROR('Model inputs'!H55=1),'Model inputs'!H55=1,IF('Model inputs'!H55="","",'Model inputs'!H55=1))),IF('Model inputs'!AG69="","",'Model inputs'!AG69),'Model inputs'!G77*(1+IF(IF(IF(IF(ISERROR('Model inputs'!H55&lt;=8),'Model inputs'!H55&lt;=8,IF('Model inputs'!H55="","",'Model inputs'!H55&lt;=8))="",FALSE,IF(ISERROR('Model inputs'!H55&lt;=8),'Model inputs'!H55&lt;=8,IF('Model inputs'!H55="","",'Model inputs'!H55&lt;=8))),IF('Model inputs'!AG50="","",'Model inputs'!AG50),IF('Model inputs'!AG46="","",'Model inputs'!AG46))="",0,IF(IF(IF(ISERROR('Model inputs'!H55&lt;=8),'Model inputs'!H55&lt;=8,IF('Model inputs'!H55="","",'Model inputs'!H55&lt;=8))="",FALSE,IF(ISERROR('Model inputs'!H55&lt;=8),'Model inputs'!H55&lt;=8,IF('Model inputs'!H55="","",'Model inputs'!H55&lt;=8))),IF('Model inputs'!AG50="","",'Model inputs'!AG50),IF('Model inputs'!AG46="","",'Model inputs'!AG46))))))</f>
        <v>0</v>
      </c>
      <c r="I77" s="10">
        <f>IF(IF(IF(ISERROR('Model inputs'!I55&lt;1),'Model inputs'!I55&lt;1,IF('Model inputs'!I55="","",'Model inputs'!I55&lt;1))="",FALSE,IF(ISERROR('Model inputs'!I55&lt;1),'Model inputs'!I55&lt;1,IF('Model inputs'!I55="","",'Model inputs'!I55&lt;1))),0,IF(IF(IF(ISERROR('Model inputs'!I55=1),'Model inputs'!I55=1,IF('Model inputs'!I55="","",'Model inputs'!I55=1))="",FALSE,IF(ISERROR('Model inputs'!I55=1),'Model inputs'!I55=1,IF('Model inputs'!I55="","",'Model inputs'!I55=1))),IF('Model inputs'!AG69="","",'Model inputs'!AG69),'Model inputs'!H77*(1+IF(IF(IF(IF(ISERROR('Model inputs'!I55&lt;=8),'Model inputs'!I55&lt;=8,IF('Model inputs'!I55="","",'Model inputs'!I55&lt;=8))="",FALSE,IF(ISERROR('Model inputs'!I55&lt;=8),'Model inputs'!I55&lt;=8,IF('Model inputs'!I55="","",'Model inputs'!I55&lt;=8))),IF('Model inputs'!AG50="","",'Model inputs'!AG50),IF('Model inputs'!AG46="","",'Model inputs'!AG46))="",0,IF(IF(IF(ISERROR('Model inputs'!I55&lt;=8),'Model inputs'!I55&lt;=8,IF('Model inputs'!I55="","",'Model inputs'!I55&lt;=8))="",FALSE,IF(ISERROR('Model inputs'!I55&lt;=8),'Model inputs'!I55&lt;=8,IF('Model inputs'!I55="","",'Model inputs'!I55&lt;=8))),IF('Model inputs'!AG50="","",'Model inputs'!AG50),IF('Model inputs'!AG46="","",'Model inputs'!AG46))))))</f>
        <v>0</v>
      </c>
      <c r="J77" s="10">
        <f>IF(IF(IF(ISERROR('Model inputs'!J55&lt;1),'Model inputs'!J55&lt;1,IF('Model inputs'!J55="","",'Model inputs'!J55&lt;1))="",FALSE,IF(ISERROR('Model inputs'!J55&lt;1),'Model inputs'!J55&lt;1,IF('Model inputs'!J55="","",'Model inputs'!J55&lt;1))),0,IF(IF(IF(ISERROR('Model inputs'!J55=1),'Model inputs'!J55=1,IF('Model inputs'!J55="","",'Model inputs'!J55=1))="",FALSE,IF(ISERROR('Model inputs'!J55=1),'Model inputs'!J55=1,IF('Model inputs'!J55="","",'Model inputs'!J55=1))),IF('Model inputs'!AG69="","",'Model inputs'!AG69),'Model inputs'!I77*(1+IF(IF(IF(IF(ISERROR('Model inputs'!J55&lt;=8),'Model inputs'!J55&lt;=8,IF('Model inputs'!J55="","",'Model inputs'!J55&lt;=8))="",FALSE,IF(ISERROR('Model inputs'!J55&lt;=8),'Model inputs'!J55&lt;=8,IF('Model inputs'!J55="","",'Model inputs'!J55&lt;=8))),IF('Model inputs'!AG50="","",'Model inputs'!AG50),IF('Model inputs'!AG46="","",'Model inputs'!AG46))="",0,IF(IF(IF(ISERROR('Model inputs'!J55&lt;=8),'Model inputs'!J55&lt;=8,IF('Model inputs'!J55="","",'Model inputs'!J55&lt;=8))="",FALSE,IF(ISERROR('Model inputs'!J55&lt;=8),'Model inputs'!J55&lt;=8,IF('Model inputs'!J55="","",'Model inputs'!J55&lt;=8))),IF('Model inputs'!AG50="","",'Model inputs'!AG50),IF('Model inputs'!AG46="","",'Model inputs'!AG46))))))</f>
        <v>0</v>
      </c>
      <c r="K77" s="10">
        <f>IF(IF(IF(ISERROR('Model inputs'!K55&lt;1),'Model inputs'!K55&lt;1,IF('Model inputs'!K55="","",'Model inputs'!K55&lt;1))="",FALSE,IF(ISERROR('Model inputs'!K55&lt;1),'Model inputs'!K55&lt;1,IF('Model inputs'!K55="","",'Model inputs'!K55&lt;1))),0,IF(IF(IF(ISERROR('Model inputs'!K55=1),'Model inputs'!K55=1,IF('Model inputs'!K55="","",'Model inputs'!K55=1))="",FALSE,IF(ISERROR('Model inputs'!K55=1),'Model inputs'!K55=1,IF('Model inputs'!K55="","",'Model inputs'!K55=1))),IF('Model inputs'!AG69="","",'Model inputs'!AG69),'Model inputs'!J77*(1+IF(IF(IF(IF(ISERROR('Model inputs'!K55&lt;=8),'Model inputs'!K55&lt;=8,IF('Model inputs'!K55="","",'Model inputs'!K55&lt;=8))="",FALSE,IF(ISERROR('Model inputs'!K55&lt;=8),'Model inputs'!K55&lt;=8,IF('Model inputs'!K55="","",'Model inputs'!K55&lt;=8))),IF('Model inputs'!AG50="","",'Model inputs'!AG50),IF('Model inputs'!AG46="","",'Model inputs'!AG46))="",0,IF(IF(IF(ISERROR('Model inputs'!K55&lt;=8),'Model inputs'!K55&lt;=8,IF('Model inputs'!K55="","",'Model inputs'!K55&lt;=8))="",FALSE,IF(ISERROR('Model inputs'!K55&lt;=8),'Model inputs'!K55&lt;=8,IF('Model inputs'!K55="","",'Model inputs'!K55&lt;=8))),IF('Model inputs'!AG50="","",'Model inputs'!AG50),IF('Model inputs'!AG46="","",'Model inputs'!AG46))))))</f>
        <v>0</v>
      </c>
      <c r="L77" s="10">
        <f>IF(IF(IF(ISERROR('Model inputs'!L55&lt;1),'Model inputs'!L55&lt;1,IF('Model inputs'!L55="","",'Model inputs'!L55&lt;1))="",FALSE,IF(ISERROR('Model inputs'!L55&lt;1),'Model inputs'!L55&lt;1,IF('Model inputs'!L55="","",'Model inputs'!L55&lt;1))),0,IF(IF(IF(ISERROR('Model inputs'!L55=1),'Model inputs'!L55=1,IF('Model inputs'!L55="","",'Model inputs'!L55=1))="",FALSE,IF(ISERROR('Model inputs'!L55=1),'Model inputs'!L55=1,IF('Model inputs'!L55="","",'Model inputs'!L55=1))),IF('Model inputs'!AG69="","",'Model inputs'!AG69),'Model inputs'!K77*(1+IF(IF(IF(IF(ISERROR('Model inputs'!L55&lt;=8),'Model inputs'!L55&lt;=8,IF('Model inputs'!L55="","",'Model inputs'!L55&lt;=8))="",FALSE,IF(ISERROR('Model inputs'!L55&lt;=8),'Model inputs'!L55&lt;=8,IF('Model inputs'!L55="","",'Model inputs'!L55&lt;=8))),IF('Model inputs'!AG50="","",'Model inputs'!AG50),IF('Model inputs'!AG46="","",'Model inputs'!AG46))="",0,IF(IF(IF(ISERROR('Model inputs'!L55&lt;=8),'Model inputs'!L55&lt;=8,IF('Model inputs'!L55="","",'Model inputs'!L55&lt;=8))="",FALSE,IF(ISERROR('Model inputs'!L55&lt;=8),'Model inputs'!L55&lt;=8,IF('Model inputs'!L55="","",'Model inputs'!L55&lt;=8))),IF('Model inputs'!AG50="","",'Model inputs'!AG50),IF('Model inputs'!AG46="","",'Model inputs'!AG46))))))</f>
        <v>0</v>
      </c>
      <c r="M77" s="10">
        <f>IF(IF(IF(ISERROR('Model inputs'!M55&lt;1),'Model inputs'!M55&lt;1,IF('Model inputs'!M55="","",'Model inputs'!M55&lt;1))="",FALSE,IF(ISERROR('Model inputs'!M55&lt;1),'Model inputs'!M55&lt;1,IF('Model inputs'!M55="","",'Model inputs'!M55&lt;1))),0,IF(IF(IF(ISERROR('Model inputs'!M55=1),'Model inputs'!M55=1,IF('Model inputs'!M55="","",'Model inputs'!M55=1))="",FALSE,IF(ISERROR('Model inputs'!M55=1),'Model inputs'!M55=1,IF('Model inputs'!M55="","",'Model inputs'!M55=1))),IF('Model inputs'!AG69="","",'Model inputs'!AG69),'Model inputs'!L77*(1+IF(IF(IF(IF(ISERROR('Model inputs'!M55&lt;=8),'Model inputs'!M55&lt;=8,IF('Model inputs'!M55="","",'Model inputs'!M55&lt;=8))="",FALSE,IF(ISERROR('Model inputs'!M55&lt;=8),'Model inputs'!M55&lt;=8,IF('Model inputs'!M55="","",'Model inputs'!M55&lt;=8))),IF('Model inputs'!AG50="","",'Model inputs'!AG50),IF('Model inputs'!AG46="","",'Model inputs'!AG46))="",0,IF(IF(IF(ISERROR('Model inputs'!M55&lt;=8),'Model inputs'!M55&lt;=8,IF('Model inputs'!M55="","",'Model inputs'!M55&lt;=8))="",FALSE,IF(ISERROR('Model inputs'!M55&lt;=8),'Model inputs'!M55&lt;=8,IF('Model inputs'!M55="","",'Model inputs'!M55&lt;=8))),IF('Model inputs'!AG50="","",'Model inputs'!AG50),IF('Model inputs'!AG46="","",'Model inputs'!AG46))))))</f>
        <v>0</v>
      </c>
      <c r="N77" s="10">
        <f>IF(IF(IF(ISERROR('Model inputs'!N55&lt;1),'Model inputs'!N55&lt;1,IF('Model inputs'!N55="","",'Model inputs'!N55&lt;1))="",FALSE,IF(ISERROR('Model inputs'!N55&lt;1),'Model inputs'!N55&lt;1,IF('Model inputs'!N55="","",'Model inputs'!N55&lt;1))),0,IF(IF(IF(ISERROR('Model inputs'!N55=1),'Model inputs'!N55=1,IF('Model inputs'!N55="","",'Model inputs'!N55=1))="",FALSE,IF(ISERROR('Model inputs'!N55=1),'Model inputs'!N55=1,IF('Model inputs'!N55="","",'Model inputs'!N55=1))),IF('Model inputs'!AG69="","",'Model inputs'!AG69),'Model inputs'!M77*(1+IF(IF(IF(IF(ISERROR('Model inputs'!N55&lt;=8),'Model inputs'!N55&lt;=8,IF('Model inputs'!N55="","",'Model inputs'!N55&lt;=8))="",FALSE,IF(ISERROR('Model inputs'!N55&lt;=8),'Model inputs'!N55&lt;=8,IF('Model inputs'!N55="","",'Model inputs'!N55&lt;=8))),IF('Model inputs'!AG50="","",'Model inputs'!AG50),IF('Model inputs'!AG46="","",'Model inputs'!AG46))="",0,IF(IF(IF(ISERROR('Model inputs'!N55&lt;=8),'Model inputs'!N55&lt;=8,IF('Model inputs'!N55="","",'Model inputs'!N55&lt;=8))="",FALSE,IF(ISERROR('Model inputs'!N55&lt;=8),'Model inputs'!N55&lt;=8,IF('Model inputs'!N55="","",'Model inputs'!N55&lt;=8))),IF('Model inputs'!AG50="","",'Model inputs'!AG50),IF('Model inputs'!AG46="","",'Model inputs'!AG46))))))</f>
        <v>0</v>
      </c>
      <c r="O77" s="10">
        <f>IF(IF(IF(ISERROR('Model inputs'!O55&lt;1),'Model inputs'!O55&lt;1,IF('Model inputs'!O55="","",'Model inputs'!O55&lt;1))="",FALSE,IF(ISERROR('Model inputs'!O55&lt;1),'Model inputs'!O55&lt;1,IF('Model inputs'!O55="","",'Model inputs'!O55&lt;1))),0,IF(IF(IF(ISERROR('Model inputs'!O55=1),'Model inputs'!O55=1,IF('Model inputs'!O55="","",'Model inputs'!O55=1))="",FALSE,IF(ISERROR('Model inputs'!O55=1),'Model inputs'!O55=1,IF('Model inputs'!O55="","",'Model inputs'!O55=1))),IF('Model inputs'!AG69="","",'Model inputs'!AG69),'Model inputs'!N77*(1+IF(IF(IF(IF(ISERROR('Model inputs'!O55&lt;=8),'Model inputs'!O55&lt;=8,IF('Model inputs'!O55="","",'Model inputs'!O55&lt;=8))="",FALSE,IF(ISERROR('Model inputs'!O55&lt;=8),'Model inputs'!O55&lt;=8,IF('Model inputs'!O55="","",'Model inputs'!O55&lt;=8))),IF('Model inputs'!AG50="","",'Model inputs'!AG50),IF('Model inputs'!AG46="","",'Model inputs'!AG46))="",0,IF(IF(IF(ISERROR('Model inputs'!O55&lt;=8),'Model inputs'!O55&lt;=8,IF('Model inputs'!O55="","",'Model inputs'!O55&lt;=8))="",FALSE,IF(ISERROR('Model inputs'!O55&lt;=8),'Model inputs'!O55&lt;=8,IF('Model inputs'!O55="","",'Model inputs'!O55&lt;=8))),IF('Model inputs'!AG50="","",'Model inputs'!AG50),IF('Model inputs'!AG46="","",'Model inputs'!AG46))))))</f>
        <v>0</v>
      </c>
      <c r="P77" s="10">
        <f>IF(IF(IF(ISERROR('Model inputs'!P55&lt;1),'Model inputs'!P55&lt;1,IF('Model inputs'!P55="","",'Model inputs'!P55&lt;1))="",FALSE,IF(ISERROR('Model inputs'!P55&lt;1),'Model inputs'!P55&lt;1,IF('Model inputs'!P55="","",'Model inputs'!P55&lt;1))),0,IF(IF(IF(ISERROR('Model inputs'!P55=1),'Model inputs'!P55=1,IF('Model inputs'!P55="","",'Model inputs'!P55=1))="",FALSE,IF(ISERROR('Model inputs'!P55=1),'Model inputs'!P55=1,IF('Model inputs'!P55="","",'Model inputs'!P55=1))),IF('Model inputs'!AG69="","",'Model inputs'!AG69),'Model inputs'!O77*(1+IF(IF(IF(IF(ISERROR('Model inputs'!P55&lt;=8),'Model inputs'!P55&lt;=8,IF('Model inputs'!P55="","",'Model inputs'!P55&lt;=8))="",FALSE,IF(ISERROR('Model inputs'!P55&lt;=8),'Model inputs'!P55&lt;=8,IF('Model inputs'!P55="","",'Model inputs'!P55&lt;=8))),IF('Model inputs'!AG50="","",'Model inputs'!AG50),IF('Model inputs'!AG46="","",'Model inputs'!AG46))="",0,IF(IF(IF(ISERROR('Model inputs'!P55&lt;=8),'Model inputs'!P55&lt;=8,IF('Model inputs'!P55="","",'Model inputs'!P55&lt;=8))="",FALSE,IF(ISERROR('Model inputs'!P55&lt;=8),'Model inputs'!P55&lt;=8,IF('Model inputs'!P55="","",'Model inputs'!P55&lt;=8))),IF('Model inputs'!AG50="","",'Model inputs'!AG50),IF('Model inputs'!AG46="","",'Model inputs'!AG46))))))</f>
        <v>25</v>
      </c>
      <c r="Q77" s="10">
        <f>IF(IF(IF(ISERROR('Model inputs'!Q55&lt;1),'Model inputs'!Q55&lt;1,IF('Model inputs'!Q55="","",'Model inputs'!Q55&lt;1))="",FALSE,IF(ISERROR('Model inputs'!Q55&lt;1),'Model inputs'!Q55&lt;1,IF('Model inputs'!Q55="","",'Model inputs'!Q55&lt;1))),0,IF(IF(IF(ISERROR('Model inputs'!Q55=1),'Model inputs'!Q55=1,IF('Model inputs'!Q55="","",'Model inputs'!Q55=1))="",FALSE,IF(ISERROR('Model inputs'!Q55=1),'Model inputs'!Q55=1,IF('Model inputs'!Q55="","",'Model inputs'!Q55=1))),IF('Model inputs'!AG69="","",'Model inputs'!AG69),'Model inputs'!P77*(1+IF(IF(IF(IF(ISERROR('Model inputs'!Q55&lt;=8),'Model inputs'!Q55&lt;=8,IF('Model inputs'!Q55="","",'Model inputs'!Q55&lt;=8))="",FALSE,IF(ISERROR('Model inputs'!Q55&lt;=8),'Model inputs'!Q55&lt;=8,IF('Model inputs'!Q55="","",'Model inputs'!Q55&lt;=8))),IF('Model inputs'!AG50="","",'Model inputs'!AG50),IF('Model inputs'!AG46="","",'Model inputs'!AG46))="",0,IF(IF(IF(ISERROR('Model inputs'!Q55&lt;=8),'Model inputs'!Q55&lt;=8,IF('Model inputs'!Q55="","",'Model inputs'!Q55&lt;=8))="",FALSE,IF(ISERROR('Model inputs'!Q55&lt;=8),'Model inputs'!Q55&lt;=8,IF('Model inputs'!Q55="","",'Model inputs'!Q55&lt;=8))),IF('Model inputs'!AG50="","",'Model inputs'!AG50),IF('Model inputs'!AG46="","",'Model inputs'!AG46))))))</f>
        <v>27</v>
      </c>
      <c r="R77" s="10">
        <f>IF(IF(IF(ISERROR('Model inputs'!R55&lt;1),'Model inputs'!R55&lt;1,IF('Model inputs'!R55="","",'Model inputs'!R55&lt;1))="",FALSE,IF(ISERROR('Model inputs'!R55&lt;1),'Model inputs'!R55&lt;1,IF('Model inputs'!R55="","",'Model inputs'!R55&lt;1))),0,IF(IF(IF(ISERROR('Model inputs'!R55=1),'Model inputs'!R55=1,IF('Model inputs'!R55="","",'Model inputs'!R55=1))="",FALSE,IF(ISERROR('Model inputs'!R55=1),'Model inputs'!R55=1,IF('Model inputs'!R55="","",'Model inputs'!R55=1))),IF('Model inputs'!AG69="","",'Model inputs'!AG69),'Model inputs'!Q77*(1+IF(IF(IF(IF(ISERROR('Model inputs'!R55&lt;=8),'Model inputs'!R55&lt;=8,IF('Model inputs'!R55="","",'Model inputs'!R55&lt;=8))="",FALSE,IF(ISERROR('Model inputs'!R55&lt;=8),'Model inputs'!R55&lt;=8,IF('Model inputs'!R55="","",'Model inputs'!R55&lt;=8))),IF('Model inputs'!AG50="","",'Model inputs'!AG50),IF('Model inputs'!AG46="","",'Model inputs'!AG46))="",0,IF(IF(IF(ISERROR('Model inputs'!R55&lt;=8),'Model inputs'!R55&lt;=8,IF('Model inputs'!R55="","",'Model inputs'!R55&lt;=8))="",FALSE,IF(ISERROR('Model inputs'!R55&lt;=8),'Model inputs'!R55&lt;=8,IF('Model inputs'!R55="","",'Model inputs'!R55&lt;=8))),IF('Model inputs'!AG50="","",'Model inputs'!AG50),IF('Model inputs'!AG46="","",'Model inputs'!AG46))))))</f>
        <v>29.160000000000004</v>
      </c>
      <c r="S77" s="10">
        <f>IF(IF(IF(ISERROR('Model inputs'!S55&lt;1),'Model inputs'!S55&lt;1,IF('Model inputs'!S55="","",'Model inputs'!S55&lt;1))="",FALSE,IF(ISERROR('Model inputs'!S55&lt;1),'Model inputs'!S55&lt;1,IF('Model inputs'!S55="","",'Model inputs'!S55&lt;1))),0,IF(IF(IF(ISERROR('Model inputs'!S55=1),'Model inputs'!S55=1,IF('Model inputs'!S55="","",'Model inputs'!S55=1))="",FALSE,IF(ISERROR('Model inputs'!S55=1),'Model inputs'!S55=1,IF('Model inputs'!S55="","",'Model inputs'!S55=1))),IF('Model inputs'!AG69="","",'Model inputs'!AG69),'Model inputs'!R77*(1+IF(IF(IF(IF(ISERROR('Model inputs'!S55&lt;=8),'Model inputs'!S55&lt;=8,IF('Model inputs'!S55="","",'Model inputs'!S55&lt;=8))="",FALSE,IF(ISERROR('Model inputs'!S55&lt;=8),'Model inputs'!S55&lt;=8,IF('Model inputs'!S55="","",'Model inputs'!S55&lt;=8))),IF('Model inputs'!AG50="","",'Model inputs'!AG50),IF('Model inputs'!AG46="","",'Model inputs'!AG46))="",0,IF(IF(IF(ISERROR('Model inputs'!S55&lt;=8),'Model inputs'!S55&lt;=8,IF('Model inputs'!S55="","",'Model inputs'!S55&lt;=8))="",FALSE,IF(ISERROR('Model inputs'!S55&lt;=8),'Model inputs'!S55&lt;=8,IF('Model inputs'!S55="","",'Model inputs'!S55&lt;=8))),IF('Model inputs'!AG50="","",'Model inputs'!AG50),IF('Model inputs'!AG46="","",'Model inputs'!AG46))))))</f>
        <v>31.492800000000006</v>
      </c>
      <c r="T77" s="10">
        <f>IF(IF(IF(ISERROR('Model inputs'!T55&lt;1),'Model inputs'!T55&lt;1,IF('Model inputs'!T55="","",'Model inputs'!T55&lt;1))="",FALSE,IF(ISERROR('Model inputs'!T55&lt;1),'Model inputs'!T55&lt;1,IF('Model inputs'!T55="","",'Model inputs'!T55&lt;1))),0,IF(IF(IF(ISERROR('Model inputs'!T55=1),'Model inputs'!T55=1,IF('Model inputs'!T55="","",'Model inputs'!T55=1))="",FALSE,IF(ISERROR('Model inputs'!T55=1),'Model inputs'!T55=1,IF('Model inputs'!T55="","",'Model inputs'!T55=1))),IF('Model inputs'!AG69="","",'Model inputs'!AG69),'Model inputs'!S77*(1+IF(IF(IF(IF(ISERROR('Model inputs'!T55&lt;=8),'Model inputs'!T55&lt;=8,IF('Model inputs'!T55="","",'Model inputs'!T55&lt;=8))="",FALSE,IF(ISERROR('Model inputs'!T55&lt;=8),'Model inputs'!T55&lt;=8,IF('Model inputs'!T55="","",'Model inputs'!T55&lt;=8))),IF('Model inputs'!AG50="","",'Model inputs'!AG50),IF('Model inputs'!AG46="","",'Model inputs'!AG46))="",0,IF(IF(IF(ISERROR('Model inputs'!T55&lt;=8),'Model inputs'!T55&lt;=8,IF('Model inputs'!T55="","",'Model inputs'!T55&lt;=8))="",FALSE,IF(ISERROR('Model inputs'!T55&lt;=8),'Model inputs'!T55&lt;=8,IF('Model inputs'!T55="","",'Model inputs'!T55&lt;=8))),IF('Model inputs'!AG50="","",'Model inputs'!AG50),IF('Model inputs'!AG46="","",'Model inputs'!AG46))))))</f>
        <v>34.01222400000001</v>
      </c>
      <c r="U77" s="10">
        <f>IF(IF(IF(ISERROR('Model inputs'!U55&lt;1),'Model inputs'!U55&lt;1,IF('Model inputs'!U55="","",'Model inputs'!U55&lt;1))="",FALSE,IF(ISERROR('Model inputs'!U55&lt;1),'Model inputs'!U55&lt;1,IF('Model inputs'!U55="","",'Model inputs'!U55&lt;1))),0,IF(IF(IF(ISERROR('Model inputs'!U55=1),'Model inputs'!U55=1,IF('Model inputs'!U55="","",'Model inputs'!U55=1))="",FALSE,IF(ISERROR('Model inputs'!U55=1),'Model inputs'!U55=1,IF('Model inputs'!U55="","",'Model inputs'!U55=1))),IF('Model inputs'!AG69="","",'Model inputs'!AG69),'Model inputs'!T77*(1+IF(IF(IF(IF(ISERROR('Model inputs'!U55&lt;=8),'Model inputs'!U55&lt;=8,IF('Model inputs'!U55="","",'Model inputs'!U55&lt;=8))="",FALSE,IF(ISERROR('Model inputs'!U55&lt;=8),'Model inputs'!U55&lt;=8,IF('Model inputs'!U55="","",'Model inputs'!U55&lt;=8))),IF('Model inputs'!AG50="","",'Model inputs'!AG50),IF('Model inputs'!AG46="","",'Model inputs'!AG46))="",0,IF(IF(IF(ISERROR('Model inputs'!U55&lt;=8),'Model inputs'!U55&lt;=8,IF('Model inputs'!U55="","",'Model inputs'!U55&lt;=8))="",FALSE,IF(ISERROR('Model inputs'!U55&lt;=8),'Model inputs'!U55&lt;=8,IF('Model inputs'!U55="","",'Model inputs'!U55&lt;=8))),IF('Model inputs'!AG50="","",'Model inputs'!AG50),IF('Model inputs'!AG46="","",'Model inputs'!AG46))))))</f>
        <v>36.73320192000001</v>
      </c>
      <c r="V77" s="10">
        <f>IF(IF(IF(ISERROR('Model inputs'!V55&lt;1),'Model inputs'!V55&lt;1,IF('Model inputs'!V55="","",'Model inputs'!V55&lt;1))="",FALSE,IF(ISERROR('Model inputs'!V55&lt;1),'Model inputs'!V55&lt;1,IF('Model inputs'!V55="","",'Model inputs'!V55&lt;1))),0,IF(IF(IF(ISERROR('Model inputs'!V55=1),'Model inputs'!V55=1,IF('Model inputs'!V55="","",'Model inputs'!V55=1))="",FALSE,IF(ISERROR('Model inputs'!V55=1),'Model inputs'!V55=1,IF('Model inputs'!V55="","",'Model inputs'!V55=1))),IF('Model inputs'!AG69="","",'Model inputs'!AG69),'Model inputs'!U77*(1+IF(IF(IF(IF(ISERROR('Model inputs'!V55&lt;=8),'Model inputs'!V55&lt;=8,IF('Model inputs'!V55="","",'Model inputs'!V55&lt;=8))="",FALSE,IF(ISERROR('Model inputs'!V55&lt;=8),'Model inputs'!V55&lt;=8,IF('Model inputs'!V55="","",'Model inputs'!V55&lt;=8))),IF('Model inputs'!AG50="","",'Model inputs'!AG50),IF('Model inputs'!AG46="","",'Model inputs'!AG46))="",0,IF(IF(IF(ISERROR('Model inputs'!V55&lt;=8),'Model inputs'!V55&lt;=8,IF('Model inputs'!V55="","",'Model inputs'!V55&lt;=8))="",FALSE,IF(ISERROR('Model inputs'!V55&lt;=8),'Model inputs'!V55&lt;=8,IF('Model inputs'!V55="","",'Model inputs'!V55&lt;=8))),IF('Model inputs'!AG50="","",'Model inputs'!AG50),IF('Model inputs'!AG46="","",'Model inputs'!AG46))))))</f>
        <v>39.67185807360001</v>
      </c>
      <c r="W77" s="10">
        <f>IF(IF(IF(ISERROR('Model inputs'!W55&lt;1),'Model inputs'!W55&lt;1,IF('Model inputs'!W55="","",'Model inputs'!W55&lt;1))="",FALSE,IF(ISERROR('Model inputs'!W55&lt;1),'Model inputs'!W55&lt;1,IF('Model inputs'!W55="","",'Model inputs'!W55&lt;1))),0,IF(IF(IF(ISERROR('Model inputs'!W55=1),'Model inputs'!W55=1,IF('Model inputs'!W55="","",'Model inputs'!W55=1))="",FALSE,IF(ISERROR('Model inputs'!W55=1),'Model inputs'!W55=1,IF('Model inputs'!W55="","",'Model inputs'!W55=1))),IF('Model inputs'!AG69="","",'Model inputs'!AG69),'Model inputs'!V77*(1+IF(IF(IF(IF(ISERROR('Model inputs'!W55&lt;=8),'Model inputs'!W55&lt;=8,IF('Model inputs'!W55="","",'Model inputs'!W55&lt;=8))="",FALSE,IF(ISERROR('Model inputs'!W55&lt;=8),'Model inputs'!W55&lt;=8,IF('Model inputs'!W55="","",'Model inputs'!W55&lt;=8))),IF('Model inputs'!AG50="","",'Model inputs'!AG50),IF('Model inputs'!AG46="","",'Model inputs'!AG46))="",0,IF(IF(IF(ISERROR('Model inputs'!W55&lt;=8),'Model inputs'!W55&lt;=8,IF('Model inputs'!W55="","",'Model inputs'!W55&lt;=8))="",FALSE,IF(ISERROR('Model inputs'!W55&lt;=8),'Model inputs'!W55&lt;=8,IF('Model inputs'!W55="","",'Model inputs'!W55&lt;=8))),IF('Model inputs'!AG50="","",'Model inputs'!AG50),IF('Model inputs'!AG46="","",'Model inputs'!AG46))))))</f>
        <v>42.84560671948802</v>
      </c>
      <c r="X77" s="10">
        <f>IF(IF(IF(ISERROR('Model inputs'!X55&lt;1),'Model inputs'!X55&lt;1,IF('Model inputs'!X55="","",'Model inputs'!X55&lt;1))="",FALSE,IF(ISERROR('Model inputs'!X55&lt;1),'Model inputs'!X55&lt;1,IF('Model inputs'!X55="","",'Model inputs'!X55&lt;1))),0,IF(IF(IF(ISERROR('Model inputs'!X55=1),'Model inputs'!X55=1,IF('Model inputs'!X55="","",'Model inputs'!X55=1))="",FALSE,IF(ISERROR('Model inputs'!X55=1),'Model inputs'!X55=1,IF('Model inputs'!X55="","",'Model inputs'!X55=1))),IF('Model inputs'!AG69="","",'Model inputs'!AG69),'Model inputs'!W77*(1+IF(IF(IF(IF(ISERROR('Model inputs'!X55&lt;=8),'Model inputs'!X55&lt;=8,IF('Model inputs'!X55="","",'Model inputs'!X55&lt;=8))="",FALSE,IF(ISERROR('Model inputs'!X55&lt;=8),'Model inputs'!X55&lt;=8,IF('Model inputs'!X55="","",'Model inputs'!X55&lt;=8))),IF('Model inputs'!AG50="","",'Model inputs'!AG50),IF('Model inputs'!AG46="","",'Model inputs'!AG46))="",0,IF(IF(IF(ISERROR('Model inputs'!X55&lt;=8),'Model inputs'!X55&lt;=8,IF('Model inputs'!X55="","",'Model inputs'!X55&lt;=8))="",FALSE,IF(ISERROR('Model inputs'!X55&lt;=8),'Model inputs'!X55&lt;=8,IF('Model inputs'!X55="","",'Model inputs'!X55&lt;=8))),IF('Model inputs'!AG50="","",'Model inputs'!AG50),IF('Model inputs'!AG46="","",'Model inputs'!AG46))))))</f>
        <v>44.55943098826754</v>
      </c>
      <c r="Y77" s="10">
        <f>IF(IF(IF(ISERROR('Model inputs'!Y55&lt;1),'Model inputs'!Y55&lt;1,IF('Model inputs'!Y55="","",'Model inputs'!Y55&lt;1))="",FALSE,IF(ISERROR('Model inputs'!Y55&lt;1),'Model inputs'!Y55&lt;1,IF('Model inputs'!Y55="","",'Model inputs'!Y55&lt;1))),0,IF(IF(IF(ISERROR('Model inputs'!Y55=1),'Model inputs'!Y55=1,IF('Model inputs'!Y55="","",'Model inputs'!Y55=1))="",FALSE,IF(ISERROR('Model inputs'!Y55=1),'Model inputs'!Y55=1,IF('Model inputs'!Y55="","",'Model inputs'!Y55=1))),IF('Model inputs'!AG69="","",'Model inputs'!AG69),'Model inputs'!X77*(1+IF(IF(IF(IF(ISERROR('Model inputs'!Y55&lt;=8),'Model inputs'!Y55&lt;=8,IF('Model inputs'!Y55="","",'Model inputs'!Y55&lt;=8))="",FALSE,IF(ISERROR('Model inputs'!Y55&lt;=8),'Model inputs'!Y55&lt;=8,IF('Model inputs'!Y55="","",'Model inputs'!Y55&lt;=8))),IF('Model inputs'!AG50="","",'Model inputs'!AG50),IF('Model inputs'!AG46="","",'Model inputs'!AG46))="",0,IF(IF(IF(ISERROR('Model inputs'!Y55&lt;=8),'Model inputs'!Y55&lt;=8,IF('Model inputs'!Y55="","",'Model inputs'!Y55&lt;=8))="",FALSE,IF(ISERROR('Model inputs'!Y55&lt;=8),'Model inputs'!Y55&lt;=8,IF('Model inputs'!Y55="","",'Model inputs'!Y55&lt;=8))),IF('Model inputs'!AG50="","",'Model inputs'!AG50),IF('Model inputs'!AG46="","",'Model inputs'!AG46))))))</f>
        <v>46.341808227798246</v>
      </c>
      <c r="Z77" s="10">
        <f>IF(IF(IF(ISERROR('Model inputs'!Z55&lt;1),'Model inputs'!Z55&lt;1,IF('Model inputs'!Z55="","",'Model inputs'!Z55&lt;1))="",FALSE,IF(ISERROR('Model inputs'!Z55&lt;1),'Model inputs'!Z55&lt;1,IF('Model inputs'!Z55="","",'Model inputs'!Z55&lt;1))),0,IF(IF(IF(ISERROR('Model inputs'!Z55=1),'Model inputs'!Z55=1,IF('Model inputs'!Z55="","",'Model inputs'!Z55=1))="",FALSE,IF(ISERROR('Model inputs'!Z55=1),'Model inputs'!Z55=1,IF('Model inputs'!Z55="","",'Model inputs'!Z55=1))),IF('Model inputs'!AG69="","",'Model inputs'!AG69),'Model inputs'!Y77*(1+IF(IF(IF(IF(ISERROR('Model inputs'!Z55&lt;=8),'Model inputs'!Z55&lt;=8,IF('Model inputs'!Z55="","",'Model inputs'!Z55&lt;=8))="",FALSE,IF(ISERROR('Model inputs'!Z55&lt;=8),'Model inputs'!Z55&lt;=8,IF('Model inputs'!Z55="","",'Model inputs'!Z55&lt;=8))),IF('Model inputs'!AG50="","",'Model inputs'!AG50),IF('Model inputs'!AG46="","",'Model inputs'!AG46))="",0,IF(IF(IF(ISERROR('Model inputs'!Z55&lt;=8),'Model inputs'!Z55&lt;=8,IF('Model inputs'!Z55="","",'Model inputs'!Z55&lt;=8))="",FALSE,IF(ISERROR('Model inputs'!Z55&lt;=8),'Model inputs'!Z55&lt;=8,IF('Model inputs'!Z55="","",'Model inputs'!Z55&lt;=8))),IF('Model inputs'!AG50="","",'Model inputs'!AG50),IF('Model inputs'!AG46="","",'Model inputs'!AG46))))))</f>
        <v>48.19548055691018</v>
      </c>
      <c r="AA77" s="10">
        <f>IF(IF(IF(ISERROR('Model inputs'!AA55&lt;1),'Model inputs'!AA55&lt;1,IF('Model inputs'!AA55="","",'Model inputs'!AA55&lt;1))="",FALSE,IF(ISERROR('Model inputs'!AA55&lt;1),'Model inputs'!AA55&lt;1,IF('Model inputs'!AA55="","",'Model inputs'!AA55&lt;1))),0,IF(IF(IF(ISERROR('Model inputs'!AA55=1),'Model inputs'!AA55=1,IF('Model inputs'!AA55="","",'Model inputs'!AA55=1))="",FALSE,IF(ISERROR('Model inputs'!AA55=1),'Model inputs'!AA55=1,IF('Model inputs'!AA55="","",'Model inputs'!AA55=1))),IF('Model inputs'!AG69="","",'Model inputs'!AG69),'Model inputs'!Z77*(1+IF(IF(IF(IF(ISERROR('Model inputs'!AA55&lt;=8),'Model inputs'!AA55&lt;=8,IF('Model inputs'!AA55="","",'Model inputs'!AA55&lt;=8))="",FALSE,IF(ISERROR('Model inputs'!AA55&lt;=8),'Model inputs'!AA55&lt;=8,IF('Model inputs'!AA55="","",'Model inputs'!AA55&lt;=8))),IF('Model inputs'!AG50="","",'Model inputs'!AG50),IF('Model inputs'!AG46="","",'Model inputs'!AG46))="",0,IF(IF(IF(ISERROR('Model inputs'!AA55&lt;=8),'Model inputs'!AA55&lt;=8,IF('Model inputs'!AA55="","",'Model inputs'!AA55&lt;=8))="",FALSE,IF(ISERROR('Model inputs'!AA55&lt;=8),'Model inputs'!AA55&lt;=8,IF('Model inputs'!AA55="","",'Model inputs'!AA55&lt;=8))),IF('Model inputs'!AG50="","",'Model inputs'!AG50),IF('Model inputs'!AG46="","",'Model inputs'!AG46))))))</f>
        <v>50.12329977918659</v>
      </c>
      <c r="AB77" s="10">
        <f>IF(IF(IF(ISERROR('Model inputs'!AB55&lt;1),'Model inputs'!AB55&lt;1,IF('Model inputs'!AB55="","",'Model inputs'!AB55&lt;1))="",FALSE,IF(ISERROR('Model inputs'!AB55&lt;1),'Model inputs'!AB55&lt;1,IF('Model inputs'!AB55="","",'Model inputs'!AB55&lt;1))),0,IF(IF(IF(ISERROR('Model inputs'!AB55=1),'Model inputs'!AB55=1,IF('Model inputs'!AB55="","",'Model inputs'!AB55=1))="",FALSE,IF(ISERROR('Model inputs'!AB55=1),'Model inputs'!AB55=1,IF('Model inputs'!AB55="","",'Model inputs'!AB55=1))),IF('Model inputs'!AG69="","",'Model inputs'!AG69),'Model inputs'!AA77*(1+IF(IF(IF(IF(ISERROR('Model inputs'!AB55&lt;=8),'Model inputs'!AB55&lt;=8,IF('Model inputs'!AB55="","",'Model inputs'!AB55&lt;=8))="",FALSE,IF(ISERROR('Model inputs'!AB55&lt;=8),'Model inputs'!AB55&lt;=8,IF('Model inputs'!AB55="","",'Model inputs'!AB55&lt;=8))),IF('Model inputs'!AG50="","",'Model inputs'!AG50),IF('Model inputs'!AG46="","",'Model inputs'!AG46))="",0,IF(IF(IF(ISERROR('Model inputs'!AB55&lt;=8),'Model inputs'!AB55&lt;=8,IF('Model inputs'!AB55="","",'Model inputs'!AB55&lt;=8))="",FALSE,IF(ISERROR('Model inputs'!AB55&lt;=8),'Model inputs'!AB55&lt;=8,IF('Model inputs'!AB55="","",'Model inputs'!AB55&lt;=8))),IF('Model inputs'!AG50="","",'Model inputs'!AG50),IF('Model inputs'!AG46="","",'Model inputs'!AG46))))))</f>
        <v>52.128231770354056</v>
      </c>
      <c r="AC77" s="10">
        <f>IF(IF(IF(ISERROR('Model inputs'!AC55&lt;1),'Model inputs'!AC55&lt;1,IF('Model inputs'!AC55="","",'Model inputs'!AC55&lt;1))="",FALSE,IF(ISERROR('Model inputs'!AC55&lt;1),'Model inputs'!AC55&lt;1,IF('Model inputs'!AC55="","",'Model inputs'!AC55&lt;1))),0,IF(IF(IF(ISERROR('Model inputs'!AC55=1),'Model inputs'!AC55=1,IF('Model inputs'!AC55="","",'Model inputs'!AC55=1))="",FALSE,IF(ISERROR('Model inputs'!AC55=1),'Model inputs'!AC55=1,IF('Model inputs'!AC55="","",'Model inputs'!AC55=1))),IF('Model inputs'!AG69="","",'Model inputs'!AG69),'Model inputs'!AB77*(1+IF(IF(IF(IF(ISERROR('Model inputs'!AC55&lt;=8),'Model inputs'!AC55&lt;=8,IF('Model inputs'!AC55="","",'Model inputs'!AC55&lt;=8))="",FALSE,IF(ISERROR('Model inputs'!AC55&lt;=8),'Model inputs'!AC55&lt;=8,IF('Model inputs'!AC55="","",'Model inputs'!AC55&lt;=8))),IF('Model inputs'!AG50="","",'Model inputs'!AG50),IF('Model inputs'!AG46="","",'Model inputs'!AG46))="",0,IF(IF(IF(ISERROR('Model inputs'!AC55&lt;=8),'Model inputs'!AC55&lt;=8,IF('Model inputs'!AC55="","",'Model inputs'!AC55&lt;=8))="",FALSE,IF(ISERROR('Model inputs'!AC55&lt;=8),'Model inputs'!AC55&lt;=8,IF('Model inputs'!AC55="","",'Model inputs'!AC55&lt;=8))),IF('Model inputs'!AG50="","",'Model inputs'!AG50),IF('Model inputs'!AG46="","",'Model inputs'!AG46))))))</f>
        <v>54.21336104116822</v>
      </c>
      <c r="AD77" s="10">
        <f>IF(IF(IF(ISERROR('Model inputs'!AD55&lt;1),'Model inputs'!AD55&lt;1,IF('Model inputs'!AD55="","",'Model inputs'!AD55&lt;1))="",FALSE,IF(ISERROR('Model inputs'!AD55&lt;1),'Model inputs'!AD55&lt;1,IF('Model inputs'!AD55="","",'Model inputs'!AD55&lt;1))),0,IF(IF(IF(ISERROR('Model inputs'!AD55=1),'Model inputs'!AD55=1,IF('Model inputs'!AD55="","",'Model inputs'!AD55=1))="",FALSE,IF(ISERROR('Model inputs'!AD55=1),'Model inputs'!AD55=1,IF('Model inputs'!AD55="","",'Model inputs'!AD55=1))),IF('Model inputs'!AG69="","",'Model inputs'!AG69),'Model inputs'!AC77*(1+IF(IF(IF(IF(ISERROR('Model inputs'!AD55&lt;=8),'Model inputs'!AD55&lt;=8,IF('Model inputs'!AD55="","",'Model inputs'!AD55&lt;=8))="",FALSE,IF(ISERROR('Model inputs'!AD55&lt;=8),'Model inputs'!AD55&lt;=8,IF('Model inputs'!AD55="","",'Model inputs'!AD55&lt;=8))),IF('Model inputs'!AG50="","",'Model inputs'!AG50),IF('Model inputs'!AG46="","",'Model inputs'!AG46))="",0,IF(IF(IF(ISERROR('Model inputs'!AD55&lt;=8),'Model inputs'!AD55&lt;=8,IF('Model inputs'!AD55="","",'Model inputs'!AD55&lt;=8))="",FALSE,IF(ISERROR('Model inputs'!AD55&lt;=8),'Model inputs'!AD55&lt;=8,IF('Model inputs'!AD55="","",'Model inputs'!AD55&lt;=8))),IF('Model inputs'!AG50="","",'Model inputs'!AG50),IF('Model inputs'!AG46="","",'Model inputs'!AG46))))))</f>
        <v>56.38189548281495</v>
      </c>
      <c r="AE77" s="10">
        <f>IF(IF(IF(ISERROR('Model inputs'!AE55&lt;1),'Model inputs'!AE55&lt;1,IF('Model inputs'!AE55="","",'Model inputs'!AE55&lt;1))="",FALSE,IF(ISERROR('Model inputs'!AE55&lt;1),'Model inputs'!AE55&lt;1,IF('Model inputs'!AE55="","",'Model inputs'!AE55&lt;1))),0,IF(IF(IF(ISERROR('Model inputs'!AE55=1),'Model inputs'!AE55=1,IF('Model inputs'!AE55="","",'Model inputs'!AE55=1))="",FALSE,IF(ISERROR('Model inputs'!AE55=1),'Model inputs'!AE55=1,IF('Model inputs'!AE55="","",'Model inputs'!AE55=1))),IF('Model inputs'!AG69="","",'Model inputs'!AG69),'Model inputs'!AD77*(1+IF(IF(IF(IF(ISERROR('Model inputs'!AE55&lt;=8),'Model inputs'!AE55&lt;=8,IF('Model inputs'!AE55="","",'Model inputs'!AE55&lt;=8))="",FALSE,IF(ISERROR('Model inputs'!AE55&lt;=8),'Model inputs'!AE55&lt;=8,IF('Model inputs'!AE55="","",'Model inputs'!AE55&lt;=8))),IF('Model inputs'!AG50="","",'Model inputs'!AG50),IF('Model inputs'!AG46="","",'Model inputs'!AG46))="",0,IF(IF(IF(ISERROR('Model inputs'!AE55&lt;=8),'Model inputs'!AE55&lt;=8,IF('Model inputs'!AE55="","",'Model inputs'!AE55&lt;=8))="",FALSE,IF(ISERROR('Model inputs'!AE55&lt;=8),'Model inputs'!AE55&lt;=8,IF('Model inputs'!AE55="","",'Model inputs'!AE55&lt;=8))),IF('Model inputs'!AG50="","",'Model inputs'!AG50),IF('Model inputs'!AG46="","",'Model inputs'!AG46))))))</f>
        <v>58.63717130212755</v>
      </c>
      <c r="AF77" s="10">
        <f>IF(IF(IF(ISERROR('Model inputs'!AF55&lt;1),'Model inputs'!AF55&lt;1,IF('Model inputs'!AF55="","",'Model inputs'!AF55&lt;1))="",FALSE,IF(ISERROR('Model inputs'!AF55&lt;1),'Model inputs'!AF55&lt;1,IF('Model inputs'!AF55="","",'Model inputs'!AF55&lt;1))),0,IF(IF(IF(ISERROR('Model inputs'!AF55=1),'Model inputs'!AF55=1,IF('Model inputs'!AF55="","",'Model inputs'!AF55=1))="",FALSE,IF(ISERROR('Model inputs'!AF55=1),'Model inputs'!AF55=1,IF('Model inputs'!AF55="","",'Model inputs'!AF55=1))),IF('Model inputs'!AG69="","",'Model inputs'!AG69),'Model inputs'!AE77*(1+IF(IF(IF(IF(ISERROR('Model inputs'!AF55&lt;=8),'Model inputs'!AF55&lt;=8,IF('Model inputs'!AF55="","",'Model inputs'!AF55&lt;=8))="",FALSE,IF(ISERROR('Model inputs'!AF55&lt;=8),'Model inputs'!AF55&lt;=8,IF('Model inputs'!AF55="","",'Model inputs'!AF55&lt;=8))),IF('Model inputs'!AG50="","",'Model inputs'!AG50),IF('Model inputs'!AG46="","",'Model inputs'!AG46))="",0,IF(IF(IF(ISERROR('Model inputs'!AF55&lt;=8),'Model inputs'!AF55&lt;=8,IF('Model inputs'!AF55="","",'Model inputs'!AF55&lt;=8))="",FALSE,IF(ISERROR('Model inputs'!AF55&lt;=8),'Model inputs'!AF55&lt;=8,IF('Model inputs'!AF55="","",'Model inputs'!AF55&lt;=8))),IF('Model inputs'!AG50="","",'Model inputs'!AG50),IF('Model inputs'!AG46="","",'Model inputs'!AG46))))))</f>
        <v>60.98265815421265</v>
      </c>
    </row>
    <row r="78" outlineLevel="1">
      <c r="A78" t="inlineStr" s="21">
        <is>
          <t xml:space="preserve">Organic new logos &gt; Launch</t>
        </is>
      </c>
      <c r="B78" s="10">
        <f>IF(IF(IF(ISERROR('Model inputs'!B55&lt;1),'Model inputs'!B55&lt;1,IF('Model inputs'!B55="","",'Model inputs'!B55&lt;1))="",FALSE,IF(ISERROR('Model inputs'!B55&lt;1),'Model inputs'!B55&lt;1,IF('Model inputs'!B55="","",'Model inputs'!B55&lt;1))),0,IF(IF(IF(ISERROR('Model inputs'!B55=1),'Model inputs'!B55=1,IF('Model inputs'!B55="","",'Model inputs'!B55=1))="",FALSE,IF(ISERROR('Model inputs'!B55=1),'Model inputs'!B55=1,IF('Model inputs'!B55="","",'Model inputs'!B55=1))),IF('Model inputs'!AG70="","",'Model inputs'!AG70),0*(1+IF(IF(IF(IF(ISERROR('Model inputs'!B55&lt;=8),'Model inputs'!B55&lt;=8,IF('Model inputs'!B55="","",'Model inputs'!B55&lt;=8))="",FALSE,IF(ISERROR('Model inputs'!B55&lt;=8),'Model inputs'!B55&lt;=8,IF('Model inputs'!B55="","",'Model inputs'!B55&lt;=8))),IF('Model inputs'!AG51="","",'Model inputs'!AG51),IF('Model inputs'!AG47="","",'Model inputs'!AG47))="",0,IF(IF(IF(ISERROR('Model inputs'!B55&lt;=8),'Model inputs'!B55&lt;=8,IF('Model inputs'!B55="","",'Model inputs'!B55&lt;=8))="",FALSE,IF(ISERROR('Model inputs'!B55&lt;=8),'Model inputs'!B55&lt;=8,IF('Model inputs'!B55="","",'Model inputs'!B55&lt;=8))),IF('Model inputs'!AG51="","",'Model inputs'!AG51),IF('Model inputs'!AG47="","",'Model inputs'!AG47))))))</f>
        <v>0</v>
      </c>
      <c r="C78" s="10">
        <f>IF(IF(IF(ISERROR('Model inputs'!C55&lt;1),'Model inputs'!C55&lt;1,IF('Model inputs'!C55="","",'Model inputs'!C55&lt;1))="",FALSE,IF(ISERROR('Model inputs'!C55&lt;1),'Model inputs'!C55&lt;1,IF('Model inputs'!C55="","",'Model inputs'!C55&lt;1))),0,IF(IF(IF(ISERROR('Model inputs'!C55=1),'Model inputs'!C55=1,IF('Model inputs'!C55="","",'Model inputs'!C55=1))="",FALSE,IF(ISERROR('Model inputs'!C55=1),'Model inputs'!C55=1,IF('Model inputs'!C55="","",'Model inputs'!C55=1))),IF('Model inputs'!AG70="","",'Model inputs'!AG70),'Model inputs'!B78*(1+IF(IF(IF(IF(ISERROR('Model inputs'!C55&lt;=8),'Model inputs'!C55&lt;=8,IF('Model inputs'!C55="","",'Model inputs'!C55&lt;=8))="",FALSE,IF(ISERROR('Model inputs'!C55&lt;=8),'Model inputs'!C55&lt;=8,IF('Model inputs'!C55="","",'Model inputs'!C55&lt;=8))),IF('Model inputs'!AG51="","",'Model inputs'!AG51),IF('Model inputs'!AG47="","",'Model inputs'!AG47))="",0,IF(IF(IF(ISERROR('Model inputs'!C55&lt;=8),'Model inputs'!C55&lt;=8,IF('Model inputs'!C55="","",'Model inputs'!C55&lt;=8))="",FALSE,IF(ISERROR('Model inputs'!C55&lt;=8),'Model inputs'!C55&lt;=8,IF('Model inputs'!C55="","",'Model inputs'!C55&lt;=8))),IF('Model inputs'!AG51="","",'Model inputs'!AG51),IF('Model inputs'!AG47="","",'Model inputs'!AG47))))))</f>
        <v>0</v>
      </c>
      <c r="D78" s="10">
        <f>IF(IF(IF(ISERROR('Model inputs'!D55&lt;1),'Model inputs'!D55&lt;1,IF('Model inputs'!D55="","",'Model inputs'!D55&lt;1))="",FALSE,IF(ISERROR('Model inputs'!D55&lt;1),'Model inputs'!D55&lt;1,IF('Model inputs'!D55="","",'Model inputs'!D55&lt;1))),0,IF(IF(IF(ISERROR('Model inputs'!D55=1),'Model inputs'!D55=1,IF('Model inputs'!D55="","",'Model inputs'!D55=1))="",FALSE,IF(ISERROR('Model inputs'!D55=1),'Model inputs'!D55=1,IF('Model inputs'!D55="","",'Model inputs'!D55=1))),IF('Model inputs'!AG70="","",'Model inputs'!AG70),'Model inputs'!C78*(1+IF(IF(IF(IF(ISERROR('Model inputs'!D55&lt;=8),'Model inputs'!D55&lt;=8,IF('Model inputs'!D55="","",'Model inputs'!D55&lt;=8))="",FALSE,IF(ISERROR('Model inputs'!D55&lt;=8),'Model inputs'!D55&lt;=8,IF('Model inputs'!D55="","",'Model inputs'!D55&lt;=8))),IF('Model inputs'!AG51="","",'Model inputs'!AG51),IF('Model inputs'!AG47="","",'Model inputs'!AG47))="",0,IF(IF(IF(ISERROR('Model inputs'!D55&lt;=8),'Model inputs'!D55&lt;=8,IF('Model inputs'!D55="","",'Model inputs'!D55&lt;=8))="",FALSE,IF(ISERROR('Model inputs'!D55&lt;=8),'Model inputs'!D55&lt;=8,IF('Model inputs'!D55="","",'Model inputs'!D55&lt;=8))),IF('Model inputs'!AG51="","",'Model inputs'!AG51),IF('Model inputs'!AG47="","",'Model inputs'!AG47))))))</f>
        <v>0</v>
      </c>
      <c r="E78" s="10">
        <f>IF(IF(IF(ISERROR('Model inputs'!E55&lt;1),'Model inputs'!E55&lt;1,IF('Model inputs'!E55="","",'Model inputs'!E55&lt;1))="",FALSE,IF(ISERROR('Model inputs'!E55&lt;1),'Model inputs'!E55&lt;1,IF('Model inputs'!E55="","",'Model inputs'!E55&lt;1))),0,IF(IF(IF(ISERROR('Model inputs'!E55=1),'Model inputs'!E55=1,IF('Model inputs'!E55="","",'Model inputs'!E55=1))="",FALSE,IF(ISERROR('Model inputs'!E55=1),'Model inputs'!E55=1,IF('Model inputs'!E55="","",'Model inputs'!E55=1))),IF('Model inputs'!AG70="","",'Model inputs'!AG70),'Model inputs'!D78*(1+IF(IF(IF(IF(ISERROR('Model inputs'!E55&lt;=8),'Model inputs'!E55&lt;=8,IF('Model inputs'!E55="","",'Model inputs'!E55&lt;=8))="",FALSE,IF(ISERROR('Model inputs'!E55&lt;=8),'Model inputs'!E55&lt;=8,IF('Model inputs'!E55="","",'Model inputs'!E55&lt;=8))),IF('Model inputs'!AG51="","",'Model inputs'!AG51),IF('Model inputs'!AG47="","",'Model inputs'!AG47))="",0,IF(IF(IF(ISERROR('Model inputs'!E55&lt;=8),'Model inputs'!E55&lt;=8,IF('Model inputs'!E55="","",'Model inputs'!E55&lt;=8))="",FALSE,IF(ISERROR('Model inputs'!E55&lt;=8),'Model inputs'!E55&lt;=8,IF('Model inputs'!E55="","",'Model inputs'!E55&lt;=8))),IF('Model inputs'!AG51="","",'Model inputs'!AG51),IF('Model inputs'!AG47="","",'Model inputs'!AG47))))))</f>
        <v>0</v>
      </c>
      <c r="F78" s="10">
        <f>IF(IF(IF(ISERROR('Model inputs'!F55&lt;1),'Model inputs'!F55&lt;1,IF('Model inputs'!F55="","",'Model inputs'!F55&lt;1))="",FALSE,IF(ISERROR('Model inputs'!F55&lt;1),'Model inputs'!F55&lt;1,IF('Model inputs'!F55="","",'Model inputs'!F55&lt;1))),0,IF(IF(IF(ISERROR('Model inputs'!F55=1),'Model inputs'!F55=1,IF('Model inputs'!F55="","",'Model inputs'!F55=1))="",FALSE,IF(ISERROR('Model inputs'!F55=1),'Model inputs'!F55=1,IF('Model inputs'!F55="","",'Model inputs'!F55=1))),IF('Model inputs'!AG70="","",'Model inputs'!AG70),'Model inputs'!E78*(1+IF(IF(IF(IF(ISERROR('Model inputs'!F55&lt;=8),'Model inputs'!F55&lt;=8,IF('Model inputs'!F55="","",'Model inputs'!F55&lt;=8))="",FALSE,IF(ISERROR('Model inputs'!F55&lt;=8),'Model inputs'!F55&lt;=8,IF('Model inputs'!F55="","",'Model inputs'!F55&lt;=8))),IF('Model inputs'!AG51="","",'Model inputs'!AG51),IF('Model inputs'!AG47="","",'Model inputs'!AG47))="",0,IF(IF(IF(ISERROR('Model inputs'!F55&lt;=8),'Model inputs'!F55&lt;=8,IF('Model inputs'!F55="","",'Model inputs'!F55&lt;=8))="",FALSE,IF(ISERROR('Model inputs'!F55&lt;=8),'Model inputs'!F55&lt;=8,IF('Model inputs'!F55="","",'Model inputs'!F55&lt;=8))),IF('Model inputs'!AG51="","",'Model inputs'!AG51),IF('Model inputs'!AG47="","",'Model inputs'!AG47))))))</f>
        <v>0</v>
      </c>
      <c r="G78" s="10">
        <f>IF(IF(IF(ISERROR('Model inputs'!G55&lt;1),'Model inputs'!G55&lt;1,IF('Model inputs'!G55="","",'Model inputs'!G55&lt;1))="",FALSE,IF(ISERROR('Model inputs'!G55&lt;1),'Model inputs'!G55&lt;1,IF('Model inputs'!G55="","",'Model inputs'!G55&lt;1))),0,IF(IF(IF(ISERROR('Model inputs'!G55=1),'Model inputs'!G55=1,IF('Model inputs'!G55="","",'Model inputs'!G55=1))="",FALSE,IF(ISERROR('Model inputs'!G55=1),'Model inputs'!G55=1,IF('Model inputs'!G55="","",'Model inputs'!G55=1))),IF('Model inputs'!AG70="","",'Model inputs'!AG70),'Model inputs'!F78*(1+IF(IF(IF(IF(ISERROR('Model inputs'!G55&lt;=8),'Model inputs'!G55&lt;=8,IF('Model inputs'!G55="","",'Model inputs'!G55&lt;=8))="",FALSE,IF(ISERROR('Model inputs'!G55&lt;=8),'Model inputs'!G55&lt;=8,IF('Model inputs'!G55="","",'Model inputs'!G55&lt;=8))),IF('Model inputs'!AG51="","",'Model inputs'!AG51),IF('Model inputs'!AG47="","",'Model inputs'!AG47))="",0,IF(IF(IF(ISERROR('Model inputs'!G55&lt;=8),'Model inputs'!G55&lt;=8,IF('Model inputs'!G55="","",'Model inputs'!G55&lt;=8))="",FALSE,IF(ISERROR('Model inputs'!G55&lt;=8),'Model inputs'!G55&lt;=8,IF('Model inputs'!G55="","",'Model inputs'!G55&lt;=8))),IF('Model inputs'!AG51="","",'Model inputs'!AG51),IF('Model inputs'!AG47="","",'Model inputs'!AG47))))))</f>
        <v>0</v>
      </c>
      <c r="H78" s="10">
        <f>IF(IF(IF(ISERROR('Model inputs'!H55&lt;1),'Model inputs'!H55&lt;1,IF('Model inputs'!H55="","",'Model inputs'!H55&lt;1))="",FALSE,IF(ISERROR('Model inputs'!H55&lt;1),'Model inputs'!H55&lt;1,IF('Model inputs'!H55="","",'Model inputs'!H55&lt;1))),0,IF(IF(IF(ISERROR('Model inputs'!H55=1),'Model inputs'!H55=1,IF('Model inputs'!H55="","",'Model inputs'!H55=1))="",FALSE,IF(ISERROR('Model inputs'!H55=1),'Model inputs'!H55=1,IF('Model inputs'!H55="","",'Model inputs'!H55=1))),IF('Model inputs'!AG70="","",'Model inputs'!AG70),'Model inputs'!G78*(1+IF(IF(IF(IF(ISERROR('Model inputs'!H55&lt;=8),'Model inputs'!H55&lt;=8,IF('Model inputs'!H55="","",'Model inputs'!H55&lt;=8))="",FALSE,IF(ISERROR('Model inputs'!H55&lt;=8),'Model inputs'!H55&lt;=8,IF('Model inputs'!H55="","",'Model inputs'!H55&lt;=8))),IF('Model inputs'!AG51="","",'Model inputs'!AG51),IF('Model inputs'!AG47="","",'Model inputs'!AG47))="",0,IF(IF(IF(ISERROR('Model inputs'!H55&lt;=8),'Model inputs'!H55&lt;=8,IF('Model inputs'!H55="","",'Model inputs'!H55&lt;=8))="",FALSE,IF(ISERROR('Model inputs'!H55&lt;=8),'Model inputs'!H55&lt;=8,IF('Model inputs'!H55="","",'Model inputs'!H55&lt;=8))),IF('Model inputs'!AG51="","",'Model inputs'!AG51),IF('Model inputs'!AG47="","",'Model inputs'!AG47))))))</f>
        <v>0</v>
      </c>
      <c r="I78" s="10">
        <f>IF(IF(IF(ISERROR('Model inputs'!I55&lt;1),'Model inputs'!I55&lt;1,IF('Model inputs'!I55="","",'Model inputs'!I55&lt;1))="",FALSE,IF(ISERROR('Model inputs'!I55&lt;1),'Model inputs'!I55&lt;1,IF('Model inputs'!I55="","",'Model inputs'!I55&lt;1))),0,IF(IF(IF(ISERROR('Model inputs'!I55=1),'Model inputs'!I55=1,IF('Model inputs'!I55="","",'Model inputs'!I55=1))="",FALSE,IF(ISERROR('Model inputs'!I55=1),'Model inputs'!I55=1,IF('Model inputs'!I55="","",'Model inputs'!I55=1))),IF('Model inputs'!AG70="","",'Model inputs'!AG70),'Model inputs'!H78*(1+IF(IF(IF(IF(ISERROR('Model inputs'!I55&lt;=8),'Model inputs'!I55&lt;=8,IF('Model inputs'!I55="","",'Model inputs'!I55&lt;=8))="",FALSE,IF(ISERROR('Model inputs'!I55&lt;=8),'Model inputs'!I55&lt;=8,IF('Model inputs'!I55="","",'Model inputs'!I55&lt;=8))),IF('Model inputs'!AG51="","",'Model inputs'!AG51),IF('Model inputs'!AG47="","",'Model inputs'!AG47))="",0,IF(IF(IF(ISERROR('Model inputs'!I55&lt;=8),'Model inputs'!I55&lt;=8,IF('Model inputs'!I55="","",'Model inputs'!I55&lt;=8))="",FALSE,IF(ISERROR('Model inputs'!I55&lt;=8),'Model inputs'!I55&lt;=8,IF('Model inputs'!I55="","",'Model inputs'!I55&lt;=8))),IF('Model inputs'!AG51="","",'Model inputs'!AG51),IF('Model inputs'!AG47="","",'Model inputs'!AG47))))))</f>
        <v>0</v>
      </c>
      <c r="J78" s="10">
        <f>IF(IF(IF(ISERROR('Model inputs'!J55&lt;1),'Model inputs'!J55&lt;1,IF('Model inputs'!J55="","",'Model inputs'!J55&lt;1))="",FALSE,IF(ISERROR('Model inputs'!J55&lt;1),'Model inputs'!J55&lt;1,IF('Model inputs'!J55="","",'Model inputs'!J55&lt;1))),0,IF(IF(IF(ISERROR('Model inputs'!J55=1),'Model inputs'!J55=1,IF('Model inputs'!J55="","",'Model inputs'!J55=1))="",FALSE,IF(ISERROR('Model inputs'!J55=1),'Model inputs'!J55=1,IF('Model inputs'!J55="","",'Model inputs'!J55=1))),IF('Model inputs'!AG70="","",'Model inputs'!AG70),'Model inputs'!I78*(1+IF(IF(IF(IF(ISERROR('Model inputs'!J55&lt;=8),'Model inputs'!J55&lt;=8,IF('Model inputs'!J55="","",'Model inputs'!J55&lt;=8))="",FALSE,IF(ISERROR('Model inputs'!J55&lt;=8),'Model inputs'!J55&lt;=8,IF('Model inputs'!J55="","",'Model inputs'!J55&lt;=8))),IF('Model inputs'!AG51="","",'Model inputs'!AG51),IF('Model inputs'!AG47="","",'Model inputs'!AG47))="",0,IF(IF(IF(ISERROR('Model inputs'!J55&lt;=8),'Model inputs'!J55&lt;=8,IF('Model inputs'!J55="","",'Model inputs'!J55&lt;=8))="",FALSE,IF(ISERROR('Model inputs'!J55&lt;=8),'Model inputs'!J55&lt;=8,IF('Model inputs'!J55="","",'Model inputs'!J55&lt;=8))),IF('Model inputs'!AG51="","",'Model inputs'!AG51),IF('Model inputs'!AG47="","",'Model inputs'!AG47))))))</f>
        <v>0</v>
      </c>
      <c r="K78" s="10">
        <f>IF(IF(IF(ISERROR('Model inputs'!K55&lt;1),'Model inputs'!K55&lt;1,IF('Model inputs'!K55="","",'Model inputs'!K55&lt;1))="",FALSE,IF(ISERROR('Model inputs'!K55&lt;1),'Model inputs'!K55&lt;1,IF('Model inputs'!K55="","",'Model inputs'!K55&lt;1))),0,IF(IF(IF(ISERROR('Model inputs'!K55=1),'Model inputs'!K55=1,IF('Model inputs'!K55="","",'Model inputs'!K55=1))="",FALSE,IF(ISERROR('Model inputs'!K55=1),'Model inputs'!K55=1,IF('Model inputs'!K55="","",'Model inputs'!K55=1))),IF('Model inputs'!AG70="","",'Model inputs'!AG70),'Model inputs'!J78*(1+IF(IF(IF(IF(ISERROR('Model inputs'!K55&lt;=8),'Model inputs'!K55&lt;=8,IF('Model inputs'!K55="","",'Model inputs'!K55&lt;=8))="",FALSE,IF(ISERROR('Model inputs'!K55&lt;=8),'Model inputs'!K55&lt;=8,IF('Model inputs'!K55="","",'Model inputs'!K55&lt;=8))),IF('Model inputs'!AG51="","",'Model inputs'!AG51),IF('Model inputs'!AG47="","",'Model inputs'!AG47))="",0,IF(IF(IF(ISERROR('Model inputs'!K55&lt;=8),'Model inputs'!K55&lt;=8,IF('Model inputs'!K55="","",'Model inputs'!K55&lt;=8))="",FALSE,IF(ISERROR('Model inputs'!K55&lt;=8),'Model inputs'!K55&lt;=8,IF('Model inputs'!K55="","",'Model inputs'!K55&lt;=8))),IF('Model inputs'!AG51="","",'Model inputs'!AG51),IF('Model inputs'!AG47="","",'Model inputs'!AG47))))))</f>
        <v>0</v>
      </c>
      <c r="L78" s="10">
        <f>IF(IF(IF(ISERROR('Model inputs'!L55&lt;1),'Model inputs'!L55&lt;1,IF('Model inputs'!L55="","",'Model inputs'!L55&lt;1))="",FALSE,IF(ISERROR('Model inputs'!L55&lt;1),'Model inputs'!L55&lt;1,IF('Model inputs'!L55="","",'Model inputs'!L55&lt;1))),0,IF(IF(IF(ISERROR('Model inputs'!L55=1),'Model inputs'!L55=1,IF('Model inputs'!L55="","",'Model inputs'!L55=1))="",FALSE,IF(ISERROR('Model inputs'!L55=1),'Model inputs'!L55=1,IF('Model inputs'!L55="","",'Model inputs'!L55=1))),IF('Model inputs'!AG70="","",'Model inputs'!AG70),'Model inputs'!K78*(1+IF(IF(IF(IF(ISERROR('Model inputs'!L55&lt;=8),'Model inputs'!L55&lt;=8,IF('Model inputs'!L55="","",'Model inputs'!L55&lt;=8))="",FALSE,IF(ISERROR('Model inputs'!L55&lt;=8),'Model inputs'!L55&lt;=8,IF('Model inputs'!L55="","",'Model inputs'!L55&lt;=8))),IF('Model inputs'!AG51="","",'Model inputs'!AG51),IF('Model inputs'!AG47="","",'Model inputs'!AG47))="",0,IF(IF(IF(ISERROR('Model inputs'!L55&lt;=8),'Model inputs'!L55&lt;=8,IF('Model inputs'!L55="","",'Model inputs'!L55&lt;=8))="",FALSE,IF(ISERROR('Model inputs'!L55&lt;=8),'Model inputs'!L55&lt;=8,IF('Model inputs'!L55="","",'Model inputs'!L55&lt;=8))),IF('Model inputs'!AG51="","",'Model inputs'!AG51),IF('Model inputs'!AG47="","",'Model inputs'!AG47))))))</f>
        <v>0</v>
      </c>
      <c r="M78" s="10">
        <f>IF(IF(IF(ISERROR('Model inputs'!M55&lt;1),'Model inputs'!M55&lt;1,IF('Model inputs'!M55="","",'Model inputs'!M55&lt;1))="",FALSE,IF(ISERROR('Model inputs'!M55&lt;1),'Model inputs'!M55&lt;1,IF('Model inputs'!M55="","",'Model inputs'!M55&lt;1))),0,IF(IF(IF(ISERROR('Model inputs'!M55=1),'Model inputs'!M55=1,IF('Model inputs'!M55="","",'Model inputs'!M55=1))="",FALSE,IF(ISERROR('Model inputs'!M55=1),'Model inputs'!M55=1,IF('Model inputs'!M55="","",'Model inputs'!M55=1))),IF('Model inputs'!AG70="","",'Model inputs'!AG70),'Model inputs'!L78*(1+IF(IF(IF(IF(ISERROR('Model inputs'!M55&lt;=8),'Model inputs'!M55&lt;=8,IF('Model inputs'!M55="","",'Model inputs'!M55&lt;=8))="",FALSE,IF(ISERROR('Model inputs'!M55&lt;=8),'Model inputs'!M55&lt;=8,IF('Model inputs'!M55="","",'Model inputs'!M55&lt;=8))),IF('Model inputs'!AG51="","",'Model inputs'!AG51),IF('Model inputs'!AG47="","",'Model inputs'!AG47))="",0,IF(IF(IF(ISERROR('Model inputs'!M55&lt;=8),'Model inputs'!M55&lt;=8,IF('Model inputs'!M55="","",'Model inputs'!M55&lt;=8))="",FALSE,IF(ISERROR('Model inputs'!M55&lt;=8),'Model inputs'!M55&lt;=8,IF('Model inputs'!M55="","",'Model inputs'!M55&lt;=8))),IF('Model inputs'!AG51="","",'Model inputs'!AG51),IF('Model inputs'!AG47="","",'Model inputs'!AG47))))))</f>
        <v>0</v>
      </c>
      <c r="N78" s="10">
        <f>IF(IF(IF(ISERROR('Model inputs'!N55&lt;1),'Model inputs'!N55&lt;1,IF('Model inputs'!N55="","",'Model inputs'!N55&lt;1))="",FALSE,IF(ISERROR('Model inputs'!N55&lt;1),'Model inputs'!N55&lt;1,IF('Model inputs'!N55="","",'Model inputs'!N55&lt;1))),0,IF(IF(IF(ISERROR('Model inputs'!N55=1),'Model inputs'!N55=1,IF('Model inputs'!N55="","",'Model inputs'!N55=1))="",FALSE,IF(ISERROR('Model inputs'!N55=1),'Model inputs'!N55=1,IF('Model inputs'!N55="","",'Model inputs'!N55=1))),IF('Model inputs'!AG70="","",'Model inputs'!AG70),'Model inputs'!M78*(1+IF(IF(IF(IF(ISERROR('Model inputs'!N55&lt;=8),'Model inputs'!N55&lt;=8,IF('Model inputs'!N55="","",'Model inputs'!N55&lt;=8))="",FALSE,IF(ISERROR('Model inputs'!N55&lt;=8),'Model inputs'!N55&lt;=8,IF('Model inputs'!N55="","",'Model inputs'!N55&lt;=8))),IF('Model inputs'!AG51="","",'Model inputs'!AG51),IF('Model inputs'!AG47="","",'Model inputs'!AG47))="",0,IF(IF(IF(ISERROR('Model inputs'!N55&lt;=8),'Model inputs'!N55&lt;=8,IF('Model inputs'!N55="","",'Model inputs'!N55&lt;=8))="",FALSE,IF(ISERROR('Model inputs'!N55&lt;=8),'Model inputs'!N55&lt;=8,IF('Model inputs'!N55="","",'Model inputs'!N55&lt;=8))),IF('Model inputs'!AG51="","",'Model inputs'!AG51),IF('Model inputs'!AG47="","",'Model inputs'!AG47))))))</f>
        <v>0</v>
      </c>
      <c r="O78" s="10">
        <f>IF(IF(IF(ISERROR('Model inputs'!O55&lt;1),'Model inputs'!O55&lt;1,IF('Model inputs'!O55="","",'Model inputs'!O55&lt;1))="",FALSE,IF(ISERROR('Model inputs'!O55&lt;1),'Model inputs'!O55&lt;1,IF('Model inputs'!O55="","",'Model inputs'!O55&lt;1))),0,IF(IF(IF(ISERROR('Model inputs'!O55=1),'Model inputs'!O55=1,IF('Model inputs'!O55="","",'Model inputs'!O55=1))="",FALSE,IF(ISERROR('Model inputs'!O55=1),'Model inputs'!O55=1,IF('Model inputs'!O55="","",'Model inputs'!O55=1))),IF('Model inputs'!AG70="","",'Model inputs'!AG70),'Model inputs'!N78*(1+IF(IF(IF(IF(ISERROR('Model inputs'!O55&lt;=8),'Model inputs'!O55&lt;=8,IF('Model inputs'!O55="","",'Model inputs'!O55&lt;=8))="",FALSE,IF(ISERROR('Model inputs'!O55&lt;=8),'Model inputs'!O55&lt;=8,IF('Model inputs'!O55="","",'Model inputs'!O55&lt;=8))),IF('Model inputs'!AG51="","",'Model inputs'!AG51),IF('Model inputs'!AG47="","",'Model inputs'!AG47))="",0,IF(IF(IF(ISERROR('Model inputs'!O55&lt;=8),'Model inputs'!O55&lt;=8,IF('Model inputs'!O55="","",'Model inputs'!O55&lt;=8))="",FALSE,IF(ISERROR('Model inputs'!O55&lt;=8),'Model inputs'!O55&lt;=8,IF('Model inputs'!O55="","",'Model inputs'!O55&lt;=8))),IF('Model inputs'!AG51="","",'Model inputs'!AG51),IF('Model inputs'!AG47="","",'Model inputs'!AG47))))))</f>
        <v>0</v>
      </c>
      <c r="P78" s="10">
        <f>IF(IF(IF(ISERROR('Model inputs'!P55&lt;1),'Model inputs'!P55&lt;1,IF('Model inputs'!P55="","",'Model inputs'!P55&lt;1))="",FALSE,IF(ISERROR('Model inputs'!P55&lt;1),'Model inputs'!P55&lt;1,IF('Model inputs'!P55="","",'Model inputs'!P55&lt;1))),0,IF(IF(IF(ISERROR('Model inputs'!P55=1),'Model inputs'!P55=1,IF('Model inputs'!P55="","",'Model inputs'!P55=1))="",FALSE,IF(ISERROR('Model inputs'!P55=1),'Model inputs'!P55=1,IF('Model inputs'!P55="","",'Model inputs'!P55=1))),IF('Model inputs'!AG70="","",'Model inputs'!AG70),'Model inputs'!O78*(1+IF(IF(IF(IF(ISERROR('Model inputs'!P55&lt;=8),'Model inputs'!P55&lt;=8,IF('Model inputs'!P55="","",'Model inputs'!P55&lt;=8))="",FALSE,IF(ISERROR('Model inputs'!P55&lt;=8),'Model inputs'!P55&lt;=8,IF('Model inputs'!P55="","",'Model inputs'!P55&lt;=8))),IF('Model inputs'!AG51="","",'Model inputs'!AG51),IF('Model inputs'!AG47="","",'Model inputs'!AG47))="",0,IF(IF(IF(ISERROR('Model inputs'!P55&lt;=8),'Model inputs'!P55&lt;=8,IF('Model inputs'!P55="","",'Model inputs'!P55&lt;=8))="",FALSE,IF(ISERROR('Model inputs'!P55&lt;=8),'Model inputs'!P55&lt;=8,IF('Model inputs'!P55="","",'Model inputs'!P55&lt;=8))),IF('Model inputs'!AG51="","",'Model inputs'!AG51),IF('Model inputs'!AG47="","",'Model inputs'!AG47))))))</f>
        <v>0.5</v>
      </c>
      <c r="Q78" s="10">
        <f>IF(IF(IF(ISERROR('Model inputs'!Q55&lt;1),'Model inputs'!Q55&lt;1,IF('Model inputs'!Q55="","",'Model inputs'!Q55&lt;1))="",FALSE,IF(ISERROR('Model inputs'!Q55&lt;1),'Model inputs'!Q55&lt;1,IF('Model inputs'!Q55="","",'Model inputs'!Q55&lt;1))),0,IF(IF(IF(ISERROR('Model inputs'!Q55=1),'Model inputs'!Q55=1,IF('Model inputs'!Q55="","",'Model inputs'!Q55=1))="",FALSE,IF(ISERROR('Model inputs'!Q55=1),'Model inputs'!Q55=1,IF('Model inputs'!Q55="","",'Model inputs'!Q55=1))),IF('Model inputs'!AG70="","",'Model inputs'!AG70),'Model inputs'!P78*(1+IF(IF(IF(IF(ISERROR('Model inputs'!Q55&lt;=8),'Model inputs'!Q55&lt;=8,IF('Model inputs'!Q55="","",'Model inputs'!Q55&lt;=8))="",FALSE,IF(ISERROR('Model inputs'!Q55&lt;=8),'Model inputs'!Q55&lt;=8,IF('Model inputs'!Q55="","",'Model inputs'!Q55&lt;=8))),IF('Model inputs'!AG51="","",'Model inputs'!AG51),IF('Model inputs'!AG47="","",'Model inputs'!AG47))="",0,IF(IF(IF(ISERROR('Model inputs'!Q55&lt;=8),'Model inputs'!Q55&lt;=8,IF('Model inputs'!Q55="","",'Model inputs'!Q55&lt;=8))="",FALSE,IF(ISERROR('Model inputs'!Q55&lt;=8),'Model inputs'!Q55&lt;=8,IF('Model inputs'!Q55="","",'Model inputs'!Q55&lt;=8))),IF('Model inputs'!AG51="","",'Model inputs'!AG51),IF('Model inputs'!AG47="","",'Model inputs'!AG47))))))</f>
        <v>0.5</v>
      </c>
      <c r="R78" s="10">
        <f>IF(IF(IF(ISERROR('Model inputs'!R55&lt;1),'Model inputs'!R55&lt;1,IF('Model inputs'!R55="","",'Model inputs'!R55&lt;1))="",FALSE,IF(ISERROR('Model inputs'!R55&lt;1),'Model inputs'!R55&lt;1,IF('Model inputs'!R55="","",'Model inputs'!R55&lt;1))),0,IF(IF(IF(ISERROR('Model inputs'!R55=1),'Model inputs'!R55=1,IF('Model inputs'!R55="","",'Model inputs'!R55=1))="",FALSE,IF(ISERROR('Model inputs'!R55=1),'Model inputs'!R55=1,IF('Model inputs'!R55="","",'Model inputs'!R55=1))),IF('Model inputs'!AG70="","",'Model inputs'!AG70),'Model inputs'!Q78*(1+IF(IF(IF(IF(ISERROR('Model inputs'!R55&lt;=8),'Model inputs'!R55&lt;=8,IF('Model inputs'!R55="","",'Model inputs'!R55&lt;=8))="",FALSE,IF(ISERROR('Model inputs'!R55&lt;=8),'Model inputs'!R55&lt;=8,IF('Model inputs'!R55="","",'Model inputs'!R55&lt;=8))),IF('Model inputs'!AG51="","",'Model inputs'!AG51),IF('Model inputs'!AG47="","",'Model inputs'!AG47))="",0,IF(IF(IF(ISERROR('Model inputs'!R55&lt;=8),'Model inputs'!R55&lt;=8,IF('Model inputs'!R55="","",'Model inputs'!R55&lt;=8))="",FALSE,IF(ISERROR('Model inputs'!R55&lt;=8),'Model inputs'!R55&lt;=8,IF('Model inputs'!R55="","",'Model inputs'!R55&lt;=8))),IF('Model inputs'!AG51="","",'Model inputs'!AG51),IF('Model inputs'!AG47="","",'Model inputs'!AG47))))))</f>
        <v>0.5</v>
      </c>
      <c r="S78" s="10">
        <f>IF(IF(IF(ISERROR('Model inputs'!S55&lt;1),'Model inputs'!S55&lt;1,IF('Model inputs'!S55="","",'Model inputs'!S55&lt;1))="",FALSE,IF(ISERROR('Model inputs'!S55&lt;1),'Model inputs'!S55&lt;1,IF('Model inputs'!S55="","",'Model inputs'!S55&lt;1))),0,IF(IF(IF(ISERROR('Model inputs'!S55=1),'Model inputs'!S55=1,IF('Model inputs'!S55="","",'Model inputs'!S55=1))="",FALSE,IF(ISERROR('Model inputs'!S55=1),'Model inputs'!S55=1,IF('Model inputs'!S55="","",'Model inputs'!S55=1))),IF('Model inputs'!AG70="","",'Model inputs'!AG70),'Model inputs'!R78*(1+IF(IF(IF(IF(ISERROR('Model inputs'!S55&lt;=8),'Model inputs'!S55&lt;=8,IF('Model inputs'!S55="","",'Model inputs'!S55&lt;=8))="",FALSE,IF(ISERROR('Model inputs'!S55&lt;=8),'Model inputs'!S55&lt;=8,IF('Model inputs'!S55="","",'Model inputs'!S55&lt;=8))),IF('Model inputs'!AG51="","",'Model inputs'!AG51),IF('Model inputs'!AG47="","",'Model inputs'!AG47))="",0,IF(IF(IF(ISERROR('Model inputs'!S55&lt;=8),'Model inputs'!S55&lt;=8,IF('Model inputs'!S55="","",'Model inputs'!S55&lt;=8))="",FALSE,IF(ISERROR('Model inputs'!S55&lt;=8),'Model inputs'!S55&lt;=8,IF('Model inputs'!S55="","",'Model inputs'!S55&lt;=8))),IF('Model inputs'!AG51="","",'Model inputs'!AG51),IF('Model inputs'!AG47="","",'Model inputs'!AG47))))))</f>
        <v>0.5</v>
      </c>
      <c r="T78" s="10">
        <f>IF(IF(IF(ISERROR('Model inputs'!T55&lt;1),'Model inputs'!T55&lt;1,IF('Model inputs'!T55="","",'Model inputs'!T55&lt;1))="",FALSE,IF(ISERROR('Model inputs'!T55&lt;1),'Model inputs'!T55&lt;1,IF('Model inputs'!T55="","",'Model inputs'!T55&lt;1))),0,IF(IF(IF(ISERROR('Model inputs'!T55=1),'Model inputs'!T55=1,IF('Model inputs'!T55="","",'Model inputs'!T55=1))="",FALSE,IF(ISERROR('Model inputs'!T55=1),'Model inputs'!T55=1,IF('Model inputs'!T55="","",'Model inputs'!T55=1))),IF('Model inputs'!AG70="","",'Model inputs'!AG70),'Model inputs'!S78*(1+IF(IF(IF(IF(ISERROR('Model inputs'!T55&lt;=8),'Model inputs'!T55&lt;=8,IF('Model inputs'!T55="","",'Model inputs'!T55&lt;=8))="",FALSE,IF(ISERROR('Model inputs'!T55&lt;=8),'Model inputs'!T55&lt;=8,IF('Model inputs'!T55="","",'Model inputs'!T55&lt;=8))),IF('Model inputs'!AG51="","",'Model inputs'!AG51),IF('Model inputs'!AG47="","",'Model inputs'!AG47))="",0,IF(IF(IF(ISERROR('Model inputs'!T55&lt;=8),'Model inputs'!T55&lt;=8,IF('Model inputs'!T55="","",'Model inputs'!T55&lt;=8))="",FALSE,IF(ISERROR('Model inputs'!T55&lt;=8),'Model inputs'!T55&lt;=8,IF('Model inputs'!T55="","",'Model inputs'!T55&lt;=8))),IF('Model inputs'!AG51="","",'Model inputs'!AG51),IF('Model inputs'!AG47="","",'Model inputs'!AG47))))))</f>
        <v>0.5</v>
      </c>
      <c r="U78" s="10">
        <f>IF(IF(IF(ISERROR('Model inputs'!U55&lt;1),'Model inputs'!U55&lt;1,IF('Model inputs'!U55="","",'Model inputs'!U55&lt;1))="",FALSE,IF(ISERROR('Model inputs'!U55&lt;1),'Model inputs'!U55&lt;1,IF('Model inputs'!U55="","",'Model inputs'!U55&lt;1))),0,IF(IF(IF(ISERROR('Model inputs'!U55=1),'Model inputs'!U55=1,IF('Model inputs'!U55="","",'Model inputs'!U55=1))="",FALSE,IF(ISERROR('Model inputs'!U55=1),'Model inputs'!U55=1,IF('Model inputs'!U55="","",'Model inputs'!U55=1))),IF('Model inputs'!AG70="","",'Model inputs'!AG70),'Model inputs'!T78*(1+IF(IF(IF(IF(ISERROR('Model inputs'!U55&lt;=8),'Model inputs'!U55&lt;=8,IF('Model inputs'!U55="","",'Model inputs'!U55&lt;=8))="",FALSE,IF(ISERROR('Model inputs'!U55&lt;=8),'Model inputs'!U55&lt;=8,IF('Model inputs'!U55="","",'Model inputs'!U55&lt;=8))),IF('Model inputs'!AG51="","",'Model inputs'!AG51),IF('Model inputs'!AG47="","",'Model inputs'!AG47))="",0,IF(IF(IF(ISERROR('Model inputs'!U55&lt;=8),'Model inputs'!U55&lt;=8,IF('Model inputs'!U55="","",'Model inputs'!U55&lt;=8))="",FALSE,IF(ISERROR('Model inputs'!U55&lt;=8),'Model inputs'!U55&lt;=8,IF('Model inputs'!U55="","",'Model inputs'!U55&lt;=8))),IF('Model inputs'!AG51="","",'Model inputs'!AG51),IF('Model inputs'!AG47="","",'Model inputs'!AG47))))))</f>
        <v>0.5</v>
      </c>
      <c r="V78" s="10">
        <f>IF(IF(IF(ISERROR('Model inputs'!V55&lt;1),'Model inputs'!V55&lt;1,IF('Model inputs'!V55="","",'Model inputs'!V55&lt;1))="",FALSE,IF(ISERROR('Model inputs'!V55&lt;1),'Model inputs'!V55&lt;1,IF('Model inputs'!V55="","",'Model inputs'!V55&lt;1))),0,IF(IF(IF(ISERROR('Model inputs'!V55=1),'Model inputs'!V55=1,IF('Model inputs'!V55="","",'Model inputs'!V55=1))="",FALSE,IF(ISERROR('Model inputs'!V55=1),'Model inputs'!V55=1,IF('Model inputs'!V55="","",'Model inputs'!V55=1))),IF('Model inputs'!AG70="","",'Model inputs'!AG70),'Model inputs'!U78*(1+IF(IF(IF(IF(ISERROR('Model inputs'!V55&lt;=8),'Model inputs'!V55&lt;=8,IF('Model inputs'!V55="","",'Model inputs'!V55&lt;=8))="",FALSE,IF(ISERROR('Model inputs'!V55&lt;=8),'Model inputs'!V55&lt;=8,IF('Model inputs'!V55="","",'Model inputs'!V55&lt;=8))),IF('Model inputs'!AG51="","",'Model inputs'!AG51),IF('Model inputs'!AG47="","",'Model inputs'!AG47))="",0,IF(IF(IF(ISERROR('Model inputs'!V55&lt;=8),'Model inputs'!V55&lt;=8,IF('Model inputs'!V55="","",'Model inputs'!V55&lt;=8))="",FALSE,IF(ISERROR('Model inputs'!V55&lt;=8),'Model inputs'!V55&lt;=8,IF('Model inputs'!V55="","",'Model inputs'!V55&lt;=8))),IF('Model inputs'!AG51="","",'Model inputs'!AG51),IF('Model inputs'!AG47="","",'Model inputs'!AG47))))))</f>
        <v>0.5</v>
      </c>
      <c r="W78" s="10">
        <f>IF(IF(IF(ISERROR('Model inputs'!W55&lt;1),'Model inputs'!W55&lt;1,IF('Model inputs'!W55="","",'Model inputs'!W55&lt;1))="",FALSE,IF(ISERROR('Model inputs'!W55&lt;1),'Model inputs'!W55&lt;1,IF('Model inputs'!W55="","",'Model inputs'!W55&lt;1))),0,IF(IF(IF(ISERROR('Model inputs'!W55=1),'Model inputs'!W55=1,IF('Model inputs'!W55="","",'Model inputs'!W55=1))="",FALSE,IF(ISERROR('Model inputs'!W55=1),'Model inputs'!W55=1,IF('Model inputs'!W55="","",'Model inputs'!W55=1))),IF('Model inputs'!AG70="","",'Model inputs'!AG70),'Model inputs'!V78*(1+IF(IF(IF(IF(ISERROR('Model inputs'!W55&lt;=8),'Model inputs'!W55&lt;=8,IF('Model inputs'!W55="","",'Model inputs'!W55&lt;=8))="",FALSE,IF(ISERROR('Model inputs'!W55&lt;=8),'Model inputs'!W55&lt;=8,IF('Model inputs'!W55="","",'Model inputs'!W55&lt;=8))),IF('Model inputs'!AG51="","",'Model inputs'!AG51),IF('Model inputs'!AG47="","",'Model inputs'!AG47))="",0,IF(IF(IF(ISERROR('Model inputs'!W55&lt;=8),'Model inputs'!W55&lt;=8,IF('Model inputs'!W55="","",'Model inputs'!W55&lt;=8))="",FALSE,IF(ISERROR('Model inputs'!W55&lt;=8),'Model inputs'!W55&lt;=8,IF('Model inputs'!W55="","",'Model inputs'!W55&lt;=8))),IF('Model inputs'!AG51="","",'Model inputs'!AG51),IF('Model inputs'!AG47="","",'Model inputs'!AG47))))))</f>
        <v>0.5</v>
      </c>
      <c r="X78" s="10">
        <f>IF(IF(IF(ISERROR('Model inputs'!X55&lt;1),'Model inputs'!X55&lt;1,IF('Model inputs'!X55="","",'Model inputs'!X55&lt;1))="",FALSE,IF(ISERROR('Model inputs'!X55&lt;1),'Model inputs'!X55&lt;1,IF('Model inputs'!X55="","",'Model inputs'!X55&lt;1))),0,IF(IF(IF(ISERROR('Model inputs'!X55=1),'Model inputs'!X55=1,IF('Model inputs'!X55="","",'Model inputs'!X55=1))="",FALSE,IF(ISERROR('Model inputs'!X55=1),'Model inputs'!X55=1,IF('Model inputs'!X55="","",'Model inputs'!X55=1))),IF('Model inputs'!AG70="","",'Model inputs'!AG70),'Model inputs'!W78*(1+IF(IF(IF(IF(ISERROR('Model inputs'!X55&lt;=8),'Model inputs'!X55&lt;=8,IF('Model inputs'!X55="","",'Model inputs'!X55&lt;=8))="",FALSE,IF(ISERROR('Model inputs'!X55&lt;=8),'Model inputs'!X55&lt;=8,IF('Model inputs'!X55="","",'Model inputs'!X55&lt;=8))),IF('Model inputs'!AG51="","",'Model inputs'!AG51),IF('Model inputs'!AG47="","",'Model inputs'!AG47))="",0,IF(IF(IF(ISERROR('Model inputs'!X55&lt;=8),'Model inputs'!X55&lt;=8,IF('Model inputs'!X55="","",'Model inputs'!X55&lt;=8))="",FALSE,IF(ISERROR('Model inputs'!X55&lt;=8),'Model inputs'!X55&lt;=8,IF('Model inputs'!X55="","",'Model inputs'!X55&lt;=8))),IF('Model inputs'!AG51="","",'Model inputs'!AG51),IF('Model inputs'!AG47="","",'Model inputs'!AG47))))))</f>
        <v>0.5</v>
      </c>
      <c r="Y78" s="10">
        <f>IF(IF(IF(ISERROR('Model inputs'!Y55&lt;1),'Model inputs'!Y55&lt;1,IF('Model inputs'!Y55="","",'Model inputs'!Y55&lt;1))="",FALSE,IF(ISERROR('Model inputs'!Y55&lt;1),'Model inputs'!Y55&lt;1,IF('Model inputs'!Y55="","",'Model inputs'!Y55&lt;1))),0,IF(IF(IF(ISERROR('Model inputs'!Y55=1),'Model inputs'!Y55=1,IF('Model inputs'!Y55="","",'Model inputs'!Y55=1))="",FALSE,IF(ISERROR('Model inputs'!Y55=1),'Model inputs'!Y55=1,IF('Model inputs'!Y55="","",'Model inputs'!Y55=1))),IF('Model inputs'!AG70="","",'Model inputs'!AG70),'Model inputs'!X78*(1+IF(IF(IF(IF(ISERROR('Model inputs'!Y55&lt;=8),'Model inputs'!Y55&lt;=8,IF('Model inputs'!Y55="","",'Model inputs'!Y55&lt;=8))="",FALSE,IF(ISERROR('Model inputs'!Y55&lt;=8),'Model inputs'!Y55&lt;=8,IF('Model inputs'!Y55="","",'Model inputs'!Y55&lt;=8))),IF('Model inputs'!AG51="","",'Model inputs'!AG51),IF('Model inputs'!AG47="","",'Model inputs'!AG47))="",0,IF(IF(IF(ISERROR('Model inputs'!Y55&lt;=8),'Model inputs'!Y55&lt;=8,IF('Model inputs'!Y55="","",'Model inputs'!Y55&lt;=8))="",FALSE,IF(ISERROR('Model inputs'!Y55&lt;=8),'Model inputs'!Y55&lt;=8,IF('Model inputs'!Y55="","",'Model inputs'!Y55&lt;=8))),IF('Model inputs'!AG51="","",'Model inputs'!AG51),IF('Model inputs'!AG47="","",'Model inputs'!AG47))))))</f>
        <v>0.5</v>
      </c>
      <c r="Z78" s="10">
        <f>IF(IF(IF(ISERROR('Model inputs'!Z55&lt;1),'Model inputs'!Z55&lt;1,IF('Model inputs'!Z55="","",'Model inputs'!Z55&lt;1))="",FALSE,IF(ISERROR('Model inputs'!Z55&lt;1),'Model inputs'!Z55&lt;1,IF('Model inputs'!Z55="","",'Model inputs'!Z55&lt;1))),0,IF(IF(IF(ISERROR('Model inputs'!Z55=1),'Model inputs'!Z55=1,IF('Model inputs'!Z55="","",'Model inputs'!Z55=1))="",FALSE,IF(ISERROR('Model inputs'!Z55=1),'Model inputs'!Z55=1,IF('Model inputs'!Z55="","",'Model inputs'!Z55=1))),IF('Model inputs'!AG70="","",'Model inputs'!AG70),'Model inputs'!Y78*(1+IF(IF(IF(IF(ISERROR('Model inputs'!Z55&lt;=8),'Model inputs'!Z55&lt;=8,IF('Model inputs'!Z55="","",'Model inputs'!Z55&lt;=8))="",FALSE,IF(ISERROR('Model inputs'!Z55&lt;=8),'Model inputs'!Z55&lt;=8,IF('Model inputs'!Z55="","",'Model inputs'!Z55&lt;=8))),IF('Model inputs'!AG51="","",'Model inputs'!AG51),IF('Model inputs'!AG47="","",'Model inputs'!AG47))="",0,IF(IF(IF(ISERROR('Model inputs'!Z55&lt;=8),'Model inputs'!Z55&lt;=8,IF('Model inputs'!Z55="","",'Model inputs'!Z55&lt;=8))="",FALSE,IF(ISERROR('Model inputs'!Z55&lt;=8),'Model inputs'!Z55&lt;=8,IF('Model inputs'!Z55="","",'Model inputs'!Z55&lt;=8))),IF('Model inputs'!AG51="","",'Model inputs'!AG51),IF('Model inputs'!AG47="","",'Model inputs'!AG47))))))</f>
        <v>0.5</v>
      </c>
      <c r="AA78" s="10">
        <f>IF(IF(IF(ISERROR('Model inputs'!AA55&lt;1),'Model inputs'!AA55&lt;1,IF('Model inputs'!AA55="","",'Model inputs'!AA55&lt;1))="",FALSE,IF(ISERROR('Model inputs'!AA55&lt;1),'Model inputs'!AA55&lt;1,IF('Model inputs'!AA55="","",'Model inputs'!AA55&lt;1))),0,IF(IF(IF(ISERROR('Model inputs'!AA55=1),'Model inputs'!AA55=1,IF('Model inputs'!AA55="","",'Model inputs'!AA55=1))="",FALSE,IF(ISERROR('Model inputs'!AA55=1),'Model inputs'!AA55=1,IF('Model inputs'!AA55="","",'Model inputs'!AA55=1))),IF('Model inputs'!AG70="","",'Model inputs'!AG70),'Model inputs'!Z78*(1+IF(IF(IF(IF(ISERROR('Model inputs'!AA55&lt;=8),'Model inputs'!AA55&lt;=8,IF('Model inputs'!AA55="","",'Model inputs'!AA55&lt;=8))="",FALSE,IF(ISERROR('Model inputs'!AA55&lt;=8),'Model inputs'!AA55&lt;=8,IF('Model inputs'!AA55="","",'Model inputs'!AA55&lt;=8))),IF('Model inputs'!AG51="","",'Model inputs'!AG51),IF('Model inputs'!AG47="","",'Model inputs'!AG47))="",0,IF(IF(IF(ISERROR('Model inputs'!AA55&lt;=8),'Model inputs'!AA55&lt;=8,IF('Model inputs'!AA55="","",'Model inputs'!AA55&lt;=8))="",FALSE,IF(ISERROR('Model inputs'!AA55&lt;=8),'Model inputs'!AA55&lt;=8,IF('Model inputs'!AA55="","",'Model inputs'!AA55&lt;=8))),IF('Model inputs'!AG51="","",'Model inputs'!AG51),IF('Model inputs'!AG47="","",'Model inputs'!AG47))))))</f>
        <v>0.5</v>
      </c>
      <c r="AB78" s="10">
        <f>IF(IF(IF(ISERROR('Model inputs'!AB55&lt;1),'Model inputs'!AB55&lt;1,IF('Model inputs'!AB55="","",'Model inputs'!AB55&lt;1))="",FALSE,IF(ISERROR('Model inputs'!AB55&lt;1),'Model inputs'!AB55&lt;1,IF('Model inputs'!AB55="","",'Model inputs'!AB55&lt;1))),0,IF(IF(IF(ISERROR('Model inputs'!AB55=1),'Model inputs'!AB55=1,IF('Model inputs'!AB55="","",'Model inputs'!AB55=1))="",FALSE,IF(ISERROR('Model inputs'!AB55=1),'Model inputs'!AB55=1,IF('Model inputs'!AB55="","",'Model inputs'!AB55=1))),IF('Model inputs'!AG70="","",'Model inputs'!AG70),'Model inputs'!AA78*(1+IF(IF(IF(IF(ISERROR('Model inputs'!AB55&lt;=8),'Model inputs'!AB55&lt;=8,IF('Model inputs'!AB55="","",'Model inputs'!AB55&lt;=8))="",FALSE,IF(ISERROR('Model inputs'!AB55&lt;=8),'Model inputs'!AB55&lt;=8,IF('Model inputs'!AB55="","",'Model inputs'!AB55&lt;=8))),IF('Model inputs'!AG51="","",'Model inputs'!AG51),IF('Model inputs'!AG47="","",'Model inputs'!AG47))="",0,IF(IF(IF(ISERROR('Model inputs'!AB55&lt;=8),'Model inputs'!AB55&lt;=8,IF('Model inputs'!AB55="","",'Model inputs'!AB55&lt;=8))="",FALSE,IF(ISERROR('Model inputs'!AB55&lt;=8),'Model inputs'!AB55&lt;=8,IF('Model inputs'!AB55="","",'Model inputs'!AB55&lt;=8))),IF('Model inputs'!AG51="","",'Model inputs'!AG51),IF('Model inputs'!AG47="","",'Model inputs'!AG47))))))</f>
        <v>0.5</v>
      </c>
      <c r="AC78" s="10">
        <f>IF(IF(IF(ISERROR('Model inputs'!AC55&lt;1),'Model inputs'!AC55&lt;1,IF('Model inputs'!AC55="","",'Model inputs'!AC55&lt;1))="",FALSE,IF(ISERROR('Model inputs'!AC55&lt;1),'Model inputs'!AC55&lt;1,IF('Model inputs'!AC55="","",'Model inputs'!AC55&lt;1))),0,IF(IF(IF(ISERROR('Model inputs'!AC55=1),'Model inputs'!AC55=1,IF('Model inputs'!AC55="","",'Model inputs'!AC55=1))="",FALSE,IF(ISERROR('Model inputs'!AC55=1),'Model inputs'!AC55=1,IF('Model inputs'!AC55="","",'Model inputs'!AC55=1))),IF('Model inputs'!AG70="","",'Model inputs'!AG70),'Model inputs'!AB78*(1+IF(IF(IF(IF(ISERROR('Model inputs'!AC55&lt;=8),'Model inputs'!AC55&lt;=8,IF('Model inputs'!AC55="","",'Model inputs'!AC55&lt;=8))="",FALSE,IF(ISERROR('Model inputs'!AC55&lt;=8),'Model inputs'!AC55&lt;=8,IF('Model inputs'!AC55="","",'Model inputs'!AC55&lt;=8))),IF('Model inputs'!AG51="","",'Model inputs'!AG51),IF('Model inputs'!AG47="","",'Model inputs'!AG47))="",0,IF(IF(IF(ISERROR('Model inputs'!AC55&lt;=8),'Model inputs'!AC55&lt;=8,IF('Model inputs'!AC55="","",'Model inputs'!AC55&lt;=8))="",FALSE,IF(ISERROR('Model inputs'!AC55&lt;=8),'Model inputs'!AC55&lt;=8,IF('Model inputs'!AC55="","",'Model inputs'!AC55&lt;=8))),IF('Model inputs'!AG51="","",'Model inputs'!AG51),IF('Model inputs'!AG47="","",'Model inputs'!AG47))))))</f>
        <v>0.5</v>
      </c>
      <c r="AD78" s="10">
        <f>IF(IF(IF(ISERROR('Model inputs'!AD55&lt;1),'Model inputs'!AD55&lt;1,IF('Model inputs'!AD55="","",'Model inputs'!AD55&lt;1))="",FALSE,IF(ISERROR('Model inputs'!AD55&lt;1),'Model inputs'!AD55&lt;1,IF('Model inputs'!AD55="","",'Model inputs'!AD55&lt;1))),0,IF(IF(IF(ISERROR('Model inputs'!AD55=1),'Model inputs'!AD55=1,IF('Model inputs'!AD55="","",'Model inputs'!AD55=1))="",FALSE,IF(ISERROR('Model inputs'!AD55=1),'Model inputs'!AD55=1,IF('Model inputs'!AD55="","",'Model inputs'!AD55=1))),IF('Model inputs'!AG70="","",'Model inputs'!AG70),'Model inputs'!AC78*(1+IF(IF(IF(IF(ISERROR('Model inputs'!AD55&lt;=8),'Model inputs'!AD55&lt;=8,IF('Model inputs'!AD55="","",'Model inputs'!AD55&lt;=8))="",FALSE,IF(ISERROR('Model inputs'!AD55&lt;=8),'Model inputs'!AD55&lt;=8,IF('Model inputs'!AD55="","",'Model inputs'!AD55&lt;=8))),IF('Model inputs'!AG51="","",'Model inputs'!AG51),IF('Model inputs'!AG47="","",'Model inputs'!AG47))="",0,IF(IF(IF(ISERROR('Model inputs'!AD55&lt;=8),'Model inputs'!AD55&lt;=8,IF('Model inputs'!AD55="","",'Model inputs'!AD55&lt;=8))="",FALSE,IF(ISERROR('Model inputs'!AD55&lt;=8),'Model inputs'!AD55&lt;=8,IF('Model inputs'!AD55="","",'Model inputs'!AD55&lt;=8))),IF('Model inputs'!AG51="","",'Model inputs'!AG51),IF('Model inputs'!AG47="","",'Model inputs'!AG47))))))</f>
        <v>0.5</v>
      </c>
      <c r="AE78" s="10">
        <f>IF(IF(IF(ISERROR('Model inputs'!AE55&lt;1),'Model inputs'!AE55&lt;1,IF('Model inputs'!AE55="","",'Model inputs'!AE55&lt;1))="",FALSE,IF(ISERROR('Model inputs'!AE55&lt;1),'Model inputs'!AE55&lt;1,IF('Model inputs'!AE55="","",'Model inputs'!AE55&lt;1))),0,IF(IF(IF(ISERROR('Model inputs'!AE55=1),'Model inputs'!AE55=1,IF('Model inputs'!AE55="","",'Model inputs'!AE55=1))="",FALSE,IF(ISERROR('Model inputs'!AE55=1),'Model inputs'!AE55=1,IF('Model inputs'!AE55="","",'Model inputs'!AE55=1))),IF('Model inputs'!AG70="","",'Model inputs'!AG70),'Model inputs'!AD78*(1+IF(IF(IF(IF(ISERROR('Model inputs'!AE55&lt;=8),'Model inputs'!AE55&lt;=8,IF('Model inputs'!AE55="","",'Model inputs'!AE55&lt;=8))="",FALSE,IF(ISERROR('Model inputs'!AE55&lt;=8),'Model inputs'!AE55&lt;=8,IF('Model inputs'!AE55="","",'Model inputs'!AE55&lt;=8))),IF('Model inputs'!AG51="","",'Model inputs'!AG51),IF('Model inputs'!AG47="","",'Model inputs'!AG47))="",0,IF(IF(IF(ISERROR('Model inputs'!AE55&lt;=8),'Model inputs'!AE55&lt;=8,IF('Model inputs'!AE55="","",'Model inputs'!AE55&lt;=8))="",FALSE,IF(ISERROR('Model inputs'!AE55&lt;=8),'Model inputs'!AE55&lt;=8,IF('Model inputs'!AE55="","",'Model inputs'!AE55&lt;=8))),IF('Model inputs'!AG51="","",'Model inputs'!AG51),IF('Model inputs'!AG47="","",'Model inputs'!AG47))))))</f>
        <v>0.5</v>
      </c>
      <c r="AF78" s="10">
        <f>IF(IF(IF(ISERROR('Model inputs'!AF55&lt;1),'Model inputs'!AF55&lt;1,IF('Model inputs'!AF55="","",'Model inputs'!AF55&lt;1))="",FALSE,IF(ISERROR('Model inputs'!AF55&lt;1),'Model inputs'!AF55&lt;1,IF('Model inputs'!AF55="","",'Model inputs'!AF55&lt;1))),0,IF(IF(IF(ISERROR('Model inputs'!AF55=1),'Model inputs'!AF55=1,IF('Model inputs'!AF55="","",'Model inputs'!AF55=1))="",FALSE,IF(ISERROR('Model inputs'!AF55=1),'Model inputs'!AF55=1,IF('Model inputs'!AF55="","",'Model inputs'!AF55=1))),IF('Model inputs'!AG70="","",'Model inputs'!AG70),'Model inputs'!AE78*(1+IF(IF(IF(IF(ISERROR('Model inputs'!AF55&lt;=8),'Model inputs'!AF55&lt;=8,IF('Model inputs'!AF55="","",'Model inputs'!AF55&lt;=8))="",FALSE,IF(ISERROR('Model inputs'!AF55&lt;=8),'Model inputs'!AF55&lt;=8,IF('Model inputs'!AF55="","",'Model inputs'!AF55&lt;=8))),IF('Model inputs'!AG51="","",'Model inputs'!AG51),IF('Model inputs'!AG47="","",'Model inputs'!AG47))="",0,IF(IF(IF(ISERROR('Model inputs'!AF55&lt;=8),'Model inputs'!AF55&lt;=8,IF('Model inputs'!AF55="","",'Model inputs'!AF55&lt;=8))="",FALSE,IF(ISERROR('Model inputs'!AF55&lt;=8),'Model inputs'!AF55&lt;=8,IF('Model inputs'!AF55="","",'Model inputs'!AF55&lt;=8))),IF('Model inputs'!AG51="","",'Model inputs'!AG51),IF('Model inputs'!AG47="","",'Model inputs'!AG47))))))</f>
        <v>0.5</v>
      </c>
    </row>
    <row r="79" outlineLevel="1">
      <c r="A79" t="inlineStr" s="21">
        <is>
          <t xml:space="preserve">Organic new logos &gt; Team</t>
        </is>
      </c>
      <c r="B79" s="10">
        <f>IF(IF(IF(ISERROR('Model inputs'!B55&lt;1),'Model inputs'!B55&lt;1,IF('Model inputs'!B55="","",'Model inputs'!B55&lt;1))="",FALSE,IF(ISERROR('Model inputs'!B55&lt;1),'Model inputs'!B55&lt;1,IF('Model inputs'!B55="","",'Model inputs'!B55&lt;1))),0,IF(IF(IF(ISERROR('Model inputs'!B55=1),'Model inputs'!B55=1,IF('Model inputs'!B55="","",'Model inputs'!B55=1))="",FALSE,IF(ISERROR('Model inputs'!B55=1),'Model inputs'!B55=1,IF('Model inputs'!B55="","",'Model inputs'!B55=1))),IF('Model inputs'!AG71="","",'Model inputs'!AG71),0*(1+IF(IF(IF(IF(ISERROR('Model inputs'!B55&lt;=8),'Model inputs'!B55&lt;=8,IF('Model inputs'!B55="","",'Model inputs'!B55&lt;=8))="",FALSE,IF(ISERROR('Model inputs'!B55&lt;=8),'Model inputs'!B55&lt;=8,IF('Model inputs'!B55="","",'Model inputs'!B55&lt;=8))),IF('Model inputs'!AG52="","",'Model inputs'!AG52),IF('Model inputs'!AG48="","",'Model inputs'!AG48))="",0,IF(IF(IF(ISERROR('Model inputs'!B55&lt;=8),'Model inputs'!B55&lt;=8,IF('Model inputs'!B55="","",'Model inputs'!B55&lt;=8))="",FALSE,IF(ISERROR('Model inputs'!B55&lt;=8),'Model inputs'!B55&lt;=8,IF('Model inputs'!B55="","",'Model inputs'!B55&lt;=8))),IF('Model inputs'!AG52="","",'Model inputs'!AG52),IF('Model inputs'!AG48="","",'Model inputs'!AG48))))))</f>
        <v>0</v>
      </c>
      <c r="C79" s="10">
        <f>IF(IF(IF(ISERROR('Model inputs'!C55&lt;1),'Model inputs'!C55&lt;1,IF('Model inputs'!C55="","",'Model inputs'!C55&lt;1))="",FALSE,IF(ISERROR('Model inputs'!C55&lt;1),'Model inputs'!C55&lt;1,IF('Model inputs'!C55="","",'Model inputs'!C55&lt;1))),0,IF(IF(IF(ISERROR('Model inputs'!C55=1),'Model inputs'!C55=1,IF('Model inputs'!C55="","",'Model inputs'!C55=1))="",FALSE,IF(ISERROR('Model inputs'!C55=1),'Model inputs'!C55=1,IF('Model inputs'!C55="","",'Model inputs'!C55=1))),IF('Model inputs'!AG71="","",'Model inputs'!AG71),'Model inputs'!B79*(1+IF(IF(IF(IF(ISERROR('Model inputs'!C55&lt;=8),'Model inputs'!C55&lt;=8,IF('Model inputs'!C55="","",'Model inputs'!C55&lt;=8))="",FALSE,IF(ISERROR('Model inputs'!C55&lt;=8),'Model inputs'!C55&lt;=8,IF('Model inputs'!C55="","",'Model inputs'!C55&lt;=8))),IF('Model inputs'!AG52="","",'Model inputs'!AG52),IF('Model inputs'!AG48="","",'Model inputs'!AG48))="",0,IF(IF(IF(ISERROR('Model inputs'!C55&lt;=8),'Model inputs'!C55&lt;=8,IF('Model inputs'!C55="","",'Model inputs'!C55&lt;=8))="",FALSE,IF(ISERROR('Model inputs'!C55&lt;=8),'Model inputs'!C55&lt;=8,IF('Model inputs'!C55="","",'Model inputs'!C55&lt;=8))),IF('Model inputs'!AG52="","",'Model inputs'!AG52),IF('Model inputs'!AG48="","",'Model inputs'!AG48))))))</f>
        <v>0</v>
      </c>
      <c r="D79" s="10">
        <f>IF(IF(IF(ISERROR('Model inputs'!D55&lt;1),'Model inputs'!D55&lt;1,IF('Model inputs'!D55="","",'Model inputs'!D55&lt;1))="",FALSE,IF(ISERROR('Model inputs'!D55&lt;1),'Model inputs'!D55&lt;1,IF('Model inputs'!D55="","",'Model inputs'!D55&lt;1))),0,IF(IF(IF(ISERROR('Model inputs'!D55=1),'Model inputs'!D55=1,IF('Model inputs'!D55="","",'Model inputs'!D55=1))="",FALSE,IF(ISERROR('Model inputs'!D55=1),'Model inputs'!D55=1,IF('Model inputs'!D55="","",'Model inputs'!D55=1))),IF('Model inputs'!AG71="","",'Model inputs'!AG71),'Model inputs'!C79*(1+IF(IF(IF(IF(ISERROR('Model inputs'!D55&lt;=8),'Model inputs'!D55&lt;=8,IF('Model inputs'!D55="","",'Model inputs'!D55&lt;=8))="",FALSE,IF(ISERROR('Model inputs'!D55&lt;=8),'Model inputs'!D55&lt;=8,IF('Model inputs'!D55="","",'Model inputs'!D55&lt;=8))),IF('Model inputs'!AG52="","",'Model inputs'!AG52),IF('Model inputs'!AG48="","",'Model inputs'!AG48))="",0,IF(IF(IF(ISERROR('Model inputs'!D55&lt;=8),'Model inputs'!D55&lt;=8,IF('Model inputs'!D55="","",'Model inputs'!D55&lt;=8))="",FALSE,IF(ISERROR('Model inputs'!D55&lt;=8),'Model inputs'!D55&lt;=8,IF('Model inputs'!D55="","",'Model inputs'!D55&lt;=8))),IF('Model inputs'!AG52="","",'Model inputs'!AG52),IF('Model inputs'!AG48="","",'Model inputs'!AG48))))))</f>
        <v>0</v>
      </c>
      <c r="E79" s="10">
        <f>IF(IF(IF(ISERROR('Model inputs'!E55&lt;1),'Model inputs'!E55&lt;1,IF('Model inputs'!E55="","",'Model inputs'!E55&lt;1))="",FALSE,IF(ISERROR('Model inputs'!E55&lt;1),'Model inputs'!E55&lt;1,IF('Model inputs'!E55="","",'Model inputs'!E55&lt;1))),0,IF(IF(IF(ISERROR('Model inputs'!E55=1),'Model inputs'!E55=1,IF('Model inputs'!E55="","",'Model inputs'!E55=1))="",FALSE,IF(ISERROR('Model inputs'!E55=1),'Model inputs'!E55=1,IF('Model inputs'!E55="","",'Model inputs'!E55=1))),IF('Model inputs'!AG71="","",'Model inputs'!AG71),'Model inputs'!D79*(1+IF(IF(IF(IF(ISERROR('Model inputs'!E55&lt;=8),'Model inputs'!E55&lt;=8,IF('Model inputs'!E55="","",'Model inputs'!E55&lt;=8))="",FALSE,IF(ISERROR('Model inputs'!E55&lt;=8),'Model inputs'!E55&lt;=8,IF('Model inputs'!E55="","",'Model inputs'!E55&lt;=8))),IF('Model inputs'!AG52="","",'Model inputs'!AG52),IF('Model inputs'!AG48="","",'Model inputs'!AG48))="",0,IF(IF(IF(ISERROR('Model inputs'!E55&lt;=8),'Model inputs'!E55&lt;=8,IF('Model inputs'!E55="","",'Model inputs'!E55&lt;=8))="",FALSE,IF(ISERROR('Model inputs'!E55&lt;=8),'Model inputs'!E55&lt;=8,IF('Model inputs'!E55="","",'Model inputs'!E55&lt;=8))),IF('Model inputs'!AG52="","",'Model inputs'!AG52),IF('Model inputs'!AG48="","",'Model inputs'!AG48))))))</f>
        <v>0</v>
      </c>
      <c r="F79" s="10">
        <f>IF(IF(IF(ISERROR('Model inputs'!F55&lt;1),'Model inputs'!F55&lt;1,IF('Model inputs'!F55="","",'Model inputs'!F55&lt;1))="",FALSE,IF(ISERROR('Model inputs'!F55&lt;1),'Model inputs'!F55&lt;1,IF('Model inputs'!F55="","",'Model inputs'!F55&lt;1))),0,IF(IF(IF(ISERROR('Model inputs'!F55=1),'Model inputs'!F55=1,IF('Model inputs'!F55="","",'Model inputs'!F55=1))="",FALSE,IF(ISERROR('Model inputs'!F55=1),'Model inputs'!F55=1,IF('Model inputs'!F55="","",'Model inputs'!F55=1))),IF('Model inputs'!AG71="","",'Model inputs'!AG71),'Model inputs'!E79*(1+IF(IF(IF(IF(ISERROR('Model inputs'!F55&lt;=8),'Model inputs'!F55&lt;=8,IF('Model inputs'!F55="","",'Model inputs'!F55&lt;=8))="",FALSE,IF(ISERROR('Model inputs'!F55&lt;=8),'Model inputs'!F55&lt;=8,IF('Model inputs'!F55="","",'Model inputs'!F55&lt;=8))),IF('Model inputs'!AG52="","",'Model inputs'!AG52),IF('Model inputs'!AG48="","",'Model inputs'!AG48))="",0,IF(IF(IF(ISERROR('Model inputs'!F55&lt;=8),'Model inputs'!F55&lt;=8,IF('Model inputs'!F55="","",'Model inputs'!F55&lt;=8))="",FALSE,IF(ISERROR('Model inputs'!F55&lt;=8),'Model inputs'!F55&lt;=8,IF('Model inputs'!F55="","",'Model inputs'!F55&lt;=8))),IF('Model inputs'!AG52="","",'Model inputs'!AG52),IF('Model inputs'!AG48="","",'Model inputs'!AG48))))))</f>
        <v>0</v>
      </c>
      <c r="G79" s="10">
        <f>IF(IF(IF(ISERROR('Model inputs'!G55&lt;1),'Model inputs'!G55&lt;1,IF('Model inputs'!G55="","",'Model inputs'!G55&lt;1))="",FALSE,IF(ISERROR('Model inputs'!G55&lt;1),'Model inputs'!G55&lt;1,IF('Model inputs'!G55="","",'Model inputs'!G55&lt;1))),0,IF(IF(IF(ISERROR('Model inputs'!G55=1),'Model inputs'!G55=1,IF('Model inputs'!G55="","",'Model inputs'!G55=1))="",FALSE,IF(ISERROR('Model inputs'!G55=1),'Model inputs'!G55=1,IF('Model inputs'!G55="","",'Model inputs'!G55=1))),IF('Model inputs'!AG71="","",'Model inputs'!AG71),'Model inputs'!F79*(1+IF(IF(IF(IF(ISERROR('Model inputs'!G55&lt;=8),'Model inputs'!G55&lt;=8,IF('Model inputs'!G55="","",'Model inputs'!G55&lt;=8))="",FALSE,IF(ISERROR('Model inputs'!G55&lt;=8),'Model inputs'!G55&lt;=8,IF('Model inputs'!G55="","",'Model inputs'!G55&lt;=8))),IF('Model inputs'!AG52="","",'Model inputs'!AG52),IF('Model inputs'!AG48="","",'Model inputs'!AG48))="",0,IF(IF(IF(ISERROR('Model inputs'!G55&lt;=8),'Model inputs'!G55&lt;=8,IF('Model inputs'!G55="","",'Model inputs'!G55&lt;=8))="",FALSE,IF(ISERROR('Model inputs'!G55&lt;=8),'Model inputs'!G55&lt;=8,IF('Model inputs'!G55="","",'Model inputs'!G55&lt;=8))),IF('Model inputs'!AG52="","",'Model inputs'!AG52),IF('Model inputs'!AG48="","",'Model inputs'!AG48))))))</f>
        <v>0</v>
      </c>
      <c r="H79" s="10">
        <f>IF(IF(IF(ISERROR('Model inputs'!H55&lt;1),'Model inputs'!H55&lt;1,IF('Model inputs'!H55="","",'Model inputs'!H55&lt;1))="",FALSE,IF(ISERROR('Model inputs'!H55&lt;1),'Model inputs'!H55&lt;1,IF('Model inputs'!H55="","",'Model inputs'!H55&lt;1))),0,IF(IF(IF(ISERROR('Model inputs'!H55=1),'Model inputs'!H55=1,IF('Model inputs'!H55="","",'Model inputs'!H55=1))="",FALSE,IF(ISERROR('Model inputs'!H55=1),'Model inputs'!H55=1,IF('Model inputs'!H55="","",'Model inputs'!H55=1))),IF('Model inputs'!AG71="","",'Model inputs'!AG71),'Model inputs'!G79*(1+IF(IF(IF(IF(ISERROR('Model inputs'!H55&lt;=8),'Model inputs'!H55&lt;=8,IF('Model inputs'!H55="","",'Model inputs'!H55&lt;=8))="",FALSE,IF(ISERROR('Model inputs'!H55&lt;=8),'Model inputs'!H55&lt;=8,IF('Model inputs'!H55="","",'Model inputs'!H55&lt;=8))),IF('Model inputs'!AG52="","",'Model inputs'!AG52),IF('Model inputs'!AG48="","",'Model inputs'!AG48))="",0,IF(IF(IF(ISERROR('Model inputs'!H55&lt;=8),'Model inputs'!H55&lt;=8,IF('Model inputs'!H55="","",'Model inputs'!H55&lt;=8))="",FALSE,IF(ISERROR('Model inputs'!H55&lt;=8),'Model inputs'!H55&lt;=8,IF('Model inputs'!H55="","",'Model inputs'!H55&lt;=8))),IF('Model inputs'!AG52="","",'Model inputs'!AG52),IF('Model inputs'!AG48="","",'Model inputs'!AG48))))))</f>
        <v>0</v>
      </c>
      <c r="I79" s="10">
        <f>IF(IF(IF(ISERROR('Model inputs'!I55&lt;1),'Model inputs'!I55&lt;1,IF('Model inputs'!I55="","",'Model inputs'!I55&lt;1))="",FALSE,IF(ISERROR('Model inputs'!I55&lt;1),'Model inputs'!I55&lt;1,IF('Model inputs'!I55="","",'Model inputs'!I55&lt;1))),0,IF(IF(IF(ISERROR('Model inputs'!I55=1),'Model inputs'!I55=1,IF('Model inputs'!I55="","",'Model inputs'!I55=1))="",FALSE,IF(ISERROR('Model inputs'!I55=1),'Model inputs'!I55=1,IF('Model inputs'!I55="","",'Model inputs'!I55=1))),IF('Model inputs'!AG71="","",'Model inputs'!AG71),'Model inputs'!H79*(1+IF(IF(IF(IF(ISERROR('Model inputs'!I55&lt;=8),'Model inputs'!I55&lt;=8,IF('Model inputs'!I55="","",'Model inputs'!I55&lt;=8))="",FALSE,IF(ISERROR('Model inputs'!I55&lt;=8),'Model inputs'!I55&lt;=8,IF('Model inputs'!I55="","",'Model inputs'!I55&lt;=8))),IF('Model inputs'!AG52="","",'Model inputs'!AG52),IF('Model inputs'!AG48="","",'Model inputs'!AG48))="",0,IF(IF(IF(ISERROR('Model inputs'!I55&lt;=8),'Model inputs'!I55&lt;=8,IF('Model inputs'!I55="","",'Model inputs'!I55&lt;=8))="",FALSE,IF(ISERROR('Model inputs'!I55&lt;=8),'Model inputs'!I55&lt;=8,IF('Model inputs'!I55="","",'Model inputs'!I55&lt;=8))),IF('Model inputs'!AG52="","",'Model inputs'!AG52),IF('Model inputs'!AG48="","",'Model inputs'!AG48))))))</f>
        <v>0</v>
      </c>
      <c r="J79" s="10">
        <f>IF(IF(IF(ISERROR('Model inputs'!J55&lt;1),'Model inputs'!J55&lt;1,IF('Model inputs'!J55="","",'Model inputs'!J55&lt;1))="",FALSE,IF(ISERROR('Model inputs'!J55&lt;1),'Model inputs'!J55&lt;1,IF('Model inputs'!J55="","",'Model inputs'!J55&lt;1))),0,IF(IF(IF(ISERROR('Model inputs'!J55=1),'Model inputs'!J55=1,IF('Model inputs'!J55="","",'Model inputs'!J55=1))="",FALSE,IF(ISERROR('Model inputs'!J55=1),'Model inputs'!J55=1,IF('Model inputs'!J55="","",'Model inputs'!J55=1))),IF('Model inputs'!AG71="","",'Model inputs'!AG71),'Model inputs'!I79*(1+IF(IF(IF(IF(ISERROR('Model inputs'!J55&lt;=8),'Model inputs'!J55&lt;=8,IF('Model inputs'!J55="","",'Model inputs'!J55&lt;=8))="",FALSE,IF(ISERROR('Model inputs'!J55&lt;=8),'Model inputs'!J55&lt;=8,IF('Model inputs'!J55="","",'Model inputs'!J55&lt;=8))),IF('Model inputs'!AG52="","",'Model inputs'!AG52),IF('Model inputs'!AG48="","",'Model inputs'!AG48))="",0,IF(IF(IF(ISERROR('Model inputs'!J55&lt;=8),'Model inputs'!J55&lt;=8,IF('Model inputs'!J55="","",'Model inputs'!J55&lt;=8))="",FALSE,IF(ISERROR('Model inputs'!J55&lt;=8),'Model inputs'!J55&lt;=8,IF('Model inputs'!J55="","",'Model inputs'!J55&lt;=8))),IF('Model inputs'!AG52="","",'Model inputs'!AG52),IF('Model inputs'!AG48="","",'Model inputs'!AG48))))))</f>
        <v>0</v>
      </c>
      <c r="K79" s="10">
        <f>IF(IF(IF(ISERROR('Model inputs'!K55&lt;1),'Model inputs'!K55&lt;1,IF('Model inputs'!K55="","",'Model inputs'!K55&lt;1))="",FALSE,IF(ISERROR('Model inputs'!K55&lt;1),'Model inputs'!K55&lt;1,IF('Model inputs'!K55="","",'Model inputs'!K55&lt;1))),0,IF(IF(IF(ISERROR('Model inputs'!K55=1),'Model inputs'!K55=1,IF('Model inputs'!K55="","",'Model inputs'!K55=1))="",FALSE,IF(ISERROR('Model inputs'!K55=1),'Model inputs'!K55=1,IF('Model inputs'!K55="","",'Model inputs'!K55=1))),IF('Model inputs'!AG71="","",'Model inputs'!AG71),'Model inputs'!J79*(1+IF(IF(IF(IF(ISERROR('Model inputs'!K55&lt;=8),'Model inputs'!K55&lt;=8,IF('Model inputs'!K55="","",'Model inputs'!K55&lt;=8))="",FALSE,IF(ISERROR('Model inputs'!K55&lt;=8),'Model inputs'!K55&lt;=8,IF('Model inputs'!K55="","",'Model inputs'!K55&lt;=8))),IF('Model inputs'!AG52="","",'Model inputs'!AG52),IF('Model inputs'!AG48="","",'Model inputs'!AG48))="",0,IF(IF(IF(ISERROR('Model inputs'!K55&lt;=8),'Model inputs'!K55&lt;=8,IF('Model inputs'!K55="","",'Model inputs'!K55&lt;=8))="",FALSE,IF(ISERROR('Model inputs'!K55&lt;=8),'Model inputs'!K55&lt;=8,IF('Model inputs'!K55="","",'Model inputs'!K55&lt;=8))),IF('Model inputs'!AG52="","",'Model inputs'!AG52),IF('Model inputs'!AG48="","",'Model inputs'!AG48))))))</f>
        <v>0</v>
      </c>
      <c r="L79" s="10">
        <f>IF(IF(IF(ISERROR('Model inputs'!L55&lt;1),'Model inputs'!L55&lt;1,IF('Model inputs'!L55="","",'Model inputs'!L55&lt;1))="",FALSE,IF(ISERROR('Model inputs'!L55&lt;1),'Model inputs'!L55&lt;1,IF('Model inputs'!L55="","",'Model inputs'!L55&lt;1))),0,IF(IF(IF(ISERROR('Model inputs'!L55=1),'Model inputs'!L55=1,IF('Model inputs'!L55="","",'Model inputs'!L55=1))="",FALSE,IF(ISERROR('Model inputs'!L55=1),'Model inputs'!L55=1,IF('Model inputs'!L55="","",'Model inputs'!L55=1))),IF('Model inputs'!AG71="","",'Model inputs'!AG71),'Model inputs'!K79*(1+IF(IF(IF(IF(ISERROR('Model inputs'!L55&lt;=8),'Model inputs'!L55&lt;=8,IF('Model inputs'!L55="","",'Model inputs'!L55&lt;=8))="",FALSE,IF(ISERROR('Model inputs'!L55&lt;=8),'Model inputs'!L55&lt;=8,IF('Model inputs'!L55="","",'Model inputs'!L55&lt;=8))),IF('Model inputs'!AG52="","",'Model inputs'!AG52),IF('Model inputs'!AG48="","",'Model inputs'!AG48))="",0,IF(IF(IF(ISERROR('Model inputs'!L55&lt;=8),'Model inputs'!L55&lt;=8,IF('Model inputs'!L55="","",'Model inputs'!L55&lt;=8))="",FALSE,IF(ISERROR('Model inputs'!L55&lt;=8),'Model inputs'!L55&lt;=8,IF('Model inputs'!L55="","",'Model inputs'!L55&lt;=8))),IF('Model inputs'!AG52="","",'Model inputs'!AG52),IF('Model inputs'!AG48="","",'Model inputs'!AG48))))))</f>
        <v>0</v>
      </c>
      <c r="M79" s="10">
        <f>IF(IF(IF(ISERROR('Model inputs'!M55&lt;1),'Model inputs'!M55&lt;1,IF('Model inputs'!M55="","",'Model inputs'!M55&lt;1))="",FALSE,IF(ISERROR('Model inputs'!M55&lt;1),'Model inputs'!M55&lt;1,IF('Model inputs'!M55="","",'Model inputs'!M55&lt;1))),0,IF(IF(IF(ISERROR('Model inputs'!M55=1),'Model inputs'!M55=1,IF('Model inputs'!M55="","",'Model inputs'!M55=1))="",FALSE,IF(ISERROR('Model inputs'!M55=1),'Model inputs'!M55=1,IF('Model inputs'!M55="","",'Model inputs'!M55=1))),IF('Model inputs'!AG71="","",'Model inputs'!AG71),'Model inputs'!L79*(1+IF(IF(IF(IF(ISERROR('Model inputs'!M55&lt;=8),'Model inputs'!M55&lt;=8,IF('Model inputs'!M55="","",'Model inputs'!M55&lt;=8))="",FALSE,IF(ISERROR('Model inputs'!M55&lt;=8),'Model inputs'!M55&lt;=8,IF('Model inputs'!M55="","",'Model inputs'!M55&lt;=8))),IF('Model inputs'!AG52="","",'Model inputs'!AG52),IF('Model inputs'!AG48="","",'Model inputs'!AG48))="",0,IF(IF(IF(ISERROR('Model inputs'!M55&lt;=8),'Model inputs'!M55&lt;=8,IF('Model inputs'!M55="","",'Model inputs'!M55&lt;=8))="",FALSE,IF(ISERROR('Model inputs'!M55&lt;=8),'Model inputs'!M55&lt;=8,IF('Model inputs'!M55="","",'Model inputs'!M55&lt;=8))),IF('Model inputs'!AG52="","",'Model inputs'!AG52),IF('Model inputs'!AG48="","",'Model inputs'!AG48))))))</f>
        <v>0</v>
      </c>
      <c r="N79" s="10">
        <f>IF(IF(IF(ISERROR('Model inputs'!N55&lt;1),'Model inputs'!N55&lt;1,IF('Model inputs'!N55="","",'Model inputs'!N55&lt;1))="",FALSE,IF(ISERROR('Model inputs'!N55&lt;1),'Model inputs'!N55&lt;1,IF('Model inputs'!N55="","",'Model inputs'!N55&lt;1))),0,IF(IF(IF(ISERROR('Model inputs'!N55=1),'Model inputs'!N55=1,IF('Model inputs'!N55="","",'Model inputs'!N55=1))="",FALSE,IF(ISERROR('Model inputs'!N55=1),'Model inputs'!N55=1,IF('Model inputs'!N55="","",'Model inputs'!N55=1))),IF('Model inputs'!AG71="","",'Model inputs'!AG71),'Model inputs'!M79*(1+IF(IF(IF(IF(ISERROR('Model inputs'!N55&lt;=8),'Model inputs'!N55&lt;=8,IF('Model inputs'!N55="","",'Model inputs'!N55&lt;=8))="",FALSE,IF(ISERROR('Model inputs'!N55&lt;=8),'Model inputs'!N55&lt;=8,IF('Model inputs'!N55="","",'Model inputs'!N55&lt;=8))),IF('Model inputs'!AG52="","",'Model inputs'!AG52),IF('Model inputs'!AG48="","",'Model inputs'!AG48))="",0,IF(IF(IF(ISERROR('Model inputs'!N55&lt;=8),'Model inputs'!N55&lt;=8,IF('Model inputs'!N55="","",'Model inputs'!N55&lt;=8))="",FALSE,IF(ISERROR('Model inputs'!N55&lt;=8),'Model inputs'!N55&lt;=8,IF('Model inputs'!N55="","",'Model inputs'!N55&lt;=8))),IF('Model inputs'!AG52="","",'Model inputs'!AG52),IF('Model inputs'!AG48="","",'Model inputs'!AG48))))))</f>
        <v>0</v>
      </c>
      <c r="O79" s="10">
        <f>IF(IF(IF(ISERROR('Model inputs'!O55&lt;1),'Model inputs'!O55&lt;1,IF('Model inputs'!O55="","",'Model inputs'!O55&lt;1))="",FALSE,IF(ISERROR('Model inputs'!O55&lt;1),'Model inputs'!O55&lt;1,IF('Model inputs'!O55="","",'Model inputs'!O55&lt;1))),0,IF(IF(IF(ISERROR('Model inputs'!O55=1),'Model inputs'!O55=1,IF('Model inputs'!O55="","",'Model inputs'!O55=1))="",FALSE,IF(ISERROR('Model inputs'!O55=1),'Model inputs'!O55=1,IF('Model inputs'!O55="","",'Model inputs'!O55=1))),IF('Model inputs'!AG71="","",'Model inputs'!AG71),'Model inputs'!N79*(1+IF(IF(IF(IF(ISERROR('Model inputs'!O55&lt;=8),'Model inputs'!O55&lt;=8,IF('Model inputs'!O55="","",'Model inputs'!O55&lt;=8))="",FALSE,IF(ISERROR('Model inputs'!O55&lt;=8),'Model inputs'!O55&lt;=8,IF('Model inputs'!O55="","",'Model inputs'!O55&lt;=8))),IF('Model inputs'!AG52="","",'Model inputs'!AG52),IF('Model inputs'!AG48="","",'Model inputs'!AG48))="",0,IF(IF(IF(ISERROR('Model inputs'!O55&lt;=8),'Model inputs'!O55&lt;=8,IF('Model inputs'!O55="","",'Model inputs'!O55&lt;=8))="",FALSE,IF(ISERROR('Model inputs'!O55&lt;=8),'Model inputs'!O55&lt;=8,IF('Model inputs'!O55="","",'Model inputs'!O55&lt;=8))),IF('Model inputs'!AG52="","",'Model inputs'!AG52),IF('Model inputs'!AG48="","",'Model inputs'!AG48))))))</f>
        <v>0</v>
      </c>
      <c r="P79" s="10">
        <f>IF(IF(IF(ISERROR('Model inputs'!P55&lt;1),'Model inputs'!P55&lt;1,IF('Model inputs'!P55="","",'Model inputs'!P55&lt;1))="",FALSE,IF(ISERROR('Model inputs'!P55&lt;1),'Model inputs'!P55&lt;1,IF('Model inputs'!P55="","",'Model inputs'!P55&lt;1))),0,IF(IF(IF(ISERROR('Model inputs'!P55=1),'Model inputs'!P55=1,IF('Model inputs'!P55="","",'Model inputs'!P55=1))="",FALSE,IF(ISERROR('Model inputs'!P55=1),'Model inputs'!P55=1,IF('Model inputs'!P55="","",'Model inputs'!P55=1))),IF('Model inputs'!AG71="","",'Model inputs'!AG71),'Model inputs'!O79*(1+IF(IF(IF(IF(ISERROR('Model inputs'!P55&lt;=8),'Model inputs'!P55&lt;=8,IF('Model inputs'!P55="","",'Model inputs'!P55&lt;=8))="",FALSE,IF(ISERROR('Model inputs'!P55&lt;=8),'Model inputs'!P55&lt;=8,IF('Model inputs'!P55="","",'Model inputs'!P55&lt;=8))),IF('Model inputs'!AG52="","",'Model inputs'!AG52),IF('Model inputs'!AG48="","",'Model inputs'!AG48))="",0,IF(IF(IF(ISERROR('Model inputs'!P55&lt;=8),'Model inputs'!P55&lt;=8,IF('Model inputs'!P55="","",'Model inputs'!P55&lt;=8))="",FALSE,IF(ISERROR('Model inputs'!P55&lt;=8),'Model inputs'!P55&lt;=8,IF('Model inputs'!P55="","",'Model inputs'!P55&lt;=8))),IF('Model inputs'!AG52="","",'Model inputs'!AG52),IF('Model inputs'!AG48="","",'Model inputs'!AG48))))))</f>
        <v>3</v>
      </c>
      <c r="Q79" s="10">
        <f>IF(IF(IF(ISERROR('Model inputs'!Q55&lt;1),'Model inputs'!Q55&lt;1,IF('Model inputs'!Q55="","",'Model inputs'!Q55&lt;1))="",FALSE,IF(ISERROR('Model inputs'!Q55&lt;1),'Model inputs'!Q55&lt;1,IF('Model inputs'!Q55="","",'Model inputs'!Q55&lt;1))),0,IF(IF(IF(ISERROR('Model inputs'!Q55=1),'Model inputs'!Q55=1,IF('Model inputs'!Q55="","",'Model inputs'!Q55=1))="",FALSE,IF(ISERROR('Model inputs'!Q55=1),'Model inputs'!Q55=1,IF('Model inputs'!Q55="","",'Model inputs'!Q55=1))),IF('Model inputs'!AG71="","",'Model inputs'!AG71),'Model inputs'!P79*(1+IF(IF(IF(IF(ISERROR('Model inputs'!Q55&lt;=8),'Model inputs'!Q55&lt;=8,IF('Model inputs'!Q55="","",'Model inputs'!Q55&lt;=8))="",FALSE,IF(ISERROR('Model inputs'!Q55&lt;=8),'Model inputs'!Q55&lt;=8,IF('Model inputs'!Q55="","",'Model inputs'!Q55&lt;=8))),IF('Model inputs'!AG52="","",'Model inputs'!AG52),IF('Model inputs'!AG48="","",'Model inputs'!AG48))="",0,IF(IF(IF(ISERROR('Model inputs'!Q55&lt;=8),'Model inputs'!Q55&lt;=8,IF('Model inputs'!Q55="","",'Model inputs'!Q55&lt;=8))="",FALSE,IF(ISERROR('Model inputs'!Q55&lt;=8),'Model inputs'!Q55&lt;=8,IF('Model inputs'!Q55="","",'Model inputs'!Q55&lt;=8))),IF('Model inputs'!AG52="","",'Model inputs'!AG52),IF('Model inputs'!AG48="","",'Model inputs'!AG48))))))</f>
        <v>3.3000000000000003</v>
      </c>
      <c r="R79" s="10">
        <f>IF(IF(IF(ISERROR('Model inputs'!R55&lt;1),'Model inputs'!R55&lt;1,IF('Model inputs'!R55="","",'Model inputs'!R55&lt;1))="",FALSE,IF(ISERROR('Model inputs'!R55&lt;1),'Model inputs'!R55&lt;1,IF('Model inputs'!R55="","",'Model inputs'!R55&lt;1))),0,IF(IF(IF(ISERROR('Model inputs'!R55=1),'Model inputs'!R55=1,IF('Model inputs'!R55="","",'Model inputs'!R55=1))="",FALSE,IF(ISERROR('Model inputs'!R55=1),'Model inputs'!R55=1,IF('Model inputs'!R55="","",'Model inputs'!R55=1))),IF('Model inputs'!AG71="","",'Model inputs'!AG71),'Model inputs'!Q79*(1+IF(IF(IF(IF(ISERROR('Model inputs'!R55&lt;=8),'Model inputs'!R55&lt;=8,IF('Model inputs'!R55="","",'Model inputs'!R55&lt;=8))="",FALSE,IF(ISERROR('Model inputs'!R55&lt;=8),'Model inputs'!R55&lt;=8,IF('Model inputs'!R55="","",'Model inputs'!R55&lt;=8))),IF('Model inputs'!AG52="","",'Model inputs'!AG52),IF('Model inputs'!AG48="","",'Model inputs'!AG48))="",0,IF(IF(IF(ISERROR('Model inputs'!R55&lt;=8),'Model inputs'!R55&lt;=8,IF('Model inputs'!R55="","",'Model inputs'!R55&lt;=8))="",FALSE,IF(ISERROR('Model inputs'!R55&lt;=8),'Model inputs'!R55&lt;=8,IF('Model inputs'!R55="","",'Model inputs'!R55&lt;=8))),IF('Model inputs'!AG52="","",'Model inputs'!AG52),IF('Model inputs'!AG48="","",'Model inputs'!AG48))))))</f>
        <v>3.630000000000001</v>
      </c>
      <c r="S79" s="10">
        <f>IF(IF(IF(ISERROR('Model inputs'!S55&lt;1),'Model inputs'!S55&lt;1,IF('Model inputs'!S55="","",'Model inputs'!S55&lt;1))="",FALSE,IF(ISERROR('Model inputs'!S55&lt;1),'Model inputs'!S55&lt;1,IF('Model inputs'!S55="","",'Model inputs'!S55&lt;1))),0,IF(IF(IF(ISERROR('Model inputs'!S55=1),'Model inputs'!S55=1,IF('Model inputs'!S55="","",'Model inputs'!S55=1))="",FALSE,IF(ISERROR('Model inputs'!S55=1),'Model inputs'!S55=1,IF('Model inputs'!S55="","",'Model inputs'!S55=1))),IF('Model inputs'!AG71="","",'Model inputs'!AG71),'Model inputs'!R79*(1+IF(IF(IF(IF(ISERROR('Model inputs'!S55&lt;=8),'Model inputs'!S55&lt;=8,IF('Model inputs'!S55="","",'Model inputs'!S55&lt;=8))="",FALSE,IF(ISERROR('Model inputs'!S55&lt;=8),'Model inputs'!S55&lt;=8,IF('Model inputs'!S55="","",'Model inputs'!S55&lt;=8))),IF('Model inputs'!AG52="","",'Model inputs'!AG52),IF('Model inputs'!AG48="","",'Model inputs'!AG48))="",0,IF(IF(IF(ISERROR('Model inputs'!S55&lt;=8),'Model inputs'!S55&lt;=8,IF('Model inputs'!S55="","",'Model inputs'!S55&lt;=8))="",FALSE,IF(ISERROR('Model inputs'!S55&lt;=8),'Model inputs'!S55&lt;=8,IF('Model inputs'!S55="","",'Model inputs'!S55&lt;=8))),IF('Model inputs'!AG52="","",'Model inputs'!AG52),IF('Model inputs'!AG48="","",'Model inputs'!AG48))))))</f>
        <v>3.993000000000001</v>
      </c>
      <c r="T79" s="10">
        <f>IF(IF(IF(ISERROR('Model inputs'!T55&lt;1),'Model inputs'!T55&lt;1,IF('Model inputs'!T55="","",'Model inputs'!T55&lt;1))="",FALSE,IF(ISERROR('Model inputs'!T55&lt;1),'Model inputs'!T55&lt;1,IF('Model inputs'!T55="","",'Model inputs'!T55&lt;1))),0,IF(IF(IF(ISERROR('Model inputs'!T55=1),'Model inputs'!T55=1,IF('Model inputs'!T55="","",'Model inputs'!T55=1))="",FALSE,IF(ISERROR('Model inputs'!T55=1),'Model inputs'!T55=1,IF('Model inputs'!T55="","",'Model inputs'!T55=1))),IF('Model inputs'!AG71="","",'Model inputs'!AG71),'Model inputs'!S79*(1+IF(IF(IF(IF(ISERROR('Model inputs'!T55&lt;=8),'Model inputs'!T55&lt;=8,IF('Model inputs'!T55="","",'Model inputs'!T55&lt;=8))="",FALSE,IF(ISERROR('Model inputs'!T55&lt;=8),'Model inputs'!T55&lt;=8,IF('Model inputs'!T55="","",'Model inputs'!T55&lt;=8))),IF('Model inputs'!AG52="","",'Model inputs'!AG52),IF('Model inputs'!AG48="","",'Model inputs'!AG48))="",0,IF(IF(IF(ISERROR('Model inputs'!T55&lt;=8),'Model inputs'!T55&lt;=8,IF('Model inputs'!T55="","",'Model inputs'!T55&lt;=8))="",FALSE,IF(ISERROR('Model inputs'!T55&lt;=8),'Model inputs'!T55&lt;=8,IF('Model inputs'!T55="","",'Model inputs'!T55&lt;=8))),IF('Model inputs'!AG52="","",'Model inputs'!AG52),IF('Model inputs'!AG48="","",'Model inputs'!AG48))))))</f>
        <v>4.392300000000001</v>
      </c>
      <c r="U79" s="10">
        <f>IF(IF(IF(ISERROR('Model inputs'!U55&lt;1),'Model inputs'!U55&lt;1,IF('Model inputs'!U55="","",'Model inputs'!U55&lt;1))="",FALSE,IF(ISERROR('Model inputs'!U55&lt;1),'Model inputs'!U55&lt;1,IF('Model inputs'!U55="","",'Model inputs'!U55&lt;1))),0,IF(IF(IF(ISERROR('Model inputs'!U55=1),'Model inputs'!U55=1,IF('Model inputs'!U55="","",'Model inputs'!U55=1))="",FALSE,IF(ISERROR('Model inputs'!U55=1),'Model inputs'!U55=1,IF('Model inputs'!U55="","",'Model inputs'!U55=1))),IF('Model inputs'!AG71="","",'Model inputs'!AG71),'Model inputs'!T79*(1+IF(IF(IF(IF(ISERROR('Model inputs'!U55&lt;=8),'Model inputs'!U55&lt;=8,IF('Model inputs'!U55="","",'Model inputs'!U55&lt;=8))="",FALSE,IF(ISERROR('Model inputs'!U55&lt;=8),'Model inputs'!U55&lt;=8,IF('Model inputs'!U55="","",'Model inputs'!U55&lt;=8))),IF('Model inputs'!AG52="","",'Model inputs'!AG52),IF('Model inputs'!AG48="","",'Model inputs'!AG48))="",0,IF(IF(IF(ISERROR('Model inputs'!U55&lt;=8),'Model inputs'!U55&lt;=8,IF('Model inputs'!U55="","",'Model inputs'!U55&lt;=8))="",FALSE,IF(ISERROR('Model inputs'!U55&lt;=8),'Model inputs'!U55&lt;=8,IF('Model inputs'!U55="","",'Model inputs'!U55&lt;=8))),IF('Model inputs'!AG52="","",'Model inputs'!AG52),IF('Model inputs'!AG48="","",'Model inputs'!AG48))))))</f>
        <v>4.831530000000002</v>
      </c>
      <c r="V79" s="10">
        <f>IF(IF(IF(ISERROR('Model inputs'!V55&lt;1),'Model inputs'!V55&lt;1,IF('Model inputs'!V55="","",'Model inputs'!V55&lt;1))="",FALSE,IF(ISERROR('Model inputs'!V55&lt;1),'Model inputs'!V55&lt;1,IF('Model inputs'!V55="","",'Model inputs'!V55&lt;1))),0,IF(IF(IF(ISERROR('Model inputs'!V55=1),'Model inputs'!V55=1,IF('Model inputs'!V55="","",'Model inputs'!V55=1))="",FALSE,IF(ISERROR('Model inputs'!V55=1),'Model inputs'!V55=1,IF('Model inputs'!V55="","",'Model inputs'!V55=1))),IF('Model inputs'!AG71="","",'Model inputs'!AG71),'Model inputs'!U79*(1+IF(IF(IF(IF(ISERROR('Model inputs'!V55&lt;=8),'Model inputs'!V55&lt;=8,IF('Model inputs'!V55="","",'Model inputs'!V55&lt;=8))="",FALSE,IF(ISERROR('Model inputs'!V55&lt;=8),'Model inputs'!V55&lt;=8,IF('Model inputs'!V55="","",'Model inputs'!V55&lt;=8))),IF('Model inputs'!AG52="","",'Model inputs'!AG52),IF('Model inputs'!AG48="","",'Model inputs'!AG48))="",0,IF(IF(IF(ISERROR('Model inputs'!V55&lt;=8),'Model inputs'!V55&lt;=8,IF('Model inputs'!V55="","",'Model inputs'!V55&lt;=8))="",FALSE,IF(ISERROR('Model inputs'!V55&lt;=8),'Model inputs'!V55&lt;=8,IF('Model inputs'!V55="","",'Model inputs'!V55&lt;=8))),IF('Model inputs'!AG52="","",'Model inputs'!AG52),IF('Model inputs'!AG48="","",'Model inputs'!AG48))))))</f>
        <v>5.314683000000002</v>
      </c>
      <c r="W79" s="10">
        <f>IF(IF(IF(ISERROR('Model inputs'!W55&lt;1),'Model inputs'!W55&lt;1,IF('Model inputs'!W55="","",'Model inputs'!W55&lt;1))="",FALSE,IF(ISERROR('Model inputs'!W55&lt;1),'Model inputs'!W55&lt;1,IF('Model inputs'!W55="","",'Model inputs'!W55&lt;1))),0,IF(IF(IF(ISERROR('Model inputs'!W55=1),'Model inputs'!W55=1,IF('Model inputs'!W55="","",'Model inputs'!W55=1))="",FALSE,IF(ISERROR('Model inputs'!W55=1),'Model inputs'!W55=1,IF('Model inputs'!W55="","",'Model inputs'!W55=1))),IF('Model inputs'!AG71="","",'Model inputs'!AG71),'Model inputs'!V79*(1+IF(IF(IF(IF(ISERROR('Model inputs'!W55&lt;=8),'Model inputs'!W55&lt;=8,IF('Model inputs'!W55="","",'Model inputs'!W55&lt;=8))="",FALSE,IF(ISERROR('Model inputs'!W55&lt;=8),'Model inputs'!W55&lt;=8,IF('Model inputs'!W55="","",'Model inputs'!W55&lt;=8))),IF('Model inputs'!AG52="","",'Model inputs'!AG52),IF('Model inputs'!AG48="","",'Model inputs'!AG48))="",0,IF(IF(IF(ISERROR('Model inputs'!W55&lt;=8),'Model inputs'!W55&lt;=8,IF('Model inputs'!W55="","",'Model inputs'!W55&lt;=8))="",FALSE,IF(ISERROR('Model inputs'!W55&lt;=8),'Model inputs'!W55&lt;=8,IF('Model inputs'!W55="","",'Model inputs'!W55&lt;=8))),IF('Model inputs'!AG52="","",'Model inputs'!AG52),IF('Model inputs'!AG48="","",'Model inputs'!AG48))))))</f>
        <v>5.846151300000003</v>
      </c>
      <c r="X79" s="10">
        <f>IF(IF(IF(ISERROR('Model inputs'!X55&lt;1),'Model inputs'!X55&lt;1,IF('Model inputs'!X55="","",'Model inputs'!X55&lt;1))="",FALSE,IF(ISERROR('Model inputs'!X55&lt;1),'Model inputs'!X55&lt;1,IF('Model inputs'!X55="","",'Model inputs'!X55&lt;1))),0,IF(IF(IF(ISERROR('Model inputs'!X55=1),'Model inputs'!X55=1,IF('Model inputs'!X55="","",'Model inputs'!X55=1))="",FALSE,IF(ISERROR('Model inputs'!X55=1),'Model inputs'!X55=1,IF('Model inputs'!X55="","",'Model inputs'!X55=1))),IF('Model inputs'!AG71="","",'Model inputs'!AG71),'Model inputs'!W79*(1+IF(IF(IF(IF(ISERROR('Model inputs'!X55&lt;=8),'Model inputs'!X55&lt;=8,IF('Model inputs'!X55="","",'Model inputs'!X55&lt;=8))="",FALSE,IF(ISERROR('Model inputs'!X55&lt;=8),'Model inputs'!X55&lt;=8,IF('Model inputs'!X55="","",'Model inputs'!X55&lt;=8))),IF('Model inputs'!AG52="","",'Model inputs'!AG52),IF('Model inputs'!AG48="","",'Model inputs'!AG48))="",0,IF(IF(IF(ISERROR('Model inputs'!X55&lt;=8),'Model inputs'!X55&lt;=8,IF('Model inputs'!X55="","",'Model inputs'!X55&lt;=8))="",FALSE,IF(ISERROR('Model inputs'!X55&lt;=8),'Model inputs'!X55&lt;=8,IF('Model inputs'!X55="","",'Model inputs'!X55&lt;=8))),IF('Model inputs'!AG52="","",'Model inputs'!AG52),IF('Model inputs'!AG48="","",'Model inputs'!AG48))))))</f>
        <v>6.079997352000004</v>
      </c>
      <c r="Y79" s="10">
        <f>IF(IF(IF(ISERROR('Model inputs'!Y55&lt;1),'Model inputs'!Y55&lt;1,IF('Model inputs'!Y55="","",'Model inputs'!Y55&lt;1))="",FALSE,IF(ISERROR('Model inputs'!Y55&lt;1),'Model inputs'!Y55&lt;1,IF('Model inputs'!Y55="","",'Model inputs'!Y55&lt;1))),0,IF(IF(IF(ISERROR('Model inputs'!Y55=1),'Model inputs'!Y55=1,IF('Model inputs'!Y55="","",'Model inputs'!Y55=1))="",FALSE,IF(ISERROR('Model inputs'!Y55=1),'Model inputs'!Y55=1,IF('Model inputs'!Y55="","",'Model inputs'!Y55=1))),IF('Model inputs'!AG71="","",'Model inputs'!AG71),'Model inputs'!X79*(1+IF(IF(IF(IF(ISERROR('Model inputs'!Y55&lt;=8),'Model inputs'!Y55&lt;=8,IF('Model inputs'!Y55="","",'Model inputs'!Y55&lt;=8))="",FALSE,IF(ISERROR('Model inputs'!Y55&lt;=8),'Model inputs'!Y55&lt;=8,IF('Model inputs'!Y55="","",'Model inputs'!Y55&lt;=8))),IF('Model inputs'!AG52="","",'Model inputs'!AG52),IF('Model inputs'!AG48="","",'Model inputs'!AG48))="",0,IF(IF(IF(ISERROR('Model inputs'!Y55&lt;=8),'Model inputs'!Y55&lt;=8,IF('Model inputs'!Y55="","",'Model inputs'!Y55&lt;=8))="",FALSE,IF(ISERROR('Model inputs'!Y55&lt;=8),'Model inputs'!Y55&lt;=8,IF('Model inputs'!Y55="","",'Model inputs'!Y55&lt;=8))),IF('Model inputs'!AG52="","",'Model inputs'!AG52),IF('Model inputs'!AG48="","",'Model inputs'!AG48))))))</f>
        <v>6.323197246080004</v>
      </c>
      <c r="Z79" s="10">
        <f>IF(IF(IF(ISERROR('Model inputs'!Z55&lt;1),'Model inputs'!Z55&lt;1,IF('Model inputs'!Z55="","",'Model inputs'!Z55&lt;1))="",FALSE,IF(ISERROR('Model inputs'!Z55&lt;1),'Model inputs'!Z55&lt;1,IF('Model inputs'!Z55="","",'Model inputs'!Z55&lt;1))),0,IF(IF(IF(ISERROR('Model inputs'!Z55=1),'Model inputs'!Z55=1,IF('Model inputs'!Z55="","",'Model inputs'!Z55=1))="",FALSE,IF(ISERROR('Model inputs'!Z55=1),'Model inputs'!Z55=1,IF('Model inputs'!Z55="","",'Model inputs'!Z55=1))),IF('Model inputs'!AG71="","",'Model inputs'!AG71),'Model inputs'!Y79*(1+IF(IF(IF(IF(ISERROR('Model inputs'!Z55&lt;=8),'Model inputs'!Z55&lt;=8,IF('Model inputs'!Z55="","",'Model inputs'!Z55&lt;=8))="",FALSE,IF(ISERROR('Model inputs'!Z55&lt;=8),'Model inputs'!Z55&lt;=8,IF('Model inputs'!Z55="","",'Model inputs'!Z55&lt;=8))),IF('Model inputs'!AG52="","",'Model inputs'!AG52),IF('Model inputs'!AG48="","",'Model inputs'!AG48))="",0,IF(IF(IF(ISERROR('Model inputs'!Z55&lt;=8),'Model inputs'!Z55&lt;=8,IF('Model inputs'!Z55="","",'Model inputs'!Z55&lt;=8))="",FALSE,IF(ISERROR('Model inputs'!Z55&lt;=8),'Model inputs'!Z55&lt;=8,IF('Model inputs'!Z55="","",'Model inputs'!Z55&lt;=8))),IF('Model inputs'!AG52="","",'Model inputs'!AG52),IF('Model inputs'!AG48="","",'Model inputs'!AG48))))))</f>
        <v>6.5761251359232045</v>
      </c>
      <c r="AA79" s="10">
        <f>IF(IF(IF(ISERROR('Model inputs'!AA55&lt;1),'Model inputs'!AA55&lt;1,IF('Model inputs'!AA55="","",'Model inputs'!AA55&lt;1))="",FALSE,IF(ISERROR('Model inputs'!AA55&lt;1),'Model inputs'!AA55&lt;1,IF('Model inputs'!AA55="","",'Model inputs'!AA55&lt;1))),0,IF(IF(IF(ISERROR('Model inputs'!AA55=1),'Model inputs'!AA55=1,IF('Model inputs'!AA55="","",'Model inputs'!AA55=1))="",FALSE,IF(ISERROR('Model inputs'!AA55=1),'Model inputs'!AA55=1,IF('Model inputs'!AA55="","",'Model inputs'!AA55=1))),IF('Model inputs'!AG71="","",'Model inputs'!AG71),'Model inputs'!Z79*(1+IF(IF(IF(IF(ISERROR('Model inputs'!AA55&lt;=8),'Model inputs'!AA55&lt;=8,IF('Model inputs'!AA55="","",'Model inputs'!AA55&lt;=8))="",FALSE,IF(ISERROR('Model inputs'!AA55&lt;=8),'Model inputs'!AA55&lt;=8,IF('Model inputs'!AA55="","",'Model inputs'!AA55&lt;=8))),IF('Model inputs'!AG52="","",'Model inputs'!AG52),IF('Model inputs'!AG48="","",'Model inputs'!AG48))="",0,IF(IF(IF(ISERROR('Model inputs'!AA55&lt;=8),'Model inputs'!AA55&lt;=8,IF('Model inputs'!AA55="","",'Model inputs'!AA55&lt;=8))="",FALSE,IF(ISERROR('Model inputs'!AA55&lt;=8),'Model inputs'!AA55&lt;=8,IF('Model inputs'!AA55="","",'Model inputs'!AA55&lt;=8))),IF('Model inputs'!AG52="","",'Model inputs'!AG52),IF('Model inputs'!AG48="","",'Model inputs'!AG48))))))</f>
        <v>6.839170141360133</v>
      </c>
      <c r="AB79" s="10">
        <f>IF(IF(IF(ISERROR('Model inputs'!AB55&lt;1),'Model inputs'!AB55&lt;1,IF('Model inputs'!AB55="","",'Model inputs'!AB55&lt;1))="",FALSE,IF(ISERROR('Model inputs'!AB55&lt;1),'Model inputs'!AB55&lt;1,IF('Model inputs'!AB55="","",'Model inputs'!AB55&lt;1))),0,IF(IF(IF(ISERROR('Model inputs'!AB55=1),'Model inputs'!AB55=1,IF('Model inputs'!AB55="","",'Model inputs'!AB55=1))="",FALSE,IF(ISERROR('Model inputs'!AB55=1),'Model inputs'!AB55=1,IF('Model inputs'!AB55="","",'Model inputs'!AB55=1))),IF('Model inputs'!AG71="","",'Model inputs'!AG71),'Model inputs'!AA79*(1+IF(IF(IF(IF(ISERROR('Model inputs'!AB55&lt;=8),'Model inputs'!AB55&lt;=8,IF('Model inputs'!AB55="","",'Model inputs'!AB55&lt;=8))="",FALSE,IF(ISERROR('Model inputs'!AB55&lt;=8),'Model inputs'!AB55&lt;=8,IF('Model inputs'!AB55="","",'Model inputs'!AB55&lt;=8))),IF('Model inputs'!AG52="","",'Model inputs'!AG52),IF('Model inputs'!AG48="","",'Model inputs'!AG48))="",0,IF(IF(IF(ISERROR('Model inputs'!AB55&lt;=8),'Model inputs'!AB55&lt;=8,IF('Model inputs'!AB55="","",'Model inputs'!AB55&lt;=8))="",FALSE,IF(ISERROR('Model inputs'!AB55&lt;=8),'Model inputs'!AB55&lt;=8,IF('Model inputs'!AB55="","",'Model inputs'!AB55&lt;=8))),IF('Model inputs'!AG52="","",'Model inputs'!AG52),IF('Model inputs'!AG48="","",'Model inputs'!AG48))))))</f>
        <v>7.112736947014538</v>
      </c>
      <c r="AC79" s="10">
        <f>IF(IF(IF(ISERROR('Model inputs'!AC55&lt;1),'Model inputs'!AC55&lt;1,IF('Model inputs'!AC55="","",'Model inputs'!AC55&lt;1))="",FALSE,IF(ISERROR('Model inputs'!AC55&lt;1),'Model inputs'!AC55&lt;1,IF('Model inputs'!AC55="","",'Model inputs'!AC55&lt;1))),0,IF(IF(IF(ISERROR('Model inputs'!AC55=1),'Model inputs'!AC55=1,IF('Model inputs'!AC55="","",'Model inputs'!AC55=1))="",FALSE,IF(ISERROR('Model inputs'!AC55=1),'Model inputs'!AC55=1,IF('Model inputs'!AC55="","",'Model inputs'!AC55=1))),IF('Model inputs'!AG71="","",'Model inputs'!AG71),'Model inputs'!AB79*(1+IF(IF(IF(IF(ISERROR('Model inputs'!AC55&lt;=8),'Model inputs'!AC55&lt;=8,IF('Model inputs'!AC55="","",'Model inputs'!AC55&lt;=8))="",FALSE,IF(ISERROR('Model inputs'!AC55&lt;=8),'Model inputs'!AC55&lt;=8,IF('Model inputs'!AC55="","",'Model inputs'!AC55&lt;=8))),IF('Model inputs'!AG52="","",'Model inputs'!AG52),IF('Model inputs'!AG48="","",'Model inputs'!AG48))="",0,IF(IF(IF(ISERROR('Model inputs'!AC55&lt;=8),'Model inputs'!AC55&lt;=8,IF('Model inputs'!AC55="","",'Model inputs'!AC55&lt;=8))="",FALSE,IF(ISERROR('Model inputs'!AC55&lt;=8),'Model inputs'!AC55&lt;=8,IF('Model inputs'!AC55="","",'Model inputs'!AC55&lt;=8))),IF('Model inputs'!AG52="","",'Model inputs'!AG52),IF('Model inputs'!AG48="","",'Model inputs'!AG48))))))</f>
        <v>7.39724642489512</v>
      </c>
      <c r="AD79" s="10">
        <f>IF(IF(IF(ISERROR('Model inputs'!AD55&lt;1),'Model inputs'!AD55&lt;1,IF('Model inputs'!AD55="","",'Model inputs'!AD55&lt;1))="",FALSE,IF(ISERROR('Model inputs'!AD55&lt;1),'Model inputs'!AD55&lt;1,IF('Model inputs'!AD55="","",'Model inputs'!AD55&lt;1))),0,IF(IF(IF(ISERROR('Model inputs'!AD55=1),'Model inputs'!AD55=1,IF('Model inputs'!AD55="","",'Model inputs'!AD55=1))="",FALSE,IF(ISERROR('Model inputs'!AD55=1),'Model inputs'!AD55=1,IF('Model inputs'!AD55="","",'Model inputs'!AD55=1))),IF('Model inputs'!AG71="","",'Model inputs'!AG71),'Model inputs'!AC79*(1+IF(IF(IF(IF(ISERROR('Model inputs'!AD55&lt;=8),'Model inputs'!AD55&lt;=8,IF('Model inputs'!AD55="","",'Model inputs'!AD55&lt;=8))="",FALSE,IF(ISERROR('Model inputs'!AD55&lt;=8),'Model inputs'!AD55&lt;=8,IF('Model inputs'!AD55="","",'Model inputs'!AD55&lt;=8))),IF('Model inputs'!AG52="","",'Model inputs'!AG52),IF('Model inputs'!AG48="","",'Model inputs'!AG48))="",0,IF(IF(IF(ISERROR('Model inputs'!AD55&lt;=8),'Model inputs'!AD55&lt;=8,IF('Model inputs'!AD55="","",'Model inputs'!AD55&lt;=8))="",FALSE,IF(ISERROR('Model inputs'!AD55&lt;=8),'Model inputs'!AD55&lt;=8,IF('Model inputs'!AD55="","",'Model inputs'!AD55&lt;=8))),IF('Model inputs'!AG52="","",'Model inputs'!AG52),IF('Model inputs'!AG48="","",'Model inputs'!AG48))))))</f>
        <v>7.693136281890925</v>
      </c>
      <c r="AE79" s="10">
        <f>IF(IF(IF(ISERROR('Model inputs'!AE55&lt;1),'Model inputs'!AE55&lt;1,IF('Model inputs'!AE55="","",'Model inputs'!AE55&lt;1))="",FALSE,IF(ISERROR('Model inputs'!AE55&lt;1),'Model inputs'!AE55&lt;1,IF('Model inputs'!AE55="","",'Model inputs'!AE55&lt;1))),0,IF(IF(IF(ISERROR('Model inputs'!AE55=1),'Model inputs'!AE55=1,IF('Model inputs'!AE55="","",'Model inputs'!AE55=1))="",FALSE,IF(ISERROR('Model inputs'!AE55=1),'Model inputs'!AE55=1,IF('Model inputs'!AE55="","",'Model inputs'!AE55=1))),IF('Model inputs'!AG71="","",'Model inputs'!AG71),'Model inputs'!AD79*(1+IF(IF(IF(IF(ISERROR('Model inputs'!AE55&lt;=8),'Model inputs'!AE55&lt;=8,IF('Model inputs'!AE55="","",'Model inputs'!AE55&lt;=8))="",FALSE,IF(ISERROR('Model inputs'!AE55&lt;=8),'Model inputs'!AE55&lt;=8,IF('Model inputs'!AE55="","",'Model inputs'!AE55&lt;=8))),IF('Model inputs'!AG52="","",'Model inputs'!AG52),IF('Model inputs'!AG48="","",'Model inputs'!AG48))="",0,IF(IF(IF(ISERROR('Model inputs'!AE55&lt;=8),'Model inputs'!AE55&lt;=8,IF('Model inputs'!AE55="","",'Model inputs'!AE55&lt;=8))="",FALSE,IF(ISERROR('Model inputs'!AE55&lt;=8),'Model inputs'!AE55&lt;=8,IF('Model inputs'!AE55="","",'Model inputs'!AE55&lt;=8))),IF('Model inputs'!AG52="","",'Model inputs'!AG52),IF('Model inputs'!AG48="","",'Model inputs'!AG48))))))</f>
        <v>8.000861733166563</v>
      </c>
      <c r="AF79" s="10">
        <f>IF(IF(IF(ISERROR('Model inputs'!AF55&lt;1),'Model inputs'!AF55&lt;1,IF('Model inputs'!AF55="","",'Model inputs'!AF55&lt;1))="",FALSE,IF(ISERROR('Model inputs'!AF55&lt;1),'Model inputs'!AF55&lt;1,IF('Model inputs'!AF55="","",'Model inputs'!AF55&lt;1))),0,IF(IF(IF(ISERROR('Model inputs'!AF55=1),'Model inputs'!AF55=1,IF('Model inputs'!AF55="","",'Model inputs'!AF55=1))="",FALSE,IF(ISERROR('Model inputs'!AF55=1),'Model inputs'!AF55=1,IF('Model inputs'!AF55="","",'Model inputs'!AF55=1))),IF('Model inputs'!AG71="","",'Model inputs'!AG71),'Model inputs'!AE79*(1+IF(IF(IF(IF(ISERROR('Model inputs'!AF55&lt;=8),'Model inputs'!AF55&lt;=8,IF('Model inputs'!AF55="","",'Model inputs'!AF55&lt;=8))="",FALSE,IF(ISERROR('Model inputs'!AF55&lt;=8),'Model inputs'!AF55&lt;=8,IF('Model inputs'!AF55="","",'Model inputs'!AF55&lt;=8))),IF('Model inputs'!AG52="","",'Model inputs'!AG52),IF('Model inputs'!AG48="","",'Model inputs'!AG48))="",0,IF(IF(IF(ISERROR('Model inputs'!AF55&lt;=8),'Model inputs'!AF55&lt;=8,IF('Model inputs'!AF55="","",'Model inputs'!AF55&lt;=8))="",FALSE,IF(ISERROR('Model inputs'!AF55&lt;=8),'Model inputs'!AF55&lt;=8,IF('Model inputs'!AF55="","",'Model inputs'!AF55&lt;=8))),IF('Model inputs'!AG52="","",'Model inputs'!AG52),IF('Model inputs'!AG48="","",'Model inputs'!AG48))))))</f>
        <v>8.320896202493225</v>
      </c>
    </row>
    <row r="80">
      <c r="A80" t="inlineStr" s="20">
        <is>
          <t xml:space="preserve">Overage kits per customer</t>
        </is>
      </c>
      <c r="AG80" s="8">
        <v>0</v>
      </c>
    </row>
    <row r="81" outlineLevel="1">
      <c r="A81" t="inlineStr" s="21">
        <is>
          <t xml:space="preserve">Overage kits per customer &gt; Indie</t>
        </is>
      </c>
      <c r="AG81" s="10">
        <f>0.5</f>
        <v>0.5</v>
      </c>
    </row>
    <row r="82" outlineLevel="1">
      <c r="A82" t="inlineStr" s="21">
        <is>
          <t xml:space="preserve">Overage kits per customer &gt; Launch</t>
        </is>
      </c>
      <c r="AG82" s="10">
        <f>6</f>
        <v>6</v>
      </c>
    </row>
    <row r="83" outlineLevel="1">
      <c r="A83" t="inlineStr" s="21">
        <is>
          <t xml:space="preserve">Overage kits per customer &gt; Team</t>
        </is>
      </c>
      <c r="AG83" s="10">
        <f>2</f>
        <v>2</v>
      </c>
    </row>
    <row r="84">
      <c r="A84" t="inlineStr" s="20">
        <is>
          <t xml:space="preserve">Overage price per kit</t>
        </is>
      </c>
      <c r="AG84" s="22">
        <f>2.5</f>
        <v>2.5</v>
      </c>
    </row>
    <row r="85">
      <c r="A85" t="inlineStr" s="20">
        <is>
          <t xml:space="preserve">Starting customers</t>
        </is>
      </c>
      <c r="AG85" s="7">
        <v>0</v>
      </c>
    </row>
    <row r="86" outlineLevel="1">
      <c r="A86" t="inlineStr" s="21">
        <is>
          <t xml:space="preserve">Starting customers &gt; Indie</t>
        </is>
      </c>
      <c r="AG86" s="17">
        <f>40</f>
        <v>40</v>
      </c>
    </row>
    <row r="87" outlineLevel="1">
      <c r="A87" t="inlineStr" s="21">
        <is>
          <t xml:space="preserve">Starting customers &gt; Launch</t>
        </is>
      </c>
      <c r="AG87" s="17">
        <f>1</f>
        <v>1</v>
      </c>
    </row>
    <row r="88" outlineLevel="1">
      <c r="A88" t="inlineStr" s="21">
        <is>
          <t xml:space="preserve">Starting customers &gt; Team</t>
        </is>
      </c>
      <c r="AG88" s="17">
        <f>6</f>
        <v>6</v>
      </c>
    </row>
    <row r="89">
      <c r="A89" t="inlineStr" s="20">
        <is>
          <t xml:space="preserve">Upgrades in</t>
        </is>
      </c>
      <c r="L89" s="8">
        <f>SUM('Model inputs'!L90,'Model inputs'!L91,'Model inputs'!L92)</f>
        <v>0</v>
      </c>
      <c r="M89" s="8">
        <f>SUM('Model inputs'!M90,'Model inputs'!M91,'Model inputs'!M92)</f>
        <v>0</v>
      </c>
      <c r="N89" s="8">
        <f>SUM('Model inputs'!N90,'Model inputs'!N91,'Model inputs'!N92)</f>
        <v>0</v>
      </c>
      <c r="O89" s="8">
        <f>SUM('Model inputs'!O90,'Model inputs'!O91,'Model inputs'!O92)</f>
        <v>0</v>
      </c>
      <c r="P89" s="8">
        <f>SUM('Model inputs'!P90,'Model inputs'!P91,'Model inputs'!P92)</f>
        <v>0.2916666666666667</v>
      </c>
      <c r="Q89" s="8">
        <f>SUM('Model inputs'!Q90,'Model inputs'!Q91,'Model inputs'!Q92)</f>
        <v>0.5333125</v>
      </c>
      <c r="R89" s="8">
        <f>SUM('Model inputs'!R90,'Model inputs'!R91,'Model inputs'!R92)</f>
        <v>0.6948002488425927</v>
      </c>
      <c r="S89" s="8">
        <f>SUM('Model inputs'!S90,'Model inputs'!S91,'Model inputs'!S92)</f>
        <v>0.8623815489824461</v>
      </c>
      <c r="T89" s="8">
        <f>SUM('Model inputs'!T90,'Model inputs'!T91,'Model inputs'!T92)</f>
        <v>1.0370073007913894</v>
      </c>
      <c r="U89" s="8">
        <f>SUM('Model inputs'!U90,'Model inputs'!U91,'Model inputs'!U92)</f>
        <v>1.2196778790980267</v>
      </c>
      <c r="V89" s="8">
        <f>SUM('Model inputs'!V90,'Model inputs'!V91,'Model inputs'!V92)</f>
        <v>1.4114491758402756</v>
      </c>
      <c r="W89" s="8">
        <f>SUM('Model inputs'!W90,'Model inputs'!W91,'Model inputs'!W92)</f>
        <v>1.6134390223399573</v>
      </c>
      <c r="X89" s="8">
        <f>SUM('Model inputs'!X90,'Model inputs'!X91,'Model inputs'!X92)</f>
        <v>1.8268340318695697</v>
      </c>
      <c r="Y89" s="8">
        <f>SUM('Model inputs'!Y90,'Model inputs'!Y91,'Model inputs'!Y92)</f>
        <v>2.0400098731409044</v>
      </c>
      <c r="Z89" s="8">
        <f>SUM('Model inputs'!Z90,'Model inputs'!Z91,'Model inputs'!Z92)</f>
        <v>2.2535015079062166</v>
      </c>
      <c r="AA89" s="8">
        <f>SUM('Model inputs'!AA90,'Model inputs'!AA91,'Model inputs'!AA92)</f>
        <v>2.467830412305536</v>
      </c>
      <c r="AB89" s="8">
        <f>SUM('Model inputs'!AB90,'Model inputs'!AB91,'Model inputs'!AB92)</f>
        <v>2.683506316427823</v>
      </c>
      <c r="AC89" s="8">
        <f>SUM('Model inputs'!AC90,'Model inputs'!AC91,'Model inputs'!AC92)</f>
        <v>2.9010288631150405</v>
      </c>
      <c r="AD89" s="8">
        <f>SUM('Model inputs'!AD90,'Model inputs'!AD91,'Model inputs'!AD92)</f>
        <v>3.12088919274707</v>
      </c>
      <c r="AE89" s="8">
        <f>SUM('Model inputs'!AE90,'Model inputs'!AE91,'Model inputs'!AE92)</f>
        <v>3.3435714603522264</v>
      </c>
      <c r="AF89" s="8">
        <f>SUM('Model inputs'!AF90,'Model inputs'!AF91,'Model inputs'!AF92)</f>
        <v>3.569554291023361</v>
      </c>
    </row>
    <row r="90" outlineLevel="1">
      <c r="A90" t="inlineStr" s="21">
        <is>
          <t xml:space="preserve">Upgrades in &gt; Indie</t>
        </is>
      </c>
      <c r="L90" s="10">
        <f>IF(EXACT("Indie","Team"),IF('Model inputs'!L94="","",'Model inputs'!L94),IF(EXACT("Indie","Launch"),IF('Model inputs'!L96="","",'Model inputs'!L96),0))</f>
        <v>0</v>
      </c>
      <c r="M90" s="10">
        <f>IF(EXACT("Indie","Team"),IF('Model inputs'!M94="","",'Model inputs'!M94),IF(EXACT("Indie","Launch"),IF('Model inputs'!M96="","",'Model inputs'!M96),0))</f>
        <v>0</v>
      </c>
      <c r="N90" s="10">
        <f>IF(EXACT("Indie","Team"),IF('Model inputs'!N94="","",'Model inputs'!N94),IF(EXACT("Indie","Launch"),IF('Model inputs'!N96="","",'Model inputs'!N96),0))</f>
        <v>0</v>
      </c>
      <c r="O90" s="10">
        <f>IF(EXACT("Indie","Team"),IF('Model inputs'!O94="","",'Model inputs'!O94),IF(EXACT("Indie","Launch"),IF('Model inputs'!O96="","",'Model inputs'!O96),0))</f>
        <v>0</v>
      </c>
      <c r="P90" s="10">
        <f>IF(EXACT("Indie","Team"),IF('Model inputs'!P94="","",'Model inputs'!P94),IF(EXACT("Indie","Launch"),IF('Model inputs'!P96="","",'Model inputs'!P96),0))</f>
        <v>0</v>
      </c>
      <c r="Q90" s="10">
        <f>IF(EXACT("Indie","Team"),IF('Model inputs'!Q94="","",'Model inputs'!Q94),IF(EXACT("Indie","Launch"),IF('Model inputs'!Q96="","",'Model inputs'!Q96),0))</f>
        <v>0</v>
      </c>
      <c r="R90" s="10">
        <f>IF(EXACT("Indie","Team"),IF('Model inputs'!R94="","",'Model inputs'!R94),IF(EXACT("Indie","Launch"),IF('Model inputs'!R96="","",'Model inputs'!R96),0))</f>
        <v>0</v>
      </c>
      <c r="S90" s="10">
        <f>IF(EXACT("Indie","Team"),IF('Model inputs'!S94="","",'Model inputs'!S94),IF(EXACT("Indie","Launch"),IF('Model inputs'!S96="","",'Model inputs'!S96),0))</f>
        <v>0</v>
      </c>
      <c r="T90" s="10">
        <f>IF(EXACT("Indie","Team"),IF('Model inputs'!T94="","",'Model inputs'!T94),IF(EXACT("Indie","Launch"),IF('Model inputs'!T96="","",'Model inputs'!T96),0))</f>
        <v>0</v>
      </c>
      <c r="U90" s="10">
        <f>IF(EXACT("Indie","Team"),IF('Model inputs'!U94="","",'Model inputs'!U94),IF(EXACT("Indie","Launch"),IF('Model inputs'!U96="","",'Model inputs'!U96),0))</f>
        <v>0</v>
      </c>
      <c r="V90" s="10">
        <f>IF(EXACT("Indie","Team"),IF('Model inputs'!V94="","",'Model inputs'!V94),IF(EXACT("Indie","Launch"),IF('Model inputs'!V96="","",'Model inputs'!V96),0))</f>
        <v>0</v>
      </c>
      <c r="W90" s="10">
        <f>IF(EXACT("Indie","Team"),IF('Model inputs'!W94="","",'Model inputs'!W94),IF(EXACT("Indie","Launch"),IF('Model inputs'!W96="","",'Model inputs'!W96),0))</f>
        <v>0</v>
      </c>
      <c r="X90" s="10">
        <f>IF(EXACT("Indie","Team"),IF('Model inputs'!X94="","",'Model inputs'!X94),IF(EXACT("Indie","Launch"),IF('Model inputs'!X96="","",'Model inputs'!X96),0))</f>
        <v>0</v>
      </c>
      <c r="Y90" s="10">
        <f>IF(EXACT("Indie","Team"),IF('Model inputs'!Y94="","",'Model inputs'!Y94),IF(EXACT("Indie","Launch"),IF('Model inputs'!Y96="","",'Model inputs'!Y96),0))</f>
        <v>0</v>
      </c>
      <c r="Z90" s="10">
        <f>IF(EXACT("Indie","Team"),IF('Model inputs'!Z94="","",'Model inputs'!Z94),IF(EXACT("Indie","Launch"),IF('Model inputs'!Z96="","",'Model inputs'!Z96),0))</f>
        <v>0</v>
      </c>
      <c r="AA90" s="10">
        <f>IF(EXACT("Indie","Team"),IF('Model inputs'!AA94="","",'Model inputs'!AA94),IF(EXACT("Indie","Launch"),IF('Model inputs'!AA96="","",'Model inputs'!AA96),0))</f>
        <v>0</v>
      </c>
      <c r="AB90" s="10">
        <f>IF(EXACT("Indie","Team"),IF('Model inputs'!AB94="","",'Model inputs'!AB94),IF(EXACT("Indie","Launch"),IF('Model inputs'!AB96="","",'Model inputs'!AB96),0))</f>
        <v>0</v>
      </c>
      <c r="AC90" s="10">
        <f>IF(EXACT("Indie","Team"),IF('Model inputs'!AC94="","",'Model inputs'!AC94),IF(EXACT("Indie","Launch"),IF('Model inputs'!AC96="","",'Model inputs'!AC96),0))</f>
        <v>0</v>
      </c>
      <c r="AD90" s="10">
        <f>IF(EXACT("Indie","Team"),IF('Model inputs'!AD94="","",'Model inputs'!AD94),IF(EXACT("Indie","Launch"),IF('Model inputs'!AD96="","",'Model inputs'!AD96),0))</f>
        <v>0</v>
      </c>
      <c r="AE90" s="10">
        <f>IF(EXACT("Indie","Team"),IF('Model inputs'!AE94="","",'Model inputs'!AE94),IF(EXACT("Indie","Launch"),IF('Model inputs'!AE96="","",'Model inputs'!AE96),0))</f>
        <v>0</v>
      </c>
      <c r="AF90" s="10">
        <f>IF(EXACT("Indie","Team"),IF('Model inputs'!AF94="","",'Model inputs'!AF94),IF(EXACT("Indie","Launch"),IF('Model inputs'!AF96="","",'Model inputs'!AF96),0))</f>
        <v>0</v>
      </c>
    </row>
    <row r="91" outlineLevel="1">
      <c r="A91" t="inlineStr" s="21">
        <is>
          <t xml:space="preserve">Upgrades in &gt; Launch</t>
        </is>
      </c>
      <c r="L91" s="10">
        <f>IF(EXACT("Launch","Team"),IF('Model inputs'!L94="","",'Model inputs'!L94),IF(EXACT("Launch","Launch"),IF('Model inputs'!L96="","",'Model inputs'!L96),0))</f>
        <v>0</v>
      </c>
      <c r="M91" s="10">
        <f>IF(EXACT("Launch","Team"),IF('Model inputs'!M94="","",'Model inputs'!M94),IF(EXACT("Launch","Launch"),IF('Model inputs'!M96="","",'Model inputs'!M96),0))</f>
        <v>0</v>
      </c>
      <c r="N91" s="10">
        <f>IF(EXACT("Launch","Team"),IF('Model inputs'!N94="","",'Model inputs'!N94),IF(EXACT("Launch","Launch"),IF('Model inputs'!N96="","",'Model inputs'!N96),0))</f>
        <v>0</v>
      </c>
      <c r="O91" s="10">
        <f>IF(EXACT("Launch","Team"),IF('Model inputs'!O94="","",'Model inputs'!O94),IF(EXACT("Launch","Launch"),IF('Model inputs'!O96="","",'Model inputs'!O96),0))</f>
        <v>0</v>
      </c>
      <c r="P91" s="10">
        <f>IF(EXACT("Launch","Team"),IF('Model inputs'!P94="","",'Model inputs'!P94),IF(EXACT("Launch","Launch"),IF('Model inputs'!P96="","",'Model inputs'!P96),0))</f>
        <v>0.025</v>
      </c>
      <c r="Q91" s="10">
        <f>IF(EXACT("Launch","Team"),IF('Model inputs'!Q94="","",'Model inputs'!Q94),IF(EXACT("Launch","Launch"),IF('Model inputs'!Q96="","",'Model inputs'!Q96),0))</f>
        <v>0.03775694444444445</v>
      </c>
      <c r="R91" s="10">
        <f>IF(EXACT("Launch","Team"),IF('Model inputs'!R94="","",'Model inputs'!R94),IF(EXACT("Launch","Launch"),IF('Model inputs'!R96="","",'Model inputs'!R96),0))</f>
        <v>0.05228173032407408</v>
      </c>
      <c r="S91" s="10">
        <f>IF(EXACT("Launch","Team"),IF('Model inputs'!S94="","",'Model inputs'!S94),IF(EXACT("Launch","Launch"),IF('Model inputs'!S96="","",'Model inputs'!S96),0))</f>
        <v>0.06829759836516204</v>
      </c>
      <c r="T91" s="10">
        <f>IF(EXACT("Launch","Team"),IF('Model inputs'!T94="","",'Model inputs'!T94),IF(EXACT("Launch","Launch"),IF('Model inputs'!T96="","",'Model inputs'!T96),0))</f>
        <v>0.08591028021525769</v>
      </c>
      <c r="U91" s="10">
        <f>IF(EXACT("Launch","Team"),IF('Model inputs'!U94="","",'Model inputs'!U94),IF(EXACT("Launch","Launch"),IF('Model inputs'!U96="","",'Model inputs'!U96),0))</f>
        <v>0.10523916656030362</v>
      </c>
      <c r="V91" s="10">
        <f>IF(EXACT("Launch","Team"),IF('Model inputs'!V94="","",'Model inputs'!V94),IF(EXACT("Launch","Launch"),IF('Model inputs'!V96="","",'Model inputs'!V96),0))</f>
        <v>0.12641836467173376</v>
      </c>
      <c r="W91" s="10">
        <f>IF(EXACT("Launch","Team"),IF('Model inputs'!W94="","",'Model inputs'!W94),IF(EXACT("Launch","Launch"),IF('Model inputs'!W96="","",'Model inputs'!W96),0))</f>
        <v>0.1495978780919851</v>
      </c>
      <c r="X91" s="10">
        <f>IF(EXACT("Launch","Team"),IF('Model inputs'!X94="","",'Model inputs'!X94),IF(EXACT("Launch","Launch"),IF('Model inputs'!X96="","",'Model inputs'!X96),0))</f>
        <v>0.17494491910820884</v>
      </c>
      <c r="Y91" s="10">
        <f>IF(EXACT("Launch","Team"),IF('Model inputs'!Y94="","",'Model inputs'!Y94),IF(EXACT("Launch","Launch"),IF('Model inputs'!Y96="","",'Model inputs'!Y96),0))</f>
        <v>0.20118382797518408</v>
      </c>
      <c r="Z91" s="10">
        <f>IF(EXACT("Launch","Team"),IF('Model inputs'!Z94="","",'Model inputs'!Z94),IF(EXACT("Launch","Launch"),IF('Model inputs'!Z96="","",'Model inputs'!Z96),0))</f>
        <v>0.22831847756622248</v>
      </c>
      <c r="AA91" s="10">
        <f>IF(EXACT("Launch","Team"),IF('Model inputs'!AA94="","",'Model inputs'!AA94),IF(EXACT("Launch","Launch"),IF('Model inputs'!AA96="","",'Model inputs'!AA96),0))</f>
        <v>0.2563563802754732</v>
      </c>
      <c r="AB91" s="10">
        <f>IF(EXACT("Launch","Team"),IF('Model inputs'!AB94="","",'Model inputs'!AB94),IF(EXACT("Launch","Launch"),IF('Model inputs'!AB96="","",'Model inputs'!AB96),0))</f>
        <v>0.28530855467185373</v>
      </c>
      <c r="AC91" s="10">
        <f>IF(EXACT("Launch","Team"),IF('Model inputs'!AC94="","",'Model inputs'!AC94),IF(EXACT("Launch","Launch"),IF('Model inputs'!AC96="","",'Model inputs'!AC96),0))</f>
        <v>0.3151894070071091</v>
      </c>
      <c r="AD91" s="10">
        <f>IF(EXACT("Launch","Team"),IF('Model inputs'!AD94="","",'Model inputs'!AD94),IF(EXACT("Launch","Launch"),IF('Model inputs'!AD96="","",'Model inputs'!AD96),0))</f>
        <v>0.34601662677187894</v>
      </c>
      <c r="AE91" s="10">
        <f>IF(EXACT("Launch","Team"),IF('Model inputs'!AE94="","",'Model inputs'!AE94),IF(EXACT("Launch","Launch"),IF('Model inputs'!AE96="","",'Model inputs'!AE96),0))</f>
        <v>0.3778110955566152</v>
      </c>
      <c r="AF91" s="10">
        <f>IF(EXACT("Launch","Team"),IF('Model inputs'!AF94="","",'Model inputs'!AF94),IF(EXACT("Launch","Launch"),IF('Model inputs'!AF96="","",'Model inputs'!AF96),0))</f>
        <v>0.41059680853327324</v>
      </c>
    </row>
    <row r="92" outlineLevel="1">
      <c r="A92" t="inlineStr" s="21">
        <is>
          <t xml:space="preserve">Upgrades in &gt; Team</t>
        </is>
      </c>
      <c r="L92" s="10">
        <f>IF(EXACT("Team","Team"),IF('Model inputs'!L94="","",'Model inputs'!L94),IF(EXACT("Team","Launch"),IF('Model inputs'!L96="","",'Model inputs'!L96),0))</f>
        <v>0</v>
      </c>
      <c r="M92" s="10">
        <f>IF(EXACT("Team","Team"),IF('Model inputs'!M94="","",'Model inputs'!M94),IF(EXACT("Team","Launch"),IF('Model inputs'!M96="","",'Model inputs'!M96),0))</f>
        <v>0</v>
      </c>
      <c r="N92" s="10">
        <f>IF(EXACT("Team","Team"),IF('Model inputs'!N94="","",'Model inputs'!N94),IF(EXACT("Team","Launch"),IF('Model inputs'!N96="","",'Model inputs'!N96),0))</f>
        <v>0</v>
      </c>
      <c r="O92" s="10">
        <f>IF(EXACT("Team","Team"),IF('Model inputs'!O94="","",'Model inputs'!O94),IF(EXACT("Team","Launch"),IF('Model inputs'!O96="","",'Model inputs'!O96),0))</f>
        <v>0</v>
      </c>
      <c r="P92" s="10">
        <f>IF(EXACT("Team","Team"),IF('Model inputs'!P94="","",'Model inputs'!P94),IF(EXACT("Team","Launch"),IF('Model inputs'!P96="","",'Model inputs'!P96),0))</f>
        <v>0.26666666666666666</v>
      </c>
      <c r="Q92" s="10">
        <f>IF(EXACT("Team","Team"),IF('Model inputs'!Q94="","",'Model inputs'!Q94),IF(EXACT("Team","Launch"),IF('Model inputs'!Q96="","",'Model inputs'!Q96),0))</f>
        <v>0.4955555555555555</v>
      </c>
      <c r="R92" s="10">
        <f>IF(EXACT("Team","Team"),IF('Model inputs'!R94="","",'Model inputs'!R94),IF(EXACT("Team","Launch"),IF('Model inputs'!R96="","",'Model inputs'!R96),0))</f>
        <v>0.6425185185185186</v>
      </c>
      <c r="S92" s="10">
        <f>IF(EXACT("Team","Team"),IF('Model inputs'!S94="","",'Model inputs'!S94),IF(EXACT("Team","Launch"),IF('Model inputs'!S96="","",'Model inputs'!S96),0))</f>
        <v>0.7940839506172841</v>
      </c>
      <c r="T92" s="10">
        <f>IF(EXACT("Team","Team"),IF('Model inputs'!T94="","",'Model inputs'!T94),IF(EXACT("Team","Launch"),IF('Model inputs'!T96="","",'Model inputs'!T96),0))</f>
        <v>0.9510970205761318</v>
      </c>
      <c r="U92" s="10">
        <f>IF(EXACT("Team","Team"),IF('Model inputs'!U94="","",'Model inputs'!U94),IF(EXACT("Team","Launch"),IF('Model inputs'!U96="","",'Model inputs'!U96),0))</f>
        <v>1.114438712537723</v>
      </c>
      <c r="V92" s="10">
        <f>IF(EXACT("Team","Team"),IF('Model inputs'!V94="","",'Model inputs'!V94),IF(EXACT("Team","Launch"),IF('Model inputs'!V96="","",'Model inputs'!V96),0))</f>
        <v>1.2850308111685418</v>
      </c>
      <c r="W92" s="10">
        <f>IF(EXACT("Team","Team"),IF('Model inputs'!W94="","",'Model inputs'!W94),IF(EXACT("Team","Launch"),IF('Model inputs'!W96="","",'Model inputs'!W96),0))</f>
        <v>1.4638411442479722</v>
      </c>
      <c r="X92" s="10">
        <f>IF(EXACT("Team","Team"),IF('Model inputs'!X94="","",'Model inputs'!X94),IF(EXACT("Team","Launch"),IF('Model inputs'!X96="","",'Model inputs'!X96),0))</f>
        <v>1.6518891127613609</v>
      </c>
      <c r="Y92" s="10">
        <f>IF(EXACT("Team","Team"),IF('Model inputs'!Y94="","",'Model inputs'!Y94),IF(EXACT("Team","Launch"),IF('Model inputs'!Y96="","",'Model inputs'!Y96),0))</f>
        <v>1.8388260451657203</v>
      </c>
      <c r="Z92" s="10">
        <f>IF(EXACT("Team","Team"),IF('Model inputs'!Z94="","",'Model inputs'!Z94),IF(EXACT("Team","Launch"),IF('Model inputs'!Z96="","",'Model inputs'!Z96),0))</f>
        <v>2.0251830303399943</v>
      </c>
      <c r="AA92" s="10">
        <f>IF(EXACT("Team","Team"),IF('Model inputs'!AA94="","",'Model inputs'!AA94),IF(EXACT("Team","Launch"),IF('Model inputs'!AA96="","",'Model inputs'!AA96),0))</f>
        <v>2.211474032030063</v>
      </c>
      <c r="AB92" s="10">
        <f>IF(EXACT("Team","Team"),IF('Model inputs'!AB94="","",'Model inputs'!AB94),IF(EXACT("Team","Launch"),IF('Model inputs'!AB96="","",'Model inputs'!AB96),0))</f>
        <v>2.398197761755969</v>
      </c>
      <c r="AC92" s="10">
        <f>IF(EXACT("Team","Team"),IF('Model inputs'!AC94="","",'Model inputs'!AC94),IF(EXACT("Team","Launch"),IF('Model inputs'!AC96="","",'Model inputs'!AC96),0))</f>
        <v>2.5858394561079314</v>
      </c>
      <c r="AD92" s="10">
        <f>IF(EXACT("Team","Team"),IF('Model inputs'!AD94="","",'Model inputs'!AD94),IF(EXACT("Team","Launch"),IF('Model inputs'!AD96="","",'Model inputs'!AD96),0))</f>
        <v>2.774872565975191</v>
      </c>
      <c r="AE92" s="10">
        <f>IF(EXACT("Team","Team"),IF('Model inputs'!AE94="","",'Model inputs'!AE94),IF(EXACT("Team","Launch"),IF('Model inputs'!AE96="","",'Model inputs'!AE96),0))</f>
        <v>2.9657603647956114</v>
      </c>
      <c r="AF92" s="10">
        <f>IF(EXACT("Team","Team"),IF('Model inputs'!AF94="","",'Model inputs'!AF94),IF(EXACT("Team","Launch"),IF('Model inputs'!AF96="","",'Model inputs'!AF96),0))</f>
        <v>3.158957482490088</v>
      </c>
    </row>
    <row r="93">
      <c r="A93" t="inlineStr" s="20">
        <is>
          <t xml:space="preserve">Upgrades out</t>
        </is>
      </c>
      <c r="L93" s="8">
        <f>SUM('Model inputs'!L94,'Model inputs'!L95,'Model inputs'!L96)</f>
        <v>0</v>
      </c>
      <c r="M93" s="8">
        <f>SUM('Model inputs'!M94,'Model inputs'!M95,'Model inputs'!M96)</f>
        <v>0</v>
      </c>
      <c r="N93" s="8">
        <f>SUM('Model inputs'!N94,'Model inputs'!N95,'Model inputs'!N96)</f>
        <v>0</v>
      </c>
      <c r="O93" s="8">
        <f>SUM('Model inputs'!O94,'Model inputs'!O95,'Model inputs'!O96)</f>
        <v>0</v>
      </c>
      <c r="P93" s="8">
        <f>SUM('Model inputs'!P94,'Model inputs'!P95,'Model inputs'!P96)</f>
        <v>0.2916666666666667</v>
      </c>
      <c r="Q93" s="8">
        <f>SUM('Model inputs'!Q94,'Model inputs'!Q95,'Model inputs'!Q96)</f>
        <v>0.5333125</v>
      </c>
      <c r="R93" s="8">
        <f>SUM('Model inputs'!R94,'Model inputs'!R95,'Model inputs'!R96)</f>
        <v>0.6948002488425927</v>
      </c>
      <c r="S93" s="8">
        <f>SUM('Model inputs'!S94,'Model inputs'!S95,'Model inputs'!S96)</f>
        <v>0.8623815489824461</v>
      </c>
      <c r="T93" s="8">
        <f>SUM('Model inputs'!T94,'Model inputs'!T95,'Model inputs'!T96)</f>
        <v>1.0370073007913894</v>
      </c>
      <c r="U93" s="8">
        <f>SUM('Model inputs'!U94,'Model inputs'!U95,'Model inputs'!U96)</f>
        <v>1.2196778790980267</v>
      </c>
      <c r="V93" s="8">
        <f>SUM('Model inputs'!V94,'Model inputs'!V95,'Model inputs'!V96)</f>
        <v>1.4114491758402756</v>
      </c>
      <c r="W93" s="8">
        <f>SUM('Model inputs'!W94,'Model inputs'!W95,'Model inputs'!W96)</f>
        <v>1.6134390223399573</v>
      </c>
      <c r="X93" s="8">
        <f>SUM('Model inputs'!X94,'Model inputs'!X95,'Model inputs'!X96)</f>
        <v>1.8268340318695697</v>
      </c>
      <c r="Y93" s="8">
        <f>SUM('Model inputs'!Y94,'Model inputs'!Y95,'Model inputs'!Y96)</f>
        <v>2.0400098731409044</v>
      </c>
      <c r="Z93" s="8">
        <f>SUM('Model inputs'!Z94,'Model inputs'!Z95,'Model inputs'!Z96)</f>
        <v>2.2535015079062166</v>
      </c>
      <c r="AA93" s="8">
        <f>SUM('Model inputs'!AA94,'Model inputs'!AA95,'Model inputs'!AA96)</f>
        <v>2.467830412305536</v>
      </c>
      <c r="AB93" s="8">
        <f>SUM('Model inputs'!AB94,'Model inputs'!AB95,'Model inputs'!AB96)</f>
        <v>2.683506316427823</v>
      </c>
      <c r="AC93" s="8">
        <f>SUM('Model inputs'!AC94,'Model inputs'!AC95,'Model inputs'!AC96)</f>
        <v>2.9010288631150405</v>
      </c>
      <c r="AD93" s="8">
        <f>SUM('Model inputs'!AD94,'Model inputs'!AD95,'Model inputs'!AD96)</f>
        <v>3.12088919274707</v>
      </c>
      <c r="AE93" s="8">
        <f>SUM('Model inputs'!AE94,'Model inputs'!AE95,'Model inputs'!AE96)</f>
        <v>3.3435714603522264</v>
      </c>
      <c r="AF93" s="8">
        <f>SUM('Model inputs'!AF94,'Model inputs'!AF95,'Model inputs'!AF96)</f>
        <v>3.569554291023361</v>
      </c>
    </row>
    <row r="94" outlineLevel="1">
      <c r="A94" t="inlineStr" s="21">
        <is>
          <t xml:space="preserve">Upgrades out &gt; Indie</t>
        </is>
      </c>
      <c r="L94" s="10">
        <f>IF(IF(IF(ISERROR('Model inputs'!L55&lt;1),'Model inputs'!L55&lt;1,IF('Model inputs'!L55="","",'Model inputs'!L55&lt;1))="",FALSE,IF(ISERROR('Model inputs'!L55&lt;1),'Model inputs'!L55&lt;1,IF('Model inputs'!L55="","",'Model inputs'!L55&lt;1))),0,'Model inputs'!L73*'Model inputs'!AG19/12)</f>
        <v>0</v>
      </c>
      <c r="M94" s="10">
        <f>IF(IF(IF(ISERROR('Model inputs'!M55&lt;1),'Model inputs'!M55&lt;1,IF('Model inputs'!M55="","",'Model inputs'!M55&lt;1))="",FALSE,IF(ISERROR('Model inputs'!M55&lt;1),'Model inputs'!M55&lt;1,IF('Model inputs'!M55="","",'Model inputs'!M55&lt;1))),0,'Model inputs'!M73*'Model inputs'!AG19/12)</f>
        <v>0</v>
      </c>
      <c r="N94" s="10">
        <f>IF(IF(IF(ISERROR('Model inputs'!N55&lt;1),'Model inputs'!N55&lt;1,IF('Model inputs'!N55="","",'Model inputs'!N55&lt;1))="",FALSE,IF(ISERROR('Model inputs'!N55&lt;1),'Model inputs'!N55&lt;1,IF('Model inputs'!N55="","",'Model inputs'!N55&lt;1))),0,'Model inputs'!N73*'Model inputs'!AG19/12)</f>
        <v>0</v>
      </c>
      <c r="O94" s="10">
        <f>IF(IF(IF(ISERROR('Model inputs'!O55&lt;1),'Model inputs'!O55&lt;1,IF('Model inputs'!O55="","",'Model inputs'!O55&lt;1))="",FALSE,IF(ISERROR('Model inputs'!O55&lt;1),'Model inputs'!O55&lt;1,IF('Model inputs'!O55="","",'Model inputs'!O55&lt;1))),0,'Model inputs'!O73*'Model inputs'!AG19/12)</f>
        <v>0</v>
      </c>
      <c r="P94" s="10">
        <f>IF(IF(IF(ISERROR('Model inputs'!P55&lt;1),'Model inputs'!P55&lt;1,IF('Model inputs'!P55="","",'Model inputs'!P55&lt;1))="",FALSE,IF(ISERROR('Model inputs'!P55&lt;1),'Model inputs'!P55&lt;1,IF('Model inputs'!P55="","",'Model inputs'!P55&lt;1))),0,'Model inputs'!P73*'Model inputs'!AG19/12)</f>
        <v>0.26666666666666666</v>
      </c>
      <c r="Q94" s="10">
        <f>IF(IF(IF(ISERROR('Model inputs'!Q55&lt;1),'Model inputs'!Q55&lt;1,IF('Model inputs'!Q55="","",'Model inputs'!Q55&lt;1))="",FALSE,IF(ISERROR('Model inputs'!Q55&lt;1),'Model inputs'!Q55&lt;1,IF('Model inputs'!Q55="","",'Model inputs'!Q55&lt;1))),0,'Model inputs'!Q73*'Model inputs'!AG19/12)</f>
        <v>0.4955555555555555</v>
      </c>
      <c r="R94" s="10">
        <f>IF(IF(IF(ISERROR('Model inputs'!R55&lt;1),'Model inputs'!R55&lt;1,IF('Model inputs'!R55="","",'Model inputs'!R55&lt;1))="",FALSE,IF(ISERROR('Model inputs'!R55&lt;1),'Model inputs'!R55&lt;1,IF('Model inputs'!R55="","",'Model inputs'!R55&lt;1))),0,'Model inputs'!R73*'Model inputs'!AG19/12)</f>
        <v>0.6425185185185186</v>
      </c>
      <c r="S94" s="10">
        <f>IF(IF(IF(ISERROR('Model inputs'!S55&lt;1),'Model inputs'!S55&lt;1,IF('Model inputs'!S55="","",'Model inputs'!S55&lt;1))="",FALSE,IF(ISERROR('Model inputs'!S55&lt;1),'Model inputs'!S55&lt;1,IF('Model inputs'!S55="","",'Model inputs'!S55&lt;1))),0,'Model inputs'!S73*'Model inputs'!AG19/12)</f>
        <v>0.7940839506172841</v>
      </c>
      <c r="T94" s="10">
        <f>IF(IF(IF(ISERROR('Model inputs'!T55&lt;1),'Model inputs'!T55&lt;1,IF('Model inputs'!T55="","",'Model inputs'!T55&lt;1))="",FALSE,IF(ISERROR('Model inputs'!T55&lt;1),'Model inputs'!T55&lt;1,IF('Model inputs'!T55="","",'Model inputs'!T55&lt;1))),0,'Model inputs'!T73*'Model inputs'!AG19/12)</f>
        <v>0.9510970205761318</v>
      </c>
      <c r="U94" s="10">
        <f>IF(IF(IF(ISERROR('Model inputs'!U55&lt;1),'Model inputs'!U55&lt;1,IF('Model inputs'!U55="","",'Model inputs'!U55&lt;1))="",FALSE,IF(ISERROR('Model inputs'!U55&lt;1),'Model inputs'!U55&lt;1,IF('Model inputs'!U55="","",'Model inputs'!U55&lt;1))),0,'Model inputs'!U73*'Model inputs'!AG19/12)</f>
        <v>1.114438712537723</v>
      </c>
      <c r="V94" s="10">
        <f>IF(IF(IF(ISERROR('Model inputs'!V55&lt;1),'Model inputs'!V55&lt;1,IF('Model inputs'!V55="","",'Model inputs'!V55&lt;1))="",FALSE,IF(ISERROR('Model inputs'!V55&lt;1),'Model inputs'!V55&lt;1,IF('Model inputs'!V55="","",'Model inputs'!V55&lt;1))),0,'Model inputs'!V73*'Model inputs'!AG19/12)</f>
        <v>1.2850308111685418</v>
      </c>
      <c r="W94" s="10">
        <f>IF(IF(IF(ISERROR('Model inputs'!W55&lt;1),'Model inputs'!W55&lt;1,IF('Model inputs'!W55="","",'Model inputs'!W55&lt;1))="",FALSE,IF(ISERROR('Model inputs'!W55&lt;1),'Model inputs'!W55&lt;1,IF('Model inputs'!W55="","",'Model inputs'!W55&lt;1))),0,'Model inputs'!W73*'Model inputs'!AG19/12)</f>
        <v>1.4638411442479722</v>
      </c>
      <c r="X94" s="10">
        <f>IF(IF(IF(ISERROR('Model inputs'!X55&lt;1),'Model inputs'!X55&lt;1,IF('Model inputs'!X55="","",'Model inputs'!X55&lt;1))="",FALSE,IF(ISERROR('Model inputs'!X55&lt;1),'Model inputs'!X55&lt;1,IF('Model inputs'!X55="","",'Model inputs'!X55&lt;1))),0,'Model inputs'!X73*'Model inputs'!AG19/12)</f>
        <v>1.6518891127613609</v>
      </c>
      <c r="Y94" s="10">
        <f>IF(IF(IF(ISERROR('Model inputs'!Y55&lt;1),'Model inputs'!Y55&lt;1,IF('Model inputs'!Y55="","",'Model inputs'!Y55&lt;1))="",FALSE,IF(ISERROR('Model inputs'!Y55&lt;1),'Model inputs'!Y55&lt;1,IF('Model inputs'!Y55="","",'Model inputs'!Y55&lt;1))),0,'Model inputs'!Y73*'Model inputs'!AG19/12)</f>
        <v>1.8388260451657203</v>
      </c>
      <c r="Z94" s="10">
        <f>IF(IF(IF(ISERROR('Model inputs'!Z55&lt;1),'Model inputs'!Z55&lt;1,IF('Model inputs'!Z55="","",'Model inputs'!Z55&lt;1))="",FALSE,IF(ISERROR('Model inputs'!Z55&lt;1),'Model inputs'!Z55&lt;1,IF('Model inputs'!Z55="","",'Model inputs'!Z55&lt;1))),0,'Model inputs'!Z73*'Model inputs'!AG19/12)</f>
        <v>2.0251830303399943</v>
      </c>
      <c r="AA94" s="10">
        <f>IF(IF(IF(ISERROR('Model inputs'!AA55&lt;1),'Model inputs'!AA55&lt;1,IF('Model inputs'!AA55="","",'Model inputs'!AA55&lt;1))="",FALSE,IF(ISERROR('Model inputs'!AA55&lt;1),'Model inputs'!AA55&lt;1,IF('Model inputs'!AA55="","",'Model inputs'!AA55&lt;1))),0,'Model inputs'!AA73*'Model inputs'!AG19/12)</f>
        <v>2.211474032030063</v>
      </c>
      <c r="AB94" s="10">
        <f>IF(IF(IF(ISERROR('Model inputs'!AB55&lt;1),'Model inputs'!AB55&lt;1,IF('Model inputs'!AB55="","",'Model inputs'!AB55&lt;1))="",FALSE,IF(ISERROR('Model inputs'!AB55&lt;1),'Model inputs'!AB55&lt;1,IF('Model inputs'!AB55="","",'Model inputs'!AB55&lt;1))),0,'Model inputs'!AB73*'Model inputs'!AG19/12)</f>
        <v>2.398197761755969</v>
      </c>
      <c r="AC94" s="10">
        <f>IF(IF(IF(ISERROR('Model inputs'!AC55&lt;1),'Model inputs'!AC55&lt;1,IF('Model inputs'!AC55="","",'Model inputs'!AC55&lt;1))="",FALSE,IF(ISERROR('Model inputs'!AC55&lt;1),'Model inputs'!AC55&lt;1,IF('Model inputs'!AC55="","",'Model inputs'!AC55&lt;1))),0,'Model inputs'!AC73*'Model inputs'!AG19/12)</f>
        <v>2.5858394561079314</v>
      </c>
      <c r="AD94" s="10">
        <f>IF(IF(IF(ISERROR('Model inputs'!AD55&lt;1),'Model inputs'!AD55&lt;1,IF('Model inputs'!AD55="","",'Model inputs'!AD55&lt;1))="",FALSE,IF(ISERROR('Model inputs'!AD55&lt;1),'Model inputs'!AD55&lt;1,IF('Model inputs'!AD55="","",'Model inputs'!AD55&lt;1))),0,'Model inputs'!AD73*'Model inputs'!AG19/12)</f>
        <v>2.774872565975191</v>
      </c>
      <c r="AE94" s="10">
        <f>IF(IF(IF(ISERROR('Model inputs'!AE55&lt;1),'Model inputs'!AE55&lt;1,IF('Model inputs'!AE55="","",'Model inputs'!AE55&lt;1))="",FALSE,IF(ISERROR('Model inputs'!AE55&lt;1),'Model inputs'!AE55&lt;1,IF('Model inputs'!AE55="","",'Model inputs'!AE55&lt;1))),0,'Model inputs'!AE73*'Model inputs'!AG19/12)</f>
        <v>2.9657603647956114</v>
      </c>
      <c r="AF94" s="10">
        <f>IF(IF(IF(ISERROR('Model inputs'!AF55&lt;1),'Model inputs'!AF55&lt;1,IF('Model inputs'!AF55="","",'Model inputs'!AF55&lt;1))="",FALSE,IF(ISERROR('Model inputs'!AF55&lt;1),'Model inputs'!AF55&lt;1,IF('Model inputs'!AF55="","",'Model inputs'!AF55&lt;1))),0,'Model inputs'!AF73*'Model inputs'!AG19/12)</f>
        <v>3.158957482490088</v>
      </c>
    </row>
    <row r="95" outlineLevel="1">
      <c r="A95" t="inlineStr" s="21">
        <is>
          <t xml:space="preserve">Upgrades out &gt; Launch</t>
        </is>
      </c>
      <c r="L95" s="10">
        <f>IF(IF(IF(ISERROR('Model inputs'!L55&lt;1),'Model inputs'!L55&lt;1,IF('Model inputs'!L55="","",'Model inputs'!L55&lt;1))="",FALSE,IF(ISERROR('Model inputs'!L55&lt;1),'Model inputs'!L55&lt;1,IF('Model inputs'!L55="","",'Model inputs'!L55&lt;1))),0,'Model inputs'!L74*'Model inputs'!AG20/12)</f>
        <v>0</v>
      </c>
      <c r="M95" s="10">
        <f>IF(IF(IF(ISERROR('Model inputs'!M55&lt;1),'Model inputs'!M55&lt;1,IF('Model inputs'!M55="","",'Model inputs'!M55&lt;1))="",FALSE,IF(ISERROR('Model inputs'!M55&lt;1),'Model inputs'!M55&lt;1,IF('Model inputs'!M55="","",'Model inputs'!M55&lt;1))),0,'Model inputs'!M74*'Model inputs'!AG20/12)</f>
        <v>0</v>
      </c>
      <c r="N95" s="10">
        <f>IF(IF(IF(ISERROR('Model inputs'!N55&lt;1),'Model inputs'!N55&lt;1,IF('Model inputs'!N55="","",'Model inputs'!N55&lt;1))="",FALSE,IF(ISERROR('Model inputs'!N55&lt;1),'Model inputs'!N55&lt;1,IF('Model inputs'!N55="","",'Model inputs'!N55&lt;1))),0,'Model inputs'!N74*'Model inputs'!AG20/12)</f>
        <v>0</v>
      </c>
      <c r="O95" s="10">
        <f>IF(IF(IF(ISERROR('Model inputs'!O55&lt;1),'Model inputs'!O55&lt;1,IF('Model inputs'!O55="","",'Model inputs'!O55&lt;1))="",FALSE,IF(ISERROR('Model inputs'!O55&lt;1),'Model inputs'!O55&lt;1,IF('Model inputs'!O55="","",'Model inputs'!O55&lt;1))),0,'Model inputs'!O74*'Model inputs'!AG20/12)</f>
        <v>0</v>
      </c>
      <c r="P95" s="10">
        <f>IF(IF(IF(ISERROR('Model inputs'!P55&lt;1),'Model inputs'!P55&lt;1,IF('Model inputs'!P55="","",'Model inputs'!P55&lt;1))="",FALSE,IF(ISERROR('Model inputs'!P55&lt;1),'Model inputs'!P55&lt;1,IF('Model inputs'!P55="","",'Model inputs'!P55&lt;1))),0,'Model inputs'!P74*'Model inputs'!AG20/12)</f>
        <v>0</v>
      </c>
      <c r="Q95" s="10">
        <f>IF(IF(IF(ISERROR('Model inputs'!Q55&lt;1),'Model inputs'!Q55&lt;1,IF('Model inputs'!Q55="","",'Model inputs'!Q55&lt;1))="",FALSE,IF(ISERROR('Model inputs'!Q55&lt;1),'Model inputs'!Q55&lt;1,IF('Model inputs'!Q55="","",'Model inputs'!Q55&lt;1))),0,'Model inputs'!Q74*'Model inputs'!AG20/12)</f>
        <v>0</v>
      </c>
      <c r="R95" s="10">
        <f>IF(IF(IF(ISERROR('Model inputs'!R55&lt;1),'Model inputs'!R55&lt;1,IF('Model inputs'!R55="","",'Model inputs'!R55&lt;1))="",FALSE,IF(ISERROR('Model inputs'!R55&lt;1),'Model inputs'!R55&lt;1,IF('Model inputs'!R55="","",'Model inputs'!R55&lt;1))),0,'Model inputs'!R74*'Model inputs'!AG20/12)</f>
        <v>0</v>
      </c>
      <c r="S95" s="10">
        <f>IF(IF(IF(ISERROR('Model inputs'!S55&lt;1),'Model inputs'!S55&lt;1,IF('Model inputs'!S55="","",'Model inputs'!S55&lt;1))="",FALSE,IF(ISERROR('Model inputs'!S55&lt;1),'Model inputs'!S55&lt;1,IF('Model inputs'!S55="","",'Model inputs'!S55&lt;1))),0,'Model inputs'!S74*'Model inputs'!AG20/12)</f>
        <v>0</v>
      </c>
      <c r="T95" s="10">
        <f>IF(IF(IF(ISERROR('Model inputs'!T55&lt;1),'Model inputs'!T55&lt;1,IF('Model inputs'!T55="","",'Model inputs'!T55&lt;1))="",FALSE,IF(ISERROR('Model inputs'!T55&lt;1),'Model inputs'!T55&lt;1,IF('Model inputs'!T55="","",'Model inputs'!T55&lt;1))),0,'Model inputs'!T74*'Model inputs'!AG20/12)</f>
        <v>0</v>
      </c>
      <c r="U95" s="10">
        <f>IF(IF(IF(ISERROR('Model inputs'!U55&lt;1),'Model inputs'!U55&lt;1,IF('Model inputs'!U55="","",'Model inputs'!U55&lt;1))="",FALSE,IF(ISERROR('Model inputs'!U55&lt;1),'Model inputs'!U55&lt;1,IF('Model inputs'!U55="","",'Model inputs'!U55&lt;1))),0,'Model inputs'!U74*'Model inputs'!AG20/12)</f>
        <v>0</v>
      </c>
      <c r="V95" s="10">
        <f>IF(IF(IF(ISERROR('Model inputs'!V55&lt;1),'Model inputs'!V55&lt;1,IF('Model inputs'!V55="","",'Model inputs'!V55&lt;1))="",FALSE,IF(ISERROR('Model inputs'!V55&lt;1),'Model inputs'!V55&lt;1,IF('Model inputs'!V55="","",'Model inputs'!V55&lt;1))),0,'Model inputs'!V74*'Model inputs'!AG20/12)</f>
        <v>0</v>
      </c>
      <c r="W95" s="10">
        <f>IF(IF(IF(ISERROR('Model inputs'!W55&lt;1),'Model inputs'!W55&lt;1,IF('Model inputs'!W55="","",'Model inputs'!W55&lt;1))="",FALSE,IF(ISERROR('Model inputs'!W55&lt;1),'Model inputs'!W55&lt;1,IF('Model inputs'!W55="","",'Model inputs'!W55&lt;1))),0,'Model inputs'!W74*'Model inputs'!AG20/12)</f>
        <v>0</v>
      </c>
      <c r="X95" s="10">
        <f>IF(IF(IF(ISERROR('Model inputs'!X55&lt;1),'Model inputs'!X55&lt;1,IF('Model inputs'!X55="","",'Model inputs'!X55&lt;1))="",FALSE,IF(ISERROR('Model inputs'!X55&lt;1),'Model inputs'!X55&lt;1,IF('Model inputs'!X55="","",'Model inputs'!X55&lt;1))),0,'Model inputs'!X74*'Model inputs'!AG20/12)</f>
        <v>0</v>
      </c>
      <c r="Y95" s="10">
        <f>IF(IF(IF(ISERROR('Model inputs'!Y55&lt;1),'Model inputs'!Y55&lt;1,IF('Model inputs'!Y55="","",'Model inputs'!Y55&lt;1))="",FALSE,IF(ISERROR('Model inputs'!Y55&lt;1),'Model inputs'!Y55&lt;1,IF('Model inputs'!Y55="","",'Model inputs'!Y55&lt;1))),0,'Model inputs'!Y74*'Model inputs'!AG20/12)</f>
        <v>0</v>
      </c>
      <c r="Z95" s="10">
        <f>IF(IF(IF(ISERROR('Model inputs'!Z55&lt;1),'Model inputs'!Z55&lt;1,IF('Model inputs'!Z55="","",'Model inputs'!Z55&lt;1))="",FALSE,IF(ISERROR('Model inputs'!Z55&lt;1),'Model inputs'!Z55&lt;1,IF('Model inputs'!Z55="","",'Model inputs'!Z55&lt;1))),0,'Model inputs'!Z74*'Model inputs'!AG20/12)</f>
        <v>0</v>
      </c>
      <c r="AA95" s="10">
        <f>IF(IF(IF(ISERROR('Model inputs'!AA55&lt;1),'Model inputs'!AA55&lt;1,IF('Model inputs'!AA55="","",'Model inputs'!AA55&lt;1))="",FALSE,IF(ISERROR('Model inputs'!AA55&lt;1),'Model inputs'!AA55&lt;1,IF('Model inputs'!AA55="","",'Model inputs'!AA55&lt;1))),0,'Model inputs'!AA74*'Model inputs'!AG20/12)</f>
        <v>0</v>
      </c>
      <c r="AB95" s="10">
        <f>IF(IF(IF(ISERROR('Model inputs'!AB55&lt;1),'Model inputs'!AB55&lt;1,IF('Model inputs'!AB55="","",'Model inputs'!AB55&lt;1))="",FALSE,IF(ISERROR('Model inputs'!AB55&lt;1),'Model inputs'!AB55&lt;1,IF('Model inputs'!AB55="","",'Model inputs'!AB55&lt;1))),0,'Model inputs'!AB74*'Model inputs'!AG20/12)</f>
        <v>0</v>
      </c>
      <c r="AC95" s="10">
        <f>IF(IF(IF(ISERROR('Model inputs'!AC55&lt;1),'Model inputs'!AC55&lt;1,IF('Model inputs'!AC55="","",'Model inputs'!AC55&lt;1))="",FALSE,IF(ISERROR('Model inputs'!AC55&lt;1),'Model inputs'!AC55&lt;1,IF('Model inputs'!AC55="","",'Model inputs'!AC55&lt;1))),0,'Model inputs'!AC74*'Model inputs'!AG20/12)</f>
        <v>0</v>
      </c>
      <c r="AD95" s="10">
        <f>IF(IF(IF(ISERROR('Model inputs'!AD55&lt;1),'Model inputs'!AD55&lt;1,IF('Model inputs'!AD55="","",'Model inputs'!AD55&lt;1))="",FALSE,IF(ISERROR('Model inputs'!AD55&lt;1),'Model inputs'!AD55&lt;1,IF('Model inputs'!AD55="","",'Model inputs'!AD55&lt;1))),0,'Model inputs'!AD74*'Model inputs'!AG20/12)</f>
        <v>0</v>
      </c>
      <c r="AE95" s="10">
        <f>IF(IF(IF(ISERROR('Model inputs'!AE55&lt;1),'Model inputs'!AE55&lt;1,IF('Model inputs'!AE55="","",'Model inputs'!AE55&lt;1))="",FALSE,IF(ISERROR('Model inputs'!AE55&lt;1),'Model inputs'!AE55&lt;1,IF('Model inputs'!AE55="","",'Model inputs'!AE55&lt;1))),0,'Model inputs'!AE74*'Model inputs'!AG20/12)</f>
        <v>0</v>
      </c>
      <c r="AF95" s="10">
        <f>IF(IF(IF(ISERROR('Model inputs'!AF55&lt;1),'Model inputs'!AF55&lt;1,IF('Model inputs'!AF55="","",'Model inputs'!AF55&lt;1))="",FALSE,IF(ISERROR('Model inputs'!AF55&lt;1),'Model inputs'!AF55&lt;1,IF('Model inputs'!AF55="","",'Model inputs'!AF55&lt;1))),0,'Model inputs'!AF74*'Model inputs'!AG20/12)</f>
        <v>0</v>
      </c>
    </row>
    <row r="96" outlineLevel="1">
      <c r="A96" t="inlineStr" s="21">
        <is>
          <t xml:space="preserve">Upgrades out &gt; Team</t>
        </is>
      </c>
      <c r="L96" s="10">
        <f>IF(IF(IF(ISERROR('Model inputs'!L55&lt;1),'Model inputs'!L55&lt;1,IF('Model inputs'!L55="","",'Model inputs'!L55&lt;1))="",FALSE,IF(ISERROR('Model inputs'!L55&lt;1),'Model inputs'!L55&lt;1,IF('Model inputs'!L55="","",'Model inputs'!L55&lt;1))),0,'Model inputs'!L75*'Model inputs'!AG21/12)</f>
        <v>0</v>
      </c>
      <c r="M96" s="10">
        <f>IF(IF(IF(ISERROR('Model inputs'!M55&lt;1),'Model inputs'!M55&lt;1,IF('Model inputs'!M55="","",'Model inputs'!M55&lt;1))="",FALSE,IF(ISERROR('Model inputs'!M55&lt;1),'Model inputs'!M55&lt;1,IF('Model inputs'!M55="","",'Model inputs'!M55&lt;1))),0,'Model inputs'!M75*'Model inputs'!AG21/12)</f>
        <v>0</v>
      </c>
      <c r="N96" s="10">
        <f>IF(IF(IF(ISERROR('Model inputs'!N55&lt;1),'Model inputs'!N55&lt;1,IF('Model inputs'!N55="","",'Model inputs'!N55&lt;1))="",FALSE,IF(ISERROR('Model inputs'!N55&lt;1),'Model inputs'!N55&lt;1,IF('Model inputs'!N55="","",'Model inputs'!N55&lt;1))),0,'Model inputs'!N75*'Model inputs'!AG21/12)</f>
        <v>0</v>
      </c>
      <c r="O96" s="10">
        <f>IF(IF(IF(ISERROR('Model inputs'!O55&lt;1),'Model inputs'!O55&lt;1,IF('Model inputs'!O55="","",'Model inputs'!O55&lt;1))="",FALSE,IF(ISERROR('Model inputs'!O55&lt;1),'Model inputs'!O55&lt;1,IF('Model inputs'!O55="","",'Model inputs'!O55&lt;1))),0,'Model inputs'!O75*'Model inputs'!AG21/12)</f>
        <v>0</v>
      </c>
      <c r="P96" s="10">
        <f>IF(IF(IF(ISERROR('Model inputs'!P55&lt;1),'Model inputs'!P55&lt;1,IF('Model inputs'!P55="","",'Model inputs'!P55&lt;1))="",FALSE,IF(ISERROR('Model inputs'!P55&lt;1),'Model inputs'!P55&lt;1,IF('Model inputs'!P55="","",'Model inputs'!P55&lt;1))),0,'Model inputs'!P75*'Model inputs'!AG21/12)</f>
        <v>0.025</v>
      </c>
      <c r="Q96" s="10">
        <f>IF(IF(IF(ISERROR('Model inputs'!Q55&lt;1),'Model inputs'!Q55&lt;1,IF('Model inputs'!Q55="","",'Model inputs'!Q55&lt;1))="",FALSE,IF(ISERROR('Model inputs'!Q55&lt;1),'Model inputs'!Q55&lt;1,IF('Model inputs'!Q55="","",'Model inputs'!Q55&lt;1))),0,'Model inputs'!Q75*'Model inputs'!AG21/12)</f>
        <v>0.03775694444444445</v>
      </c>
      <c r="R96" s="10">
        <f>IF(IF(IF(ISERROR('Model inputs'!R55&lt;1),'Model inputs'!R55&lt;1,IF('Model inputs'!R55="","",'Model inputs'!R55&lt;1))="",FALSE,IF(ISERROR('Model inputs'!R55&lt;1),'Model inputs'!R55&lt;1,IF('Model inputs'!R55="","",'Model inputs'!R55&lt;1))),0,'Model inputs'!R75*'Model inputs'!AG21/12)</f>
        <v>0.05228173032407408</v>
      </c>
      <c r="S96" s="10">
        <f>IF(IF(IF(ISERROR('Model inputs'!S55&lt;1),'Model inputs'!S55&lt;1,IF('Model inputs'!S55="","",'Model inputs'!S55&lt;1))="",FALSE,IF(ISERROR('Model inputs'!S55&lt;1),'Model inputs'!S55&lt;1,IF('Model inputs'!S55="","",'Model inputs'!S55&lt;1))),0,'Model inputs'!S75*'Model inputs'!AG21/12)</f>
        <v>0.06829759836516204</v>
      </c>
      <c r="T96" s="10">
        <f>IF(IF(IF(ISERROR('Model inputs'!T55&lt;1),'Model inputs'!T55&lt;1,IF('Model inputs'!T55="","",'Model inputs'!T55&lt;1))="",FALSE,IF(ISERROR('Model inputs'!T55&lt;1),'Model inputs'!T55&lt;1,IF('Model inputs'!T55="","",'Model inputs'!T55&lt;1))),0,'Model inputs'!T75*'Model inputs'!AG21/12)</f>
        <v>0.08591028021525769</v>
      </c>
      <c r="U96" s="10">
        <f>IF(IF(IF(ISERROR('Model inputs'!U55&lt;1),'Model inputs'!U55&lt;1,IF('Model inputs'!U55="","",'Model inputs'!U55&lt;1))="",FALSE,IF(ISERROR('Model inputs'!U55&lt;1),'Model inputs'!U55&lt;1,IF('Model inputs'!U55="","",'Model inputs'!U55&lt;1))),0,'Model inputs'!U75*'Model inputs'!AG21/12)</f>
        <v>0.10523916656030362</v>
      </c>
      <c r="V96" s="10">
        <f>IF(IF(IF(ISERROR('Model inputs'!V55&lt;1),'Model inputs'!V55&lt;1,IF('Model inputs'!V55="","",'Model inputs'!V55&lt;1))="",FALSE,IF(ISERROR('Model inputs'!V55&lt;1),'Model inputs'!V55&lt;1,IF('Model inputs'!V55="","",'Model inputs'!V55&lt;1))),0,'Model inputs'!V75*'Model inputs'!AG21/12)</f>
        <v>0.12641836467173376</v>
      </c>
      <c r="W96" s="10">
        <f>IF(IF(IF(ISERROR('Model inputs'!W55&lt;1),'Model inputs'!W55&lt;1,IF('Model inputs'!W55="","",'Model inputs'!W55&lt;1))="",FALSE,IF(ISERROR('Model inputs'!W55&lt;1),'Model inputs'!W55&lt;1,IF('Model inputs'!W55="","",'Model inputs'!W55&lt;1))),0,'Model inputs'!W75*'Model inputs'!AG21/12)</f>
        <v>0.1495978780919851</v>
      </c>
      <c r="X96" s="10">
        <f>IF(IF(IF(ISERROR('Model inputs'!X55&lt;1),'Model inputs'!X55&lt;1,IF('Model inputs'!X55="","",'Model inputs'!X55&lt;1))="",FALSE,IF(ISERROR('Model inputs'!X55&lt;1),'Model inputs'!X55&lt;1,IF('Model inputs'!X55="","",'Model inputs'!X55&lt;1))),0,'Model inputs'!X75*'Model inputs'!AG21/12)</f>
        <v>0.17494491910820884</v>
      </c>
      <c r="Y96" s="10">
        <f>IF(IF(IF(ISERROR('Model inputs'!Y55&lt;1),'Model inputs'!Y55&lt;1,IF('Model inputs'!Y55="","",'Model inputs'!Y55&lt;1))="",FALSE,IF(ISERROR('Model inputs'!Y55&lt;1),'Model inputs'!Y55&lt;1,IF('Model inputs'!Y55="","",'Model inputs'!Y55&lt;1))),0,'Model inputs'!Y75*'Model inputs'!AG21/12)</f>
        <v>0.20118382797518408</v>
      </c>
      <c r="Z96" s="10">
        <f>IF(IF(IF(ISERROR('Model inputs'!Z55&lt;1),'Model inputs'!Z55&lt;1,IF('Model inputs'!Z55="","",'Model inputs'!Z55&lt;1))="",FALSE,IF(ISERROR('Model inputs'!Z55&lt;1),'Model inputs'!Z55&lt;1,IF('Model inputs'!Z55="","",'Model inputs'!Z55&lt;1))),0,'Model inputs'!Z75*'Model inputs'!AG21/12)</f>
        <v>0.22831847756622248</v>
      </c>
      <c r="AA96" s="10">
        <f>IF(IF(IF(ISERROR('Model inputs'!AA55&lt;1),'Model inputs'!AA55&lt;1,IF('Model inputs'!AA55="","",'Model inputs'!AA55&lt;1))="",FALSE,IF(ISERROR('Model inputs'!AA55&lt;1),'Model inputs'!AA55&lt;1,IF('Model inputs'!AA55="","",'Model inputs'!AA55&lt;1))),0,'Model inputs'!AA75*'Model inputs'!AG21/12)</f>
        <v>0.2563563802754732</v>
      </c>
      <c r="AB96" s="10">
        <f>IF(IF(IF(ISERROR('Model inputs'!AB55&lt;1),'Model inputs'!AB55&lt;1,IF('Model inputs'!AB55="","",'Model inputs'!AB55&lt;1))="",FALSE,IF(ISERROR('Model inputs'!AB55&lt;1),'Model inputs'!AB55&lt;1,IF('Model inputs'!AB55="","",'Model inputs'!AB55&lt;1))),0,'Model inputs'!AB75*'Model inputs'!AG21/12)</f>
        <v>0.28530855467185373</v>
      </c>
      <c r="AC96" s="10">
        <f>IF(IF(IF(ISERROR('Model inputs'!AC55&lt;1),'Model inputs'!AC55&lt;1,IF('Model inputs'!AC55="","",'Model inputs'!AC55&lt;1))="",FALSE,IF(ISERROR('Model inputs'!AC55&lt;1),'Model inputs'!AC55&lt;1,IF('Model inputs'!AC55="","",'Model inputs'!AC55&lt;1))),0,'Model inputs'!AC75*'Model inputs'!AG21/12)</f>
        <v>0.3151894070071091</v>
      </c>
      <c r="AD96" s="10">
        <f>IF(IF(IF(ISERROR('Model inputs'!AD55&lt;1),'Model inputs'!AD55&lt;1,IF('Model inputs'!AD55="","",'Model inputs'!AD55&lt;1))="",FALSE,IF(ISERROR('Model inputs'!AD55&lt;1),'Model inputs'!AD55&lt;1,IF('Model inputs'!AD55="","",'Model inputs'!AD55&lt;1))),0,'Model inputs'!AD75*'Model inputs'!AG21/12)</f>
        <v>0.34601662677187894</v>
      </c>
      <c r="AE96" s="10">
        <f>IF(IF(IF(ISERROR('Model inputs'!AE55&lt;1),'Model inputs'!AE55&lt;1,IF('Model inputs'!AE55="","",'Model inputs'!AE55&lt;1))="",FALSE,IF(ISERROR('Model inputs'!AE55&lt;1),'Model inputs'!AE55&lt;1,IF('Model inputs'!AE55="","",'Model inputs'!AE55&lt;1))),0,'Model inputs'!AE75*'Model inputs'!AG21/12)</f>
        <v>0.3778110955566152</v>
      </c>
      <c r="AF96" s="10">
        <f>IF(IF(IF(ISERROR('Model inputs'!AF55&lt;1),'Model inputs'!AF55&lt;1,IF('Model inputs'!AF55="","",'Model inputs'!AF55&lt;1))="",FALSE,IF(ISERROR('Model inputs'!AF55&lt;1),'Model inputs'!AF55&lt;1,IF('Model inputs'!AF55="","",'Model inputs'!AF55&lt;1))),0,'Model inputs'!AF75*'Model inputs'!AG21/12)</f>
        <v>0.41059680853327324</v>
      </c>
    </row>
    <row r="97">
      <c r="A97" t="inlineStr" s="20">
        <is>
          <t xml:space="preserve">Waitlist conversions (month 1)</t>
        </is>
      </c>
      <c r="AG97" s="7">
        <v>0</v>
      </c>
    </row>
    <row r="98" outlineLevel="1">
      <c r="A98" t="inlineStr" s="21">
        <is>
          <t xml:space="preserve">Waitlist conversions (month 1) &gt; Indie</t>
        </is>
      </c>
      <c r="AG98" s="17">
        <f>12</f>
        <v>12</v>
      </c>
    </row>
    <row r="99" outlineLevel="1">
      <c r="A99" t="inlineStr" s="21">
        <is>
          <t xml:space="preserve">Waitlist conversions (month 1) &gt; Launch</t>
        </is>
      </c>
      <c r="AG99" s="17">
        <f>0</f>
        <v>0</v>
      </c>
    </row>
    <row r="100" outlineLevel="1">
      <c r="A100" t="inlineStr" s="21">
        <is>
          <t xml:space="preserve">Waitlist conversions (month 1) &gt; Team</t>
        </is>
      </c>
      <c r="AG100" s="17">
        <f>0</f>
        <v>0</v>
      </c>
    </row>
    <row r="101">
      <c r="A101" t="inlineStr" s="20">
        <is>
          <t xml:space="preserve">Waitlist new logos</t>
        </is>
      </c>
      <c r="L101" s="8">
        <f>SUM('Model inputs'!L102,'Model inputs'!L103,'Model inputs'!L104)</f>
        <v>0</v>
      </c>
      <c r="M101" s="8">
        <f>SUM('Model inputs'!M102,'Model inputs'!M103,'Model inputs'!M104)</f>
        <v>0</v>
      </c>
      <c r="N101" s="8">
        <f>SUM('Model inputs'!N102,'Model inputs'!N103,'Model inputs'!N104)</f>
        <v>0</v>
      </c>
      <c r="O101" s="8">
        <f>SUM('Model inputs'!O102,'Model inputs'!O103,'Model inputs'!O104)</f>
        <v>0</v>
      </c>
      <c r="P101" s="8">
        <f>SUM('Model inputs'!P102,'Model inputs'!P103,'Model inputs'!P104)</f>
        <v>12</v>
      </c>
      <c r="Q101" s="8">
        <f>SUM('Model inputs'!Q102,'Model inputs'!Q103,'Model inputs'!Q104)</f>
        <v>0</v>
      </c>
      <c r="R101" s="8">
        <f>SUM('Model inputs'!R102,'Model inputs'!R103,'Model inputs'!R104)</f>
        <v>0</v>
      </c>
      <c r="S101" s="8">
        <f>SUM('Model inputs'!S102,'Model inputs'!S103,'Model inputs'!S104)</f>
        <v>0</v>
      </c>
      <c r="T101" s="8">
        <f>SUM('Model inputs'!T102,'Model inputs'!T103,'Model inputs'!T104)</f>
        <v>0</v>
      </c>
      <c r="U101" s="8">
        <f>SUM('Model inputs'!U102,'Model inputs'!U103,'Model inputs'!U104)</f>
        <v>0</v>
      </c>
      <c r="V101" s="8">
        <f>SUM('Model inputs'!V102,'Model inputs'!V103,'Model inputs'!V104)</f>
        <v>0</v>
      </c>
      <c r="W101" s="8">
        <f>SUM('Model inputs'!W102,'Model inputs'!W103,'Model inputs'!W104)</f>
        <v>0</v>
      </c>
      <c r="X101" s="8">
        <f>SUM('Model inputs'!X102,'Model inputs'!X103,'Model inputs'!X104)</f>
        <v>0</v>
      </c>
      <c r="Y101" s="8">
        <f>SUM('Model inputs'!Y102,'Model inputs'!Y103,'Model inputs'!Y104)</f>
        <v>0</v>
      </c>
      <c r="Z101" s="8">
        <f>SUM('Model inputs'!Z102,'Model inputs'!Z103,'Model inputs'!Z104)</f>
        <v>0</v>
      </c>
      <c r="AA101" s="8">
        <f>SUM('Model inputs'!AA102,'Model inputs'!AA103,'Model inputs'!AA104)</f>
        <v>0</v>
      </c>
      <c r="AB101" s="8">
        <f>SUM('Model inputs'!AB102,'Model inputs'!AB103,'Model inputs'!AB104)</f>
        <v>0</v>
      </c>
      <c r="AC101" s="8">
        <f>SUM('Model inputs'!AC102,'Model inputs'!AC103,'Model inputs'!AC104)</f>
        <v>0</v>
      </c>
      <c r="AD101" s="8">
        <f>SUM('Model inputs'!AD102,'Model inputs'!AD103,'Model inputs'!AD104)</f>
        <v>0</v>
      </c>
      <c r="AE101" s="8">
        <f>SUM('Model inputs'!AE102,'Model inputs'!AE103,'Model inputs'!AE104)</f>
        <v>0</v>
      </c>
      <c r="AF101" s="8">
        <f>SUM('Model inputs'!AF102,'Model inputs'!AF103,'Model inputs'!AF104)</f>
        <v>0</v>
      </c>
    </row>
    <row r="102" outlineLevel="1">
      <c r="A102" t="inlineStr" s="21">
        <is>
          <t xml:space="preserve">Waitlist new logos &gt; Indie</t>
        </is>
      </c>
      <c r="L102" s="10">
        <f>IF(IF(IF(ISERROR('Model inputs'!L55=1),'Model inputs'!L55=1,IF('Model inputs'!L55="","",'Model inputs'!L55=1))="",FALSE,IF(ISERROR('Model inputs'!L55=1),'Model inputs'!L55=1,IF('Model inputs'!L55="","",'Model inputs'!L55=1))),IF('Model inputs'!AG98="","",'Model inputs'!AG98),0)</f>
        <v>0</v>
      </c>
      <c r="M102" s="10">
        <f>IF(IF(IF(ISERROR('Model inputs'!M55=1),'Model inputs'!M55=1,IF('Model inputs'!M55="","",'Model inputs'!M55=1))="",FALSE,IF(ISERROR('Model inputs'!M55=1),'Model inputs'!M55=1,IF('Model inputs'!M55="","",'Model inputs'!M55=1))),IF('Model inputs'!AG98="","",'Model inputs'!AG98),0)</f>
        <v>0</v>
      </c>
      <c r="N102" s="10">
        <f>IF(IF(IF(ISERROR('Model inputs'!N55=1),'Model inputs'!N55=1,IF('Model inputs'!N55="","",'Model inputs'!N55=1))="",FALSE,IF(ISERROR('Model inputs'!N55=1),'Model inputs'!N55=1,IF('Model inputs'!N55="","",'Model inputs'!N55=1))),IF('Model inputs'!AG98="","",'Model inputs'!AG98),0)</f>
        <v>0</v>
      </c>
      <c r="O102" s="10">
        <f>IF(IF(IF(ISERROR('Model inputs'!O55=1),'Model inputs'!O55=1,IF('Model inputs'!O55="","",'Model inputs'!O55=1))="",FALSE,IF(ISERROR('Model inputs'!O55=1),'Model inputs'!O55=1,IF('Model inputs'!O55="","",'Model inputs'!O55=1))),IF('Model inputs'!AG98="","",'Model inputs'!AG98),0)</f>
        <v>0</v>
      </c>
      <c r="P102" s="10">
        <f>IF(IF(IF(ISERROR('Model inputs'!P55=1),'Model inputs'!P55=1,IF('Model inputs'!P55="","",'Model inputs'!P55=1))="",FALSE,IF(ISERROR('Model inputs'!P55=1),'Model inputs'!P55=1,IF('Model inputs'!P55="","",'Model inputs'!P55=1))),IF('Model inputs'!AG98="","",'Model inputs'!AG98),0)</f>
        <v>12</v>
      </c>
      <c r="Q102" s="10">
        <f>IF(IF(IF(ISERROR('Model inputs'!Q55=1),'Model inputs'!Q55=1,IF('Model inputs'!Q55="","",'Model inputs'!Q55=1))="",FALSE,IF(ISERROR('Model inputs'!Q55=1),'Model inputs'!Q55=1,IF('Model inputs'!Q55="","",'Model inputs'!Q55=1))),IF('Model inputs'!AG98="","",'Model inputs'!AG98),0)</f>
        <v>0</v>
      </c>
      <c r="R102" s="10">
        <f>IF(IF(IF(ISERROR('Model inputs'!R55=1),'Model inputs'!R55=1,IF('Model inputs'!R55="","",'Model inputs'!R55=1))="",FALSE,IF(ISERROR('Model inputs'!R55=1),'Model inputs'!R55=1,IF('Model inputs'!R55="","",'Model inputs'!R55=1))),IF('Model inputs'!AG98="","",'Model inputs'!AG98),0)</f>
        <v>0</v>
      </c>
      <c r="S102" s="10">
        <f>IF(IF(IF(ISERROR('Model inputs'!S55=1),'Model inputs'!S55=1,IF('Model inputs'!S55="","",'Model inputs'!S55=1))="",FALSE,IF(ISERROR('Model inputs'!S55=1),'Model inputs'!S55=1,IF('Model inputs'!S55="","",'Model inputs'!S55=1))),IF('Model inputs'!AG98="","",'Model inputs'!AG98),0)</f>
        <v>0</v>
      </c>
      <c r="T102" s="10">
        <f>IF(IF(IF(ISERROR('Model inputs'!T55=1),'Model inputs'!T55=1,IF('Model inputs'!T55="","",'Model inputs'!T55=1))="",FALSE,IF(ISERROR('Model inputs'!T55=1),'Model inputs'!T55=1,IF('Model inputs'!T55="","",'Model inputs'!T55=1))),IF('Model inputs'!AG98="","",'Model inputs'!AG98),0)</f>
        <v>0</v>
      </c>
      <c r="U102" s="10">
        <f>IF(IF(IF(ISERROR('Model inputs'!U55=1),'Model inputs'!U55=1,IF('Model inputs'!U55="","",'Model inputs'!U55=1))="",FALSE,IF(ISERROR('Model inputs'!U55=1),'Model inputs'!U55=1,IF('Model inputs'!U55="","",'Model inputs'!U55=1))),IF('Model inputs'!AG98="","",'Model inputs'!AG98),0)</f>
        <v>0</v>
      </c>
      <c r="V102" s="10">
        <f>IF(IF(IF(ISERROR('Model inputs'!V55=1),'Model inputs'!V55=1,IF('Model inputs'!V55="","",'Model inputs'!V55=1))="",FALSE,IF(ISERROR('Model inputs'!V55=1),'Model inputs'!V55=1,IF('Model inputs'!V55="","",'Model inputs'!V55=1))),IF('Model inputs'!AG98="","",'Model inputs'!AG98),0)</f>
        <v>0</v>
      </c>
      <c r="W102" s="10">
        <f>IF(IF(IF(ISERROR('Model inputs'!W55=1),'Model inputs'!W55=1,IF('Model inputs'!W55="","",'Model inputs'!W55=1))="",FALSE,IF(ISERROR('Model inputs'!W55=1),'Model inputs'!W55=1,IF('Model inputs'!W55="","",'Model inputs'!W55=1))),IF('Model inputs'!AG98="","",'Model inputs'!AG98),0)</f>
        <v>0</v>
      </c>
      <c r="X102" s="10">
        <f>IF(IF(IF(ISERROR('Model inputs'!X55=1),'Model inputs'!X55=1,IF('Model inputs'!X55="","",'Model inputs'!X55=1))="",FALSE,IF(ISERROR('Model inputs'!X55=1),'Model inputs'!X55=1,IF('Model inputs'!X55="","",'Model inputs'!X55=1))),IF('Model inputs'!AG98="","",'Model inputs'!AG98),0)</f>
        <v>0</v>
      </c>
      <c r="Y102" s="10">
        <f>IF(IF(IF(ISERROR('Model inputs'!Y55=1),'Model inputs'!Y55=1,IF('Model inputs'!Y55="","",'Model inputs'!Y55=1))="",FALSE,IF(ISERROR('Model inputs'!Y55=1),'Model inputs'!Y55=1,IF('Model inputs'!Y55="","",'Model inputs'!Y55=1))),IF('Model inputs'!AG98="","",'Model inputs'!AG98),0)</f>
        <v>0</v>
      </c>
      <c r="Z102" s="10">
        <f>IF(IF(IF(ISERROR('Model inputs'!Z55=1),'Model inputs'!Z55=1,IF('Model inputs'!Z55="","",'Model inputs'!Z55=1))="",FALSE,IF(ISERROR('Model inputs'!Z55=1),'Model inputs'!Z55=1,IF('Model inputs'!Z55="","",'Model inputs'!Z55=1))),IF('Model inputs'!AG98="","",'Model inputs'!AG98),0)</f>
        <v>0</v>
      </c>
      <c r="AA102" s="10">
        <f>IF(IF(IF(ISERROR('Model inputs'!AA55=1),'Model inputs'!AA55=1,IF('Model inputs'!AA55="","",'Model inputs'!AA55=1))="",FALSE,IF(ISERROR('Model inputs'!AA55=1),'Model inputs'!AA55=1,IF('Model inputs'!AA55="","",'Model inputs'!AA55=1))),IF('Model inputs'!AG98="","",'Model inputs'!AG98),0)</f>
        <v>0</v>
      </c>
      <c r="AB102" s="10">
        <f>IF(IF(IF(ISERROR('Model inputs'!AB55=1),'Model inputs'!AB55=1,IF('Model inputs'!AB55="","",'Model inputs'!AB55=1))="",FALSE,IF(ISERROR('Model inputs'!AB55=1),'Model inputs'!AB55=1,IF('Model inputs'!AB55="","",'Model inputs'!AB55=1))),IF('Model inputs'!AG98="","",'Model inputs'!AG98),0)</f>
        <v>0</v>
      </c>
      <c r="AC102" s="10">
        <f>IF(IF(IF(ISERROR('Model inputs'!AC55=1),'Model inputs'!AC55=1,IF('Model inputs'!AC55="","",'Model inputs'!AC55=1))="",FALSE,IF(ISERROR('Model inputs'!AC55=1),'Model inputs'!AC55=1,IF('Model inputs'!AC55="","",'Model inputs'!AC55=1))),IF('Model inputs'!AG98="","",'Model inputs'!AG98),0)</f>
        <v>0</v>
      </c>
      <c r="AD102" s="10">
        <f>IF(IF(IF(ISERROR('Model inputs'!AD55=1),'Model inputs'!AD55=1,IF('Model inputs'!AD55="","",'Model inputs'!AD55=1))="",FALSE,IF(ISERROR('Model inputs'!AD55=1),'Model inputs'!AD55=1,IF('Model inputs'!AD55="","",'Model inputs'!AD55=1))),IF('Model inputs'!AG98="","",'Model inputs'!AG98),0)</f>
        <v>0</v>
      </c>
      <c r="AE102" s="10">
        <f>IF(IF(IF(ISERROR('Model inputs'!AE55=1),'Model inputs'!AE55=1,IF('Model inputs'!AE55="","",'Model inputs'!AE55=1))="",FALSE,IF(ISERROR('Model inputs'!AE55=1),'Model inputs'!AE55=1,IF('Model inputs'!AE55="","",'Model inputs'!AE55=1))),IF('Model inputs'!AG98="","",'Model inputs'!AG98),0)</f>
        <v>0</v>
      </c>
      <c r="AF102" s="10">
        <f>IF(IF(IF(ISERROR('Model inputs'!AF55=1),'Model inputs'!AF55=1,IF('Model inputs'!AF55="","",'Model inputs'!AF55=1))="",FALSE,IF(ISERROR('Model inputs'!AF55=1),'Model inputs'!AF55=1,IF('Model inputs'!AF55="","",'Model inputs'!AF55=1))),IF('Model inputs'!AG98="","",'Model inputs'!AG98),0)</f>
        <v>0</v>
      </c>
    </row>
    <row r="103" outlineLevel="1">
      <c r="A103" t="inlineStr" s="21">
        <is>
          <t xml:space="preserve">Waitlist new logos &gt; Launch</t>
        </is>
      </c>
      <c r="L103" s="10">
        <f>IF(IF(IF(ISERROR('Model inputs'!L55=1),'Model inputs'!L55=1,IF('Model inputs'!L55="","",'Model inputs'!L55=1))="",FALSE,IF(ISERROR('Model inputs'!L55=1),'Model inputs'!L55=1,IF('Model inputs'!L55="","",'Model inputs'!L55=1))),IF('Model inputs'!AG99="","",'Model inputs'!AG99),0)</f>
        <v>0</v>
      </c>
      <c r="M103" s="10">
        <f>IF(IF(IF(ISERROR('Model inputs'!M55=1),'Model inputs'!M55=1,IF('Model inputs'!M55="","",'Model inputs'!M55=1))="",FALSE,IF(ISERROR('Model inputs'!M55=1),'Model inputs'!M55=1,IF('Model inputs'!M55="","",'Model inputs'!M55=1))),IF('Model inputs'!AG99="","",'Model inputs'!AG99),0)</f>
        <v>0</v>
      </c>
      <c r="N103" s="10">
        <f>IF(IF(IF(ISERROR('Model inputs'!N55=1),'Model inputs'!N55=1,IF('Model inputs'!N55="","",'Model inputs'!N55=1))="",FALSE,IF(ISERROR('Model inputs'!N55=1),'Model inputs'!N55=1,IF('Model inputs'!N55="","",'Model inputs'!N55=1))),IF('Model inputs'!AG99="","",'Model inputs'!AG99),0)</f>
        <v>0</v>
      </c>
      <c r="O103" s="10">
        <f>IF(IF(IF(ISERROR('Model inputs'!O55=1),'Model inputs'!O55=1,IF('Model inputs'!O55="","",'Model inputs'!O55=1))="",FALSE,IF(ISERROR('Model inputs'!O55=1),'Model inputs'!O55=1,IF('Model inputs'!O55="","",'Model inputs'!O55=1))),IF('Model inputs'!AG99="","",'Model inputs'!AG99),0)</f>
        <v>0</v>
      </c>
      <c r="P103" s="10">
        <f>IF(IF(IF(ISERROR('Model inputs'!P55=1),'Model inputs'!P55=1,IF('Model inputs'!P55="","",'Model inputs'!P55=1))="",FALSE,IF(ISERROR('Model inputs'!P55=1),'Model inputs'!P55=1,IF('Model inputs'!P55="","",'Model inputs'!P55=1))),IF('Model inputs'!AG99="","",'Model inputs'!AG99),0)</f>
        <v>0</v>
      </c>
      <c r="Q103" s="10">
        <f>IF(IF(IF(ISERROR('Model inputs'!Q55=1),'Model inputs'!Q55=1,IF('Model inputs'!Q55="","",'Model inputs'!Q55=1))="",FALSE,IF(ISERROR('Model inputs'!Q55=1),'Model inputs'!Q55=1,IF('Model inputs'!Q55="","",'Model inputs'!Q55=1))),IF('Model inputs'!AG99="","",'Model inputs'!AG99),0)</f>
        <v>0</v>
      </c>
      <c r="R103" s="10">
        <f>IF(IF(IF(ISERROR('Model inputs'!R55=1),'Model inputs'!R55=1,IF('Model inputs'!R55="","",'Model inputs'!R55=1))="",FALSE,IF(ISERROR('Model inputs'!R55=1),'Model inputs'!R55=1,IF('Model inputs'!R55="","",'Model inputs'!R55=1))),IF('Model inputs'!AG99="","",'Model inputs'!AG99),0)</f>
        <v>0</v>
      </c>
      <c r="S103" s="10">
        <f>IF(IF(IF(ISERROR('Model inputs'!S55=1),'Model inputs'!S55=1,IF('Model inputs'!S55="","",'Model inputs'!S55=1))="",FALSE,IF(ISERROR('Model inputs'!S55=1),'Model inputs'!S55=1,IF('Model inputs'!S55="","",'Model inputs'!S55=1))),IF('Model inputs'!AG99="","",'Model inputs'!AG99),0)</f>
        <v>0</v>
      </c>
      <c r="T103" s="10">
        <f>IF(IF(IF(ISERROR('Model inputs'!T55=1),'Model inputs'!T55=1,IF('Model inputs'!T55="","",'Model inputs'!T55=1))="",FALSE,IF(ISERROR('Model inputs'!T55=1),'Model inputs'!T55=1,IF('Model inputs'!T55="","",'Model inputs'!T55=1))),IF('Model inputs'!AG99="","",'Model inputs'!AG99),0)</f>
        <v>0</v>
      </c>
      <c r="U103" s="10">
        <f>IF(IF(IF(ISERROR('Model inputs'!U55=1),'Model inputs'!U55=1,IF('Model inputs'!U55="","",'Model inputs'!U55=1))="",FALSE,IF(ISERROR('Model inputs'!U55=1),'Model inputs'!U55=1,IF('Model inputs'!U55="","",'Model inputs'!U55=1))),IF('Model inputs'!AG99="","",'Model inputs'!AG99),0)</f>
        <v>0</v>
      </c>
      <c r="V103" s="10">
        <f>IF(IF(IF(ISERROR('Model inputs'!V55=1),'Model inputs'!V55=1,IF('Model inputs'!V55="","",'Model inputs'!V55=1))="",FALSE,IF(ISERROR('Model inputs'!V55=1),'Model inputs'!V55=1,IF('Model inputs'!V55="","",'Model inputs'!V55=1))),IF('Model inputs'!AG99="","",'Model inputs'!AG99),0)</f>
        <v>0</v>
      </c>
      <c r="W103" s="10">
        <f>IF(IF(IF(ISERROR('Model inputs'!W55=1),'Model inputs'!W55=1,IF('Model inputs'!W55="","",'Model inputs'!W55=1))="",FALSE,IF(ISERROR('Model inputs'!W55=1),'Model inputs'!W55=1,IF('Model inputs'!W55="","",'Model inputs'!W55=1))),IF('Model inputs'!AG99="","",'Model inputs'!AG99),0)</f>
        <v>0</v>
      </c>
      <c r="X103" s="10">
        <f>IF(IF(IF(ISERROR('Model inputs'!X55=1),'Model inputs'!X55=1,IF('Model inputs'!X55="","",'Model inputs'!X55=1))="",FALSE,IF(ISERROR('Model inputs'!X55=1),'Model inputs'!X55=1,IF('Model inputs'!X55="","",'Model inputs'!X55=1))),IF('Model inputs'!AG99="","",'Model inputs'!AG99),0)</f>
        <v>0</v>
      </c>
      <c r="Y103" s="10">
        <f>IF(IF(IF(ISERROR('Model inputs'!Y55=1),'Model inputs'!Y55=1,IF('Model inputs'!Y55="","",'Model inputs'!Y55=1))="",FALSE,IF(ISERROR('Model inputs'!Y55=1),'Model inputs'!Y55=1,IF('Model inputs'!Y55="","",'Model inputs'!Y55=1))),IF('Model inputs'!AG99="","",'Model inputs'!AG99),0)</f>
        <v>0</v>
      </c>
      <c r="Z103" s="10">
        <f>IF(IF(IF(ISERROR('Model inputs'!Z55=1),'Model inputs'!Z55=1,IF('Model inputs'!Z55="","",'Model inputs'!Z55=1))="",FALSE,IF(ISERROR('Model inputs'!Z55=1),'Model inputs'!Z55=1,IF('Model inputs'!Z55="","",'Model inputs'!Z55=1))),IF('Model inputs'!AG99="","",'Model inputs'!AG99),0)</f>
        <v>0</v>
      </c>
      <c r="AA103" s="10">
        <f>IF(IF(IF(ISERROR('Model inputs'!AA55=1),'Model inputs'!AA55=1,IF('Model inputs'!AA55="","",'Model inputs'!AA55=1))="",FALSE,IF(ISERROR('Model inputs'!AA55=1),'Model inputs'!AA55=1,IF('Model inputs'!AA55="","",'Model inputs'!AA55=1))),IF('Model inputs'!AG99="","",'Model inputs'!AG99),0)</f>
        <v>0</v>
      </c>
      <c r="AB103" s="10">
        <f>IF(IF(IF(ISERROR('Model inputs'!AB55=1),'Model inputs'!AB55=1,IF('Model inputs'!AB55="","",'Model inputs'!AB55=1))="",FALSE,IF(ISERROR('Model inputs'!AB55=1),'Model inputs'!AB55=1,IF('Model inputs'!AB55="","",'Model inputs'!AB55=1))),IF('Model inputs'!AG99="","",'Model inputs'!AG99),0)</f>
        <v>0</v>
      </c>
      <c r="AC103" s="10">
        <f>IF(IF(IF(ISERROR('Model inputs'!AC55=1),'Model inputs'!AC55=1,IF('Model inputs'!AC55="","",'Model inputs'!AC55=1))="",FALSE,IF(ISERROR('Model inputs'!AC55=1),'Model inputs'!AC55=1,IF('Model inputs'!AC55="","",'Model inputs'!AC55=1))),IF('Model inputs'!AG99="","",'Model inputs'!AG99),0)</f>
        <v>0</v>
      </c>
      <c r="AD103" s="10">
        <f>IF(IF(IF(ISERROR('Model inputs'!AD55=1),'Model inputs'!AD55=1,IF('Model inputs'!AD55="","",'Model inputs'!AD55=1))="",FALSE,IF(ISERROR('Model inputs'!AD55=1),'Model inputs'!AD55=1,IF('Model inputs'!AD55="","",'Model inputs'!AD55=1))),IF('Model inputs'!AG99="","",'Model inputs'!AG99),0)</f>
        <v>0</v>
      </c>
      <c r="AE103" s="10">
        <f>IF(IF(IF(ISERROR('Model inputs'!AE55=1),'Model inputs'!AE55=1,IF('Model inputs'!AE55="","",'Model inputs'!AE55=1))="",FALSE,IF(ISERROR('Model inputs'!AE55=1),'Model inputs'!AE55=1,IF('Model inputs'!AE55="","",'Model inputs'!AE55=1))),IF('Model inputs'!AG99="","",'Model inputs'!AG99),0)</f>
        <v>0</v>
      </c>
      <c r="AF103" s="10">
        <f>IF(IF(IF(ISERROR('Model inputs'!AF55=1),'Model inputs'!AF55=1,IF('Model inputs'!AF55="","",'Model inputs'!AF55=1))="",FALSE,IF(ISERROR('Model inputs'!AF55=1),'Model inputs'!AF55=1,IF('Model inputs'!AF55="","",'Model inputs'!AF55=1))),IF('Model inputs'!AG99="","",'Model inputs'!AG99),0)</f>
        <v>0</v>
      </c>
    </row>
    <row r="104" outlineLevel="1">
      <c r="A104" t="inlineStr" s="21">
        <is>
          <t xml:space="preserve">Waitlist new logos &gt; Team</t>
        </is>
      </c>
      <c r="L104" s="10">
        <f>IF(IF(IF(ISERROR('Model inputs'!L55=1),'Model inputs'!L55=1,IF('Model inputs'!L55="","",'Model inputs'!L55=1))="",FALSE,IF(ISERROR('Model inputs'!L55=1),'Model inputs'!L55=1,IF('Model inputs'!L55="","",'Model inputs'!L55=1))),IF('Model inputs'!AG100="","",'Model inputs'!AG100),0)</f>
        <v>0</v>
      </c>
      <c r="M104" s="10">
        <f>IF(IF(IF(ISERROR('Model inputs'!M55=1),'Model inputs'!M55=1,IF('Model inputs'!M55="","",'Model inputs'!M55=1))="",FALSE,IF(ISERROR('Model inputs'!M55=1),'Model inputs'!M55=1,IF('Model inputs'!M55="","",'Model inputs'!M55=1))),IF('Model inputs'!AG100="","",'Model inputs'!AG100),0)</f>
        <v>0</v>
      </c>
      <c r="N104" s="10">
        <f>IF(IF(IF(ISERROR('Model inputs'!N55=1),'Model inputs'!N55=1,IF('Model inputs'!N55="","",'Model inputs'!N55=1))="",FALSE,IF(ISERROR('Model inputs'!N55=1),'Model inputs'!N55=1,IF('Model inputs'!N55="","",'Model inputs'!N55=1))),IF('Model inputs'!AG100="","",'Model inputs'!AG100),0)</f>
        <v>0</v>
      </c>
      <c r="O104" s="10">
        <f>IF(IF(IF(ISERROR('Model inputs'!O55=1),'Model inputs'!O55=1,IF('Model inputs'!O55="","",'Model inputs'!O55=1))="",FALSE,IF(ISERROR('Model inputs'!O55=1),'Model inputs'!O55=1,IF('Model inputs'!O55="","",'Model inputs'!O55=1))),IF('Model inputs'!AG100="","",'Model inputs'!AG100),0)</f>
        <v>0</v>
      </c>
      <c r="P104" s="10">
        <f>IF(IF(IF(ISERROR('Model inputs'!P55=1),'Model inputs'!P55=1,IF('Model inputs'!P55="","",'Model inputs'!P55=1))="",FALSE,IF(ISERROR('Model inputs'!P55=1),'Model inputs'!P55=1,IF('Model inputs'!P55="","",'Model inputs'!P55=1))),IF('Model inputs'!AG100="","",'Model inputs'!AG100),0)</f>
        <v>0</v>
      </c>
      <c r="Q104" s="10">
        <f>IF(IF(IF(ISERROR('Model inputs'!Q55=1),'Model inputs'!Q55=1,IF('Model inputs'!Q55="","",'Model inputs'!Q55=1))="",FALSE,IF(ISERROR('Model inputs'!Q55=1),'Model inputs'!Q55=1,IF('Model inputs'!Q55="","",'Model inputs'!Q55=1))),IF('Model inputs'!AG100="","",'Model inputs'!AG100),0)</f>
        <v>0</v>
      </c>
      <c r="R104" s="10">
        <f>IF(IF(IF(ISERROR('Model inputs'!R55=1),'Model inputs'!R55=1,IF('Model inputs'!R55="","",'Model inputs'!R55=1))="",FALSE,IF(ISERROR('Model inputs'!R55=1),'Model inputs'!R55=1,IF('Model inputs'!R55="","",'Model inputs'!R55=1))),IF('Model inputs'!AG100="","",'Model inputs'!AG100),0)</f>
        <v>0</v>
      </c>
      <c r="S104" s="10">
        <f>IF(IF(IF(ISERROR('Model inputs'!S55=1),'Model inputs'!S55=1,IF('Model inputs'!S55="","",'Model inputs'!S55=1))="",FALSE,IF(ISERROR('Model inputs'!S55=1),'Model inputs'!S55=1,IF('Model inputs'!S55="","",'Model inputs'!S55=1))),IF('Model inputs'!AG100="","",'Model inputs'!AG100),0)</f>
        <v>0</v>
      </c>
      <c r="T104" s="10">
        <f>IF(IF(IF(ISERROR('Model inputs'!T55=1),'Model inputs'!T55=1,IF('Model inputs'!T55="","",'Model inputs'!T55=1))="",FALSE,IF(ISERROR('Model inputs'!T55=1),'Model inputs'!T55=1,IF('Model inputs'!T55="","",'Model inputs'!T55=1))),IF('Model inputs'!AG100="","",'Model inputs'!AG100),0)</f>
        <v>0</v>
      </c>
      <c r="U104" s="10">
        <f>IF(IF(IF(ISERROR('Model inputs'!U55=1),'Model inputs'!U55=1,IF('Model inputs'!U55="","",'Model inputs'!U55=1))="",FALSE,IF(ISERROR('Model inputs'!U55=1),'Model inputs'!U55=1,IF('Model inputs'!U55="","",'Model inputs'!U55=1))),IF('Model inputs'!AG100="","",'Model inputs'!AG100),0)</f>
        <v>0</v>
      </c>
      <c r="V104" s="10">
        <f>IF(IF(IF(ISERROR('Model inputs'!V55=1),'Model inputs'!V55=1,IF('Model inputs'!V55="","",'Model inputs'!V55=1))="",FALSE,IF(ISERROR('Model inputs'!V55=1),'Model inputs'!V55=1,IF('Model inputs'!V55="","",'Model inputs'!V55=1))),IF('Model inputs'!AG100="","",'Model inputs'!AG100),0)</f>
        <v>0</v>
      </c>
      <c r="W104" s="10">
        <f>IF(IF(IF(ISERROR('Model inputs'!W55=1),'Model inputs'!W55=1,IF('Model inputs'!W55="","",'Model inputs'!W55=1))="",FALSE,IF(ISERROR('Model inputs'!W55=1),'Model inputs'!W55=1,IF('Model inputs'!W55="","",'Model inputs'!W55=1))),IF('Model inputs'!AG100="","",'Model inputs'!AG100),0)</f>
        <v>0</v>
      </c>
      <c r="X104" s="10">
        <f>IF(IF(IF(ISERROR('Model inputs'!X55=1),'Model inputs'!X55=1,IF('Model inputs'!X55="","",'Model inputs'!X55=1))="",FALSE,IF(ISERROR('Model inputs'!X55=1),'Model inputs'!X55=1,IF('Model inputs'!X55="","",'Model inputs'!X55=1))),IF('Model inputs'!AG100="","",'Model inputs'!AG100),0)</f>
        <v>0</v>
      </c>
      <c r="Y104" s="10">
        <f>IF(IF(IF(ISERROR('Model inputs'!Y55=1),'Model inputs'!Y55=1,IF('Model inputs'!Y55="","",'Model inputs'!Y55=1))="",FALSE,IF(ISERROR('Model inputs'!Y55=1),'Model inputs'!Y55=1,IF('Model inputs'!Y55="","",'Model inputs'!Y55=1))),IF('Model inputs'!AG100="","",'Model inputs'!AG100),0)</f>
        <v>0</v>
      </c>
      <c r="Z104" s="10">
        <f>IF(IF(IF(ISERROR('Model inputs'!Z55=1),'Model inputs'!Z55=1,IF('Model inputs'!Z55="","",'Model inputs'!Z55=1))="",FALSE,IF(ISERROR('Model inputs'!Z55=1),'Model inputs'!Z55=1,IF('Model inputs'!Z55="","",'Model inputs'!Z55=1))),IF('Model inputs'!AG100="","",'Model inputs'!AG100),0)</f>
        <v>0</v>
      </c>
      <c r="AA104" s="10">
        <f>IF(IF(IF(ISERROR('Model inputs'!AA55=1),'Model inputs'!AA55=1,IF('Model inputs'!AA55="","",'Model inputs'!AA55=1))="",FALSE,IF(ISERROR('Model inputs'!AA55=1),'Model inputs'!AA55=1,IF('Model inputs'!AA55="","",'Model inputs'!AA55=1))),IF('Model inputs'!AG100="","",'Model inputs'!AG100),0)</f>
        <v>0</v>
      </c>
      <c r="AB104" s="10">
        <f>IF(IF(IF(ISERROR('Model inputs'!AB55=1),'Model inputs'!AB55=1,IF('Model inputs'!AB55="","",'Model inputs'!AB55=1))="",FALSE,IF(ISERROR('Model inputs'!AB55=1),'Model inputs'!AB55=1,IF('Model inputs'!AB55="","",'Model inputs'!AB55=1))),IF('Model inputs'!AG100="","",'Model inputs'!AG100),0)</f>
        <v>0</v>
      </c>
      <c r="AC104" s="10">
        <f>IF(IF(IF(ISERROR('Model inputs'!AC55=1),'Model inputs'!AC55=1,IF('Model inputs'!AC55="","",'Model inputs'!AC55=1))="",FALSE,IF(ISERROR('Model inputs'!AC55=1),'Model inputs'!AC55=1,IF('Model inputs'!AC55="","",'Model inputs'!AC55=1))),IF('Model inputs'!AG100="","",'Model inputs'!AG100),0)</f>
        <v>0</v>
      </c>
      <c r="AD104" s="10">
        <f>IF(IF(IF(ISERROR('Model inputs'!AD55=1),'Model inputs'!AD55=1,IF('Model inputs'!AD55="","",'Model inputs'!AD55=1))="",FALSE,IF(ISERROR('Model inputs'!AD55=1),'Model inputs'!AD55=1,IF('Model inputs'!AD55="","",'Model inputs'!AD55=1))),IF('Model inputs'!AG100="","",'Model inputs'!AG100),0)</f>
        <v>0</v>
      </c>
      <c r="AE104" s="10">
        <f>IF(IF(IF(ISERROR('Model inputs'!AE55=1),'Model inputs'!AE55=1,IF('Model inputs'!AE55="","",'Model inputs'!AE55=1))="",FALSE,IF(ISERROR('Model inputs'!AE55=1),'Model inputs'!AE55=1,IF('Model inputs'!AE55="","",'Model inputs'!AE55=1))),IF('Model inputs'!AG100="","",'Model inputs'!AG100),0)</f>
        <v>0</v>
      </c>
      <c r="AF104" s="10">
        <f>IF(IF(IF(ISERROR('Model inputs'!AF55=1),'Model inputs'!AF55=1,IF('Model inputs'!AF55="","",'Model inputs'!AF55=1))="",FALSE,IF(ISERROR('Model inputs'!AF55=1),'Model inputs'!AF55=1,IF('Model inputs'!AF55="","",'Model inputs'!AF55=1))),IF('Model inputs'!AG100="","",'Model inputs'!AG100),0)</f>
        <v>0</v>
      </c>
    </row>
    <row r="105">
      <c r="A105" t="inlineStr" s="20">
        <is>
          <t xml:space="preserve">Cash collected</t>
        </is>
      </c>
      <c r="L105" s="15">
        <f>SUM('Model inputs'!L106,'Model inputs'!L107,'Model inputs'!L108)</f>
        <v>0</v>
      </c>
      <c r="M105" s="15">
        <f>SUM('Model inputs'!M106,'Model inputs'!M107,'Model inputs'!M108)</f>
        <v>0</v>
      </c>
      <c r="N105" s="15">
        <f>SUM('Model inputs'!N106,'Model inputs'!N107,'Model inputs'!N108)</f>
        <v>0</v>
      </c>
      <c r="O105" s="15">
        <f>SUM('Model inputs'!O106,'Model inputs'!O107,'Model inputs'!O108)</f>
        <v>2697.6800000000003</v>
      </c>
      <c r="P105" s="15">
        <f>SUM('Model inputs'!P106,'Model inputs'!P107,'Model inputs'!P108)</f>
        <v>5606.778625</v>
      </c>
      <c r="Q105" s="15">
        <f>SUM('Model inputs'!Q106,'Model inputs'!Q107,'Model inputs'!Q108)</f>
        <v>7825.437596222222</v>
      </c>
      <c r="R105" s="15">
        <f>SUM('Model inputs'!R106,'Model inputs'!R107,'Model inputs'!R108)</f>
        <v>10146.445979945347</v>
      </c>
      <c r="S105" s="15">
        <f>SUM('Model inputs'!S106,'Model inputs'!S107,'Model inputs'!S108)</f>
        <v>12580.773190708544</v>
      </c>
      <c r="T105" s="15">
        <f>SUM('Model inputs'!T106,'Model inputs'!T107,'Model inputs'!T108)</f>
        <v>15140.751003750247</v>
      </c>
      <c r="U105" s="15">
        <f>SUM('Model inputs'!U106,'Model inputs'!U107,'Model inputs'!U108)</f>
        <v>17840.17124589042</v>
      </c>
      <c r="V105" s="15">
        <f>SUM('Model inputs'!V106,'Model inputs'!V107,'Model inputs'!V108)</f>
        <v>16646.246766121458</v>
      </c>
      <c r="W105" s="15">
        <f>SUM('Model inputs'!W106,'Model inputs'!W107,'Model inputs'!W108)</f>
        <v>18752.950290076937</v>
      </c>
      <c r="X105" s="15">
        <f>SUM('Model inputs'!X106,'Model inputs'!X107,'Model inputs'!X108)</f>
        <v>20735.056775405457</v>
      </c>
      <c r="Y105" s="15">
        <f>SUM('Model inputs'!Y106,'Model inputs'!Y107,'Model inputs'!Y108)</f>
        <v>22748.46821725793</v>
      </c>
      <c r="Z105" s="15">
        <f>SUM('Model inputs'!Z106,'Model inputs'!Z107,'Model inputs'!Z108)</f>
        <v>24796.445311724372</v>
      </c>
      <c r="AA105" s="15">
        <f>SUM('Model inputs'!AA106,'Model inputs'!AA107,'Model inputs'!AA108)</f>
        <v>26882.269077899713</v>
      </c>
      <c r="AB105" s="15">
        <f>SUM('Model inputs'!AB106,'Model inputs'!AB107,'Model inputs'!AB108)</f>
        <v>29922.356426534036</v>
      </c>
      <c r="AC105" s="15">
        <f>SUM('Model inputs'!AC106,'Model inputs'!AC107,'Model inputs'!AC108)</f>
        <v>32786.31787579432</v>
      </c>
      <c r="AD105" s="15">
        <f>SUM('Model inputs'!AD106,'Model inputs'!AD107,'Model inputs'!AD108)</f>
        <v>35784.22746472322</v>
      </c>
      <c r="AE105" s="15">
        <f>SUM('Model inputs'!AE106,'Model inputs'!AE107,'Model inputs'!AE108)</f>
        <v>38929.0091771567</v>
      </c>
      <c r="AF105" s="15">
        <f>SUM('Model inputs'!AF106,'Model inputs'!AF107,'Model inputs'!AF108)</f>
        <v>42234.939596773154</v>
      </c>
    </row>
    <row r="106" outlineLevel="1">
      <c r="A106" t="inlineStr" s="21">
        <is>
          <t xml:space="preserve">Cash collected &gt; Indie</t>
        </is>
      </c>
      <c r="L106" s="16">
        <f>'Model inputs'!L154*'Model inputs'!AG61+('Model inputs'!L65+'Model inputs'!L15)*'Model inputs'!AG11+'Model inputs'!L158+'Model inputs'!L122</f>
        <v>0</v>
      </c>
      <c r="M106" s="16">
        <f>'Model inputs'!M154*'Model inputs'!AG61+('Model inputs'!M65+'Model inputs'!M15)*'Model inputs'!AG11+'Model inputs'!M158+'Model inputs'!M122</f>
        <v>0</v>
      </c>
      <c r="N106" s="16">
        <f>'Model inputs'!N154*'Model inputs'!AG61+('Model inputs'!N65+'Model inputs'!N15)*'Model inputs'!AG11+'Model inputs'!N158+'Model inputs'!N122</f>
        <v>0</v>
      </c>
      <c r="O106" s="16">
        <f>'Model inputs'!O138*'Model inputs'!AG61+('Model inputs'!O65+'Model inputs'!O15)*'Model inputs'!AG11+'Model inputs'!O142+'Model inputs'!O122</f>
        <v>1230.4</v>
      </c>
      <c r="P106" s="16">
        <f>'Model inputs'!P138*'Model inputs'!AG61+('Model inputs'!P65+'Model inputs'!P15)*'Model inputs'!AG11+'Model inputs'!P142+'Model inputs'!P122</f>
        <v>2286.4933333333333</v>
      </c>
      <c r="Q106" s="16">
        <f>'Model inputs'!Q138*'Model inputs'!AG61+('Model inputs'!Q65+'Model inputs'!Q15)*'Model inputs'!AG11+'Model inputs'!Q142+'Model inputs'!Q122</f>
        <v>2964.5804444444448</v>
      </c>
      <c r="R106" s="16">
        <f>'Model inputs'!R138*'Model inputs'!AG61+('Model inputs'!R65+'Model inputs'!R15)*'Model inputs'!AG11+'Model inputs'!R142+'Model inputs'!R122</f>
        <v>3663.903348148149</v>
      </c>
      <c r="S106" s="16">
        <f>'Model inputs'!S138*'Model inputs'!AG61+('Model inputs'!S65+'Model inputs'!S15)*'Model inputs'!AG11+'Model inputs'!S142+'Model inputs'!S122</f>
        <v>4388.3616529382725</v>
      </c>
      <c r="T106" s="16">
        <f>'Model inputs'!T138*'Model inputs'!AG61+('Model inputs'!T65+'Model inputs'!T15)*'Model inputs'!AG11+'Model inputs'!T142+'Model inputs'!T122</f>
        <v>5142.0202196490545</v>
      </c>
      <c r="U106" s="16">
        <f>'Model inputs'!U138*'Model inputs'!AG61+('Model inputs'!U65+'Model inputs'!U15)*'Model inputs'!AG11+'Model inputs'!U142+'Model inputs'!U122</f>
        <v>5929.13216273165</v>
      </c>
      <c r="V106" s="16">
        <f>'Model inputs'!V138*'Model inputs'!AG61+('Model inputs'!V65+'Model inputs'!V15)*'Model inputs'!AG11+'Model inputs'!V142+'Model inputs'!V122</f>
        <v>6754.163039560144</v>
      </c>
      <c r="W106" s="16">
        <f>'Model inputs'!W138*'Model inputs'!AG61+('Model inputs'!W65+'Model inputs'!W15)*'Model inputs'!AG11+'Model inputs'!W142+'Model inputs'!W122</f>
        <v>7621.816366280919</v>
      </c>
      <c r="X106" s="16">
        <f>'Model inputs'!X138*'Model inputs'!AG61+('Model inputs'!X65+'Model inputs'!X15)*'Model inputs'!AG11+'Model inputs'!X142+'Model inputs'!X122</f>
        <v>8484.343372394635</v>
      </c>
      <c r="Y106" s="16">
        <f>'Model inputs'!Y138*'Model inputs'!AG61+('Model inputs'!Y65+'Model inputs'!Y15)*'Model inputs'!AG11+'Model inputs'!Y142+'Model inputs'!Y122</f>
        <v>9344.194501988735</v>
      </c>
      <c r="Z106" s="16">
        <f>'Model inputs'!Z138*'Model inputs'!AG61+('Model inputs'!Z65+'Model inputs'!Z15)*'Model inputs'!AG11+'Model inputs'!Z142+'Model inputs'!Z122</f>
        <v>10203.74118378671</v>
      </c>
      <c r="AA106" s="16">
        <f>'Model inputs'!AA138*'Model inputs'!AG61+('Model inputs'!AA65+'Model inputs'!AA15)*'Model inputs'!AG11+'Model inputs'!AA142+'Model inputs'!AA122</f>
        <v>11065.284472742042</v>
      </c>
      <c r="AB106" s="16">
        <f>'Model inputs'!AB138*'Model inputs'!AG61+('Model inputs'!AB65+'Model inputs'!AB15)*'Model inputs'!AG11+'Model inputs'!AB142+'Model inputs'!AB122</f>
        <v>11931.063250481995</v>
      </c>
      <c r="AC106" s="16">
        <f>'Model inputs'!AC138*'Model inputs'!AG61+('Model inputs'!AC65+'Model inputs'!AC15)*'Model inputs'!AG11+'Model inputs'!AC142+'Model inputs'!AC122</f>
        <v>12803.262019409533</v>
      </c>
      <c r="AD106" s="16">
        <f>'Model inputs'!AD138*'Model inputs'!AG61+('Model inputs'!AD65+'Model inputs'!AD15)*'Model inputs'!AG11+'Model inputs'!AD142+'Model inputs'!AD122</f>
        <v>13684.01832316695</v>
      </c>
      <c r="AE106" s="16">
        <f>'Model inputs'!AE138*'Model inputs'!AG61+('Model inputs'!AE65+'Model inputs'!AE15)*'Model inputs'!AG11+'Model inputs'!AE142+'Model inputs'!AE122</f>
        <v>14575.429824209265</v>
      </c>
      <c r="AF106" s="16">
        <f>'Model inputs'!AF138*'Model inputs'!AG61+('Model inputs'!AF65+'Model inputs'!AF15)*'Model inputs'!AG11+'Model inputs'!AF142+'Model inputs'!AF122</f>
        <v>15479.561067418897</v>
      </c>
    </row>
    <row r="107" outlineLevel="1">
      <c r="A107" t="inlineStr" s="21">
        <is>
          <t xml:space="preserve">Cash collected &gt; Launch</t>
        </is>
      </c>
      <c r="L107" s="16">
        <f>'Model inputs'!L155*'Model inputs'!AG62+('Model inputs'!L66+'Model inputs'!L16)*'Model inputs'!AG12+'Model inputs'!L159+'Model inputs'!L123</f>
        <v>0</v>
      </c>
      <c r="M107" s="16">
        <f>'Model inputs'!M155*'Model inputs'!AG62+('Model inputs'!M66+'Model inputs'!M16)*'Model inputs'!AG12+'Model inputs'!M159+'Model inputs'!M123</f>
        <v>0</v>
      </c>
      <c r="N107" s="16">
        <f>'Model inputs'!N155*'Model inputs'!AG62+('Model inputs'!N66+'Model inputs'!N16)*'Model inputs'!AG12+'Model inputs'!N159+'Model inputs'!N123</f>
        <v>0</v>
      </c>
      <c r="O107" s="16">
        <f>'Model inputs'!O139*'Model inputs'!AG62+('Model inputs'!O66+'Model inputs'!O16)*'Model inputs'!AG12+'Model inputs'!O143+'Model inputs'!O123</f>
        <v>526.36</v>
      </c>
      <c r="P107" s="16">
        <f>'Model inputs'!P139*'Model inputs'!AG62+('Model inputs'!P66+'Model inputs'!P16)*'Model inputs'!AG12+'Model inputs'!P143+'Model inputs'!P123</f>
        <v>1190.38585</v>
      </c>
      <c r="Q107" s="16">
        <f>'Model inputs'!Q139*'Model inputs'!AG62+('Model inputs'!Q66+'Model inputs'!Q16)*'Model inputs'!AG12+'Model inputs'!Q143+'Model inputs'!Q123</f>
        <v>1694.0472789861105</v>
      </c>
      <c r="R107" s="16">
        <f>'Model inputs'!R139*'Model inputs'!AG62+('Model inputs'!R66+'Model inputs'!R16)*'Model inputs'!AG12+'Model inputs'!R143+'Model inputs'!R123</f>
        <v>2181.1402219713705</v>
      </c>
      <c r="S107" s="16">
        <f>'Model inputs'!S139*'Model inputs'!AG62+('Model inputs'!S66+'Model inputs'!S16)*'Model inputs'!AG12+'Model inputs'!S143+'Model inputs'!S123</f>
        <v>2653.3468948407544</v>
      </c>
      <c r="T107" s="16">
        <f>'Model inputs'!T139*'Model inputs'!AG62+('Model inputs'!T66+'Model inputs'!T16)*'Model inputs'!AG12+'Model inputs'!T143+'Model inputs'!T123</f>
        <v>3112.3679228149263</v>
      </c>
      <c r="U107" s="16">
        <f>'Model inputs'!U139*'Model inputs'!AG62+('Model inputs'!U66+'Model inputs'!U16)*'Model inputs'!AG12+'Model inputs'!U143+'Model inputs'!U123</f>
        <v>3559.9378256713617</v>
      </c>
      <c r="V107" s="16">
        <f>'Model inputs'!V139*'Model inputs'!AG62+('Model inputs'!V66+'Model inputs'!V16)*'Model inputs'!AG12+'Model inputs'!V143+'Model inputs'!V123</f>
        <v>2758.24177524009</v>
      </c>
      <c r="W107" s="16">
        <f>'Model inputs'!W139*'Model inputs'!AG62+('Model inputs'!W66+'Model inputs'!W16)*'Model inputs'!AG12+'Model inputs'!W143+'Model inputs'!W123</f>
        <v>3002.2318336121766</v>
      </c>
      <c r="X107" s="16">
        <f>'Model inputs'!X139*'Model inputs'!AG62+('Model inputs'!X66+'Model inputs'!X16)*'Model inputs'!AG12+'Model inputs'!X143+'Model inputs'!X123</f>
        <v>3255.8696811536925</v>
      </c>
      <c r="Y107" s="16">
        <f>'Model inputs'!Y139*'Model inputs'!AG62+('Model inputs'!Y66+'Model inputs'!Y16)*'Model inputs'!AG12+'Model inputs'!Y143+'Model inputs'!Y123</f>
        <v>3517.153123928048</v>
      </c>
      <c r="Z107" s="16">
        <f>'Model inputs'!Z139*'Model inputs'!AG62+('Model inputs'!Z66+'Model inputs'!Z16)*'Model inputs'!AG12+'Model inputs'!Z143+'Model inputs'!Z123</f>
        <v>3786.3126476580737</v>
      </c>
      <c r="AA107" s="16">
        <f>'Model inputs'!AA139*'Model inputs'!AG62+('Model inputs'!AA66+'Model inputs'!AA16)*'Model inputs'!AG12+'Model inputs'!AA143+'Model inputs'!AA123</f>
        <v>4063.584380847636</v>
      </c>
      <c r="AB107" s="16">
        <f>'Model inputs'!AB139*'Model inputs'!AG62+('Model inputs'!AB66+'Model inputs'!AB16)*'Model inputs'!AG12+'Model inputs'!AB143+'Model inputs'!AB123</f>
        <v>4715.841995568784</v>
      </c>
      <c r="AC107" s="16">
        <f>'Model inputs'!AC139*'Model inputs'!AG62+('Model inputs'!AC66+'Model inputs'!AC16)*'Model inputs'!AG12+'Model inputs'!AC143+'Model inputs'!AC123</f>
        <v>5265.711491962355</v>
      </c>
      <c r="AD107" s="16">
        <f>'Model inputs'!AD139*'Model inputs'!AG62+('Model inputs'!AD66+'Model inputs'!AD16)*'Model inputs'!AG12+'Model inputs'!AD143+'Model inputs'!AD123</f>
        <v>5833.149285373777</v>
      </c>
      <c r="AE107" s="16">
        <f>'Model inputs'!AE139*'Model inputs'!AG62+('Model inputs'!AE66+'Model inputs'!AE16)*'Model inputs'!AG12+'Model inputs'!AE143+'Model inputs'!AE123</f>
        <v>6419.8472544429615</v>
      </c>
      <c r="AF107" s="16">
        <f>'Model inputs'!AF139*'Model inputs'!AG62+('Model inputs'!AF66+'Model inputs'!AF16)*'Model inputs'!AG12+'Model inputs'!AF143+'Model inputs'!AF123</f>
        <v>7027.630974811705</v>
      </c>
    </row>
    <row r="108" outlineLevel="1">
      <c r="A108" t="inlineStr" s="21">
        <is>
          <t xml:space="preserve">Cash collected &gt; Team</t>
        </is>
      </c>
      <c r="L108" s="16">
        <f>'Model inputs'!L156*'Model inputs'!AG63+('Model inputs'!L67+'Model inputs'!L17)*'Model inputs'!AG13+'Model inputs'!L160+'Model inputs'!L124</f>
        <v>0</v>
      </c>
      <c r="M108" s="16">
        <f>'Model inputs'!M156*'Model inputs'!AG63+('Model inputs'!M67+'Model inputs'!M17)*'Model inputs'!AG13+'Model inputs'!M160+'Model inputs'!M124</f>
        <v>0</v>
      </c>
      <c r="N108" s="16">
        <f>'Model inputs'!N156*'Model inputs'!AG63+('Model inputs'!N67+'Model inputs'!N17)*'Model inputs'!AG13+'Model inputs'!N160+'Model inputs'!N124</f>
        <v>0</v>
      </c>
      <c r="O108" s="16">
        <f>'Model inputs'!O140*'Model inputs'!AG63+('Model inputs'!O67+'Model inputs'!O17)*'Model inputs'!AG13+'Model inputs'!O144+'Model inputs'!O124</f>
        <v>940.92</v>
      </c>
      <c r="P108" s="16">
        <f>'Model inputs'!P140*'Model inputs'!AG63+('Model inputs'!P67+'Model inputs'!P17)*'Model inputs'!AG13+'Model inputs'!P144+'Model inputs'!P124</f>
        <v>2129.8994416666665</v>
      </c>
      <c r="Q108" s="16">
        <f>'Model inputs'!Q140*'Model inputs'!AG63+('Model inputs'!Q67+'Model inputs'!Q17)*'Model inputs'!AG13+'Model inputs'!Q144+'Model inputs'!Q124</f>
        <v>3166.8098727916667</v>
      </c>
      <c r="R108" s="16">
        <f>'Model inputs'!R140*'Model inputs'!AG63+('Model inputs'!R67+'Model inputs'!R17)*'Model inputs'!AG13+'Model inputs'!R144+'Model inputs'!R124</f>
        <v>4301.402409825828</v>
      </c>
      <c r="S108" s="16">
        <f>'Model inputs'!S140*'Model inputs'!AG63+('Model inputs'!S67+'Model inputs'!S17)*'Model inputs'!AG13+'Model inputs'!S144+'Model inputs'!S124</f>
        <v>5539.064642929517</v>
      </c>
      <c r="T108" s="16">
        <f>'Model inputs'!T140*'Model inputs'!AG63+('Model inputs'!T67+'Model inputs'!T17)*'Model inputs'!AG13+'Model inputs'!T144+'Model inputs'!T124</f>
        <v>6886.362861286267</v>
      </c>
      <c r="U108" s="16">
        <f>'Model inputs'!U140*'Model inputs'!AG63+('Model inputs'!U67+'Model inputs'!U17)*'Model inputs'!AG13+'Model inputs'!U144+'Model inputs'!U124</f>
        <v>8351.101257487406</v>
      </c>
      <c r="V108" s="16">
        <f>'Model inputs'!V140*'Model inputs'!AG63+('Model inputs'!V67+'Model inputs'!V17)*'Model inputs'!AG13+'Model inputs'!V144+'Model inputs'!V124</f>
        <v>7133.841951321224</v>
      </c>
      <c r="W108" s="16">
        <f>'Model inputs'!W140*'Model inputs'!AG63+('Model inputs'!W67+'Model inputs'!W17)*'Model inputs'!AG13+'Model inputs'!W144+'Model inputs'!W124</f>
        <v>8128.902090183842</v>
      </c>
      <c r="X108" s="16">
        <f>'Model inputs'!X140*'Model inputs'!AG63+('Model inputs'!X67+'Model inputs'!X17)*'Model inputs'!AG13+'Model inputs'!X144+'Model inputs'!X124</f>
        <v>8994.843721857133</v>
      </c>
      <c r="Y108" s="16">
        <f>'Model inputs'!Y140*'Model inputs'!AG63+('Model inputs'!Y67+'Model inputs'!Y17)*'Model inputs'!AG13+'Model inputs'!Y144+'Model inputs'!Y124</f>
        <v>9887.120591341147</v>
      </c>
      <c r="Z108" s="16">
        <f>'Model inputs'!Z140*'Model inputs'!AG63+('Model inputs'!Z67+'Model inputs'!Z17)*'Model inputs'!AG13+'Model inputs'!Z144+'Model inputs'!Z124</f>
        <v>10806.391480279588</v>
      </c>
      <c r="AA108" s="16">
        <f>'Model inputs'!AA140*'Model inputs'!AG63+('Model inputs'!AA67+'Model inputs'!AA17)*'Model inputs'!AG13+'Model inputs'!AA144+'Model inputs'!AA124</f>
        <v>11753.400224310035</v>
      </c>
      <c r="AB108" s="16">
        <f>'Model inputs'!AB140*'Model inputs'!AG63+('Model inputs'!AB67+'Model inputs'!AB17)*'Model inputs'!AG13+'Model inputs'!AB144+'Model inputs'!AB124</f>
        <v>13275.451180483256</v>
      </c>
      <c r="AC108" s="16">
        <f>'Model inputs'!AC140*'Model inputs'!AG63+('Model inputs'!AC67+'Model inputs'!AC17)*'Model inputs'!AG13+'Model inputs'!AC144+'Model inputs'!AC124</f>
        <v>14717.344364422432</v>
      </c>
      <c r="AD108" s="16">
        <f>'Model inputs'!AD140*'Model inputs'!AG63+('Model inputs'!AD67+'Model inputs'!AD17)*'Model inputs'!AG13+'Model inputs'!AD144+'Model inputs'!AD124</f>
        <v>16267.05985618249</v>
      </c>
      <c r="AE108" s="16">
        <f>'Model inputs'!AE140*'Model inputs'!AG63+('Model inputs'!AE67+'Model inputs'!AE17)*'Model inputs'!AG13+'Model inputs'!AE144+'Model inputs'!AE124</f>
        <v>17933.732098504475</v>
      </c>
      <c r="AF108" s="16">
        <f>'Model inputs'!AF140*'Model inputs'!AG63+('Model inputs'!AF67+'Model inputs'!AF17)*'Model inputs'!AG13+'Model inputs'!AF144+'Model inputs'!AF124</f>
        <v>19727.74755454255</v>
      </c>
    </row>
    <row r="109">
      <c r="A109" t="inlineStr" s="20">
        <is>
          <t xml:space="preserve">Card charges</t>
        </is>
      </c>
      <c r="L109" s="7">
        <f>SUM('Model inputs'!L110,'Model inputs'!L111,'Model inputs'!L112)</f>
        <v>0</v>
      </c>
      <c r="M109" s="7">
        <f>SUM('Model inputs'!M110,'Model inputs'!M111,'Model inputs'!M112)</f>
        <v>0</v>
      </c>
      <c r="N109" s="7">
        <f>SUM('Model inputs'!N110,'Model inputs'!N111,'Model inputs'!N112)</f>
        <v>0</v>
      </c>
      <c r="O109" s="7">
        <f>SUM('Model inputs'!O110,'Model inputs'!O111,'Model inputs'!O112)</f>
        <v>47</v>
      </c>
      <c r="P109" s="7">
        <f>SUM('Model inputs'!P110,'Model inputs'!P111,'Model inputs'!P112)</f>
        <v>84.905</v>
      </c>
      <c r="Q109" s="7">
        <f>SUM('Model inputs'!Q110,'Model inputs'!Q111,'Model inputs'!Q112)</f>
        <v>110.35099861111111</v>
      </c>
      <c r="R109" s="7">
        <f>SUM('Model inputs'!R110,'Model inputs'!R111,'Model inputs'!R112)</f>
        <v>136.39833793553242</v>
      </c>
      <c r="S109" s="7">
        <f>SUM('Model inputs'!S110,'Model inputs'!S111,'Model inputs'!S112)</f>
        <v>163.1386394629229</v>
      </c>
      <c r="T109" s="7">
        <f>SUM('Model inputs'!T110,'Model inputs'!T111,'Model inputs'!T112)</f>
        <v>190.66619745317232</v>
      </c>
      <c r="U109" s="7">
        <f>SUM('Model inputs'!U110,'Model inputs'!U111,'Model inputs'!U112)</f>
        <v>219.07804106079942</v>
      </c>
      <c r="V109" s="7">
        <f>SUM('Model inputs'!V110,'Model inputs'!V111,'Model inputs'!V112)</f>
        <v>248.47397482800056</v>
      </c>
      <c r="W109" s="7">
        <f>SUM('Model inputs'!W110,'Model inputs'!W111,'Model inputs'!W112)</f>
        <v>281.26001013025916</v>
      </c>
      <c r="X109" s="7">
        <f>SUM('Model inputs'!X110,'Model inputs'!X111,'Model inputs'!X112)</f>
        <v>313.92842080156595</v>
      </c>
      <c r="Y109" s="7">
        <f>SUM('Model inputs'!Y110,'Model inputs'!Y111,'Model inputs'!Y112)</f>
        <v>346.6637111423637</v>
      </c>
      <c r="Z109" s="7">
        <f>SUM('Model inputs'!Z110,'Model inputs'!Z111,'Model inputs'!Z112)</f>
        <v>379.5448779461048</v>
      </c>
      <c r="AA109" s="7">
        <f>SUM('Model inputs'!AA110,'Model inputs'!AA111,'Model inputs'!AA112)</f>
        <v>412.64917506109316</v>
      </c>
      <c r="AB109" s="7">
        <f>SUM('Model inputs'!AB110,'Model inputs'!AB111,'Model inputs'!AB112)</f>
        <v>446.4926009328778</v>
      </c>
      <c r="AC109" s="7">
        <f>SUM('Model inputs'!AC110,'Model inputs'!AC111,'Model inputs'!AC112)</f>
        <v>480.613608003025</v>
      </c>
      <c r="AD109" s="7">
        <f>SUM('Model inputs'!AD110,'Model inputs'!AD111,'Model inputs'!AD112)</f>
        <v>515.2351690842696</v>
      </c>
      <c r="AE109" s="7">
        <f>SUM('Model inputs'!AE110,'Model inputs'!AE111,'Model inputs'!AE112)</f>
        <v>550.4356692134742</v>
      </c>
      <c r="AF109" s="7">
        <f>SUM('Model inputs'!AF110,'Model inputs'!AF111,'Model inputs'!AF112)</f>
        <v>586.2937159981817</v>
      </c>
    </row>
    <row r="110" outlineLevel="1">
      <c r="A110" t="inlineStr" s="21">
        <is>
          <t xml:space="preserve">Card charges &gt; Indie</t>
        </is>
      </c>
      <c r="L110" s="17">
        <f>'Model inputs'!L154+'Model inputs'!L65+'Model inputs'!L15</f>
        <v>0</v>
      </c>
      <c r="M110" s="17">
        <f>'Model inputs'!M154+'Model inputs'!M65+'Model inputs'!M15</f>
        <v>0</v>
      </c>
      <c r="N110" s="17">
        <f>'Model inputs'!N154+'Model inputs'!N65+'Model inputs'!N15</f>
        <v>0</v>
      </c>
      <c r="O110" s="17">
        <f>'Model inputs'!O138+'Model inputs'!O65+'Model inputs'!O15</f>
        <v>40</v>
      </c>
      <c r="P110" s="17">
        <f>'Model inputs'!P138+'Model inputs'!P65+'Model inputs'!P15</f>
        <v>74.33333333333333</v>
      </c>
      <c r="Q110" s="17">
        <f>'Model inputs'!Q138+'Model inputs'!Q65+'Model inputs'!Q15</f>
        <v>96.37777777777778</v>
      </c>
      <c r="R110" s="17">
        <f>'Model inputs'!R138+'Model inputs'!R65+'Model inputs'!R15</f>
        <v>119.1125925925926</v>
      </c>
      <c r="S110" s="17">
        <f>'Model inputs'!S138+'Model inputs'!S65+'Model inputs'!S15</f>
        <v>142.66455308641977</v>
      </c>
      <c r="T110" s="17">
        <f>'Model inputs'!T138+'Model inputs'!T65+'Model inputs'!T15</f>
        <v>167.16580688065847</v>
      </c>
      <c r="U110" s="17">
        <f>'Model inputs'!U138+'Model inputs'!U65+'Model inputs'!U15</f>
        <v>192.75462167528124</v>
      </c>
      <c r="V110" s="17">
        <f>'Model inputs'!V138+'Model inputs'!V65+'Model inputs'!V15</f>
        <v>219.57617163719584</v>
      </c>
      <c r="W110" s="17">
        <f>'Model inputs'!W138+'Model inputs'!W65+'Model inputs'!W15</f>
        <v>247.78336691420412</v>
      </c>
      <c r="X110" s="17">
        <f>'Model inputs'!X138+'Model inputs'!X65+'Model inputs'!X15</f>
        <v>275.8239067748581</v>
      </c>
      <c r="Y110" s="17">
        <f>'Model inputs'!Y138+'Model inputs'!Y65+'Model inputs'!Y15</f>
        <v>303.77745455099915</v>
      </c>
      <c r="Z110" s="17">
        <f>'Model inputs'!Z138+'Model inputs'!Z65+'Model inputs'!Z15</f>
        <v>331.7211048045094</v>
      </c>
      <c r="AA110" s="17">
        <f>'Model inputs'!AA138+'Model inputs'!AA65+'Model inputs'!AA15</f>
        <v>359.72966426339536</v>
      </c>
      <c r="AB110" s="17">
        <f>'Model inputs'!AB138+'Model inputs'!AB65+'Model inputs'!AB15</f>
        <v>387.87591841618973</v>
      </c>
      <c r="AC110" s="17">
        <f>'Model inputs'!AC138+'Model inputs'!AC65+'Model inputs'!AC15</f>
        <v>416.23088489627867</v>
      </c>
      <c r="AD110" s="17">
        <f>'Model inputs'!AD138+'Model inputs'!AD65+'Model inputs'!AD15</f>
        <v>444.8640547193417</v>
      </c>
      <c r="AE110" s="17">
        <f>'Model inputs'!AE138+'Model inputs'!AE65+'Model inputs'!AE15</f>
        <v>473.8436223735132</v>
      </c>
      <c r="AF110" s="17">
        <f>'Model inputs'!AF138+'Model inputs'!AF65+'Model inputs'!AF15</f>
        <v>503.23670570282496</v>
      </c>
    </row>
    <row r="111" outlineLevel="1">
      <c r="A111" t="inlineStr" s="21">
        <is>
          <t xml:space="preserve">Card charges &gt; Launch</t>
        </is>
      </c>
      <c r="L111" s="17">
        <f>'Model inputs'!L155+'Model inputs'!L66+'Model inputs'!L16</f>
        <v>0</v>
      </c>
      <c r="M111" s="17">
        <f>'Model inputs'!M155+'Model inputs'!M66+'Model inputs'!M16</f>
        <v>0</v>
      </c>
      <c r="N111" s="17">
        <f>'Model inputs'!N155+'Model inputs'!N66+'Model inputs'!N16</f>
        <v>0</v>
      </c>
      <c r="O111" s="17">
        <f>'Model inputs'!O139+'Model inputs'!O66+'Model inputs'!O16</f>
        <v>1</v>
      </c>
      <c r="P111" s="17">
        <f>'Model inputs'!P139+'Model inputs'!P66+'Model inputs'!P16</f>
        <v>1.51</v>
      </c>
      <c r="Q111" s="17">
        <f>'Model inputs'!Q139+'Model inputs'!Q66+'Model inputs'!Q16</f>
        <v>1.9383448611111107</v>
      </c>
      <c r="R111" s="17">
        <f>'Model inputs'!R139+'Model inputs'!R66+'Model inputs'!R16</f>
        <v>2.314293530902777</v>
      </c>
      <c r="S111" s="17">
        <f>'Model inputs'!S139+'Model inputs'!S66+'Model inputs'!S16</f>
        <v>2.638063282237991</v>
      </c>
      <c r="T111" s="17">
        <f>'Model inputs'!T139+'Model inputs'!T66+'Model inputs'!T16</f>
        <v>2.909637019333771</v>
      </c>
      <c r="U111" s="17">
        <f>'Model inputs'!U139+'Model inputs'!U66+'Model inputs'!U16</f>
        <v>3.128751273746695</v>
      </c>
      <c r="V111" s="17">
        <f>'Model inputs'!V139+'Model inputs'!V66+'Model inputs'!V16</f>
        <v>3.294880802181151</v>
      </c>
      <c r="W111" s="17">
        <f>'Model inputs'!W139+'Model inputs'!W66+'Model inputs'!W16</f>
        <v>3.6790977370198386</v>
      </c>
      <c r="X111" s="17">
        <f>'Model inputs'!X139+'Model inputs'!X66+'Model inputs'!X16</f>
        <v>4.074907321600538</v>
      </c>
      <c r="Y111" s="17">
        <f>'Model inputs'!Y139+'Model inputs'!Y66+'Model inputs'!Y16</f>
        <v>4.482280278889159</v>
      </c>
      <c r="Z111" s="17">
        <f>'Model inputs'!Z139+'Model inputs'!Z66+'Model inputs'!Z16</f>
        <v>4.9016314275776</v>
      </c>
      <c r="AA111" s="17">
        <f>'Model inputs'!AA139+'Model inputs'!AA66+'Model inputs'!AA16</f>
        <v>5.333375541298454</v>
      </c>
      <c r="AB111" s="17">
        <f>'Model inputs'!AB139+'Model inputs'!AB66+'Model inputs'!AB16</f>
        <v>5.85140272496222</v>
      </c>
      <c r="AC111" s="17">
        <f>'Model inputs'!AC139+'Model inputs'!AC66+'Model inputs'!AC16</f>
        <v>6.360417997036922</v>
      </c>
      <c r="AD111" s="17">
        <f>'Model inputs'!AD139+'Model inputs'!AD66+'Model inputs'!AD16</f>
        <v>6.884836554120148</v>
      </c>
      <c r="AE111" s="17">
        <f>'Model inputs'!AE139+'Model inputs'!AE66+'Model inputs'!AE16</f>
        <v>7.425379748567756</v>
      </c>
      <c r="AF111" s="17">
        <f>'Model inputs'!AF139+'Model inputs'!AF66+'Model inputs'!AF16</f>
        <v>7.982803896855035</v>
      </c>
    </row>
    <row r="112" outlineLevel="1">
      <c r="A112" t="inlineStr" s="21">
        <is>
          <t xml:space="preserve">Card charges &gt; Team</t>
        </is>
      </c>
      <c r="L112" s="17">
        <f>'Model inputs'!L156+'Model inputs'!L67+'Model inputs'!L17</f>
        <v>0</v>
      </c>
      <c r="M112" s="17">
        <f>'Model inputs'!M156+'Model inputs'!M67+'Model inputs'!M17</f>
        <v>0</v>
      </c>
      <c r="N112" s="17">
        <f>'Model inputs'!N156+'Model inputs'!N67+'Model inputs'!N17</f>
        <v>0</v>
      </c>
      <c r="O112" s="17">
        <f>'Model inputs'!O140+'Model inputs'!O67+'Model inputs'!O17</f>
        <v>6</v>
      </c>
      <c r="P112" s="17">
        <f>'Model inputs'!P140+'Model inputs'!P67+'Model inputs'!P17</f>
        <v>9.061666666666667</v>
      </c>
      <c r="Q112" s="17">
        <f>'Model inputs'!Q140+'Model inputs'!Q67+'Model inputs'!Q17</f>
        <v>12.034875972222222</v>
      </c>
      <c r="R112" s="17">
        <f>'Model inputs'!R140+'Model inputs'!R67+'Model inputs'!R17</f>
        <v>14.971451812037037</v>
      </c>
      <c r="S112" s="17">
        <f>'Model inputs'!S140+'Model inputs'!S67+'Model inputs'!S17</f>
        <v>17.836023094265144</v>
      </c>
      <c r="T112" s="17">
        <f>'Model inputs'!T140+'Model inputs'!T67+'Model inputs'!T17</f>
        <v>20.59075355318007</v>
      </c>
      <c r="U112" s="17">
        <f>'Model inputs'!U140+'Model inputs'!U67+'Model inputs'!U17</f>
        <v>23.194668111771485</v>
      </c>
      <c r="V112" s="17">
        <f>'Model inputs'!V140+'Model inputs'!V67+'Model inputs'!V17</f>
        <v>25.60292238862356</v>
      </c>
      <c r="W112" s="17">
        <f>'Model inputs'!W140+'Model inputs'!W67+'Model inputs'!W17</f>
        <v>29.797545479035175</v>
      </c>
      <c r="X112" s="17">
        <f>'Model inputs'!X140+'Model inputs'!X67+'Model inputs'!X17</f>
        <v>34.02960670510733</v>
      </c>
      <c r="Y112" s="17">
        <f>'Model inputs'!Y140+'Model inputs'!Y67+'Model inputs'!Y17</f>
        <v>38.40397631247539</v>
      </c>
      <c r="Z112" s="17">
        <f>'Model inputs'!Z140+'Model inputs'!Z67+'Model inputs'!Z17</f>
        <v>42.92214171401777</v>
      </c>
      <c r="AA112" s="17">
        <f>'Model inputs'!AA140+'Model inputs'!AA67+'Model inputs'!AA17</f>
        <v>47.58613525639933</v>
      </c>
      <c r="AB112" s="17">
        <f>'Model inputs'!AB140+'Model inputs'!AB67+'Model inputs'!AB17</f>
        <v>52.765279791725845</v>
      </c>
      <c r="AC112" s="17">
        <f>'Model inputs'!AC140+'Model inputs'!AC67+'Model inputs'!AC17</f>
        <v>58.022305109709365</v>
      </c>
      <c r="AD112" s="17">
        <f>'Model inputs'!AD140+'Model inputs'!AD67+'Model inputs'!AD17</f>
        <v>63.48627781080772</v>
      </c>
      <c r="AE112" s="17">
        <f>'Model inputs'!AE140+'Model inputs'!AE67+'Model inputs'!AE17</f>
        <v>69.1666670913932</v>
      </c>
      <c r="AF112" s="17">
        <f>'Model inputs'!AF140+'Model inputs'!AF67+'Model inputs'!AF17</f>
        <v>75.07420639850176</v>
      </c>
    </row>
    <row r="113">
      <c r="A113" t="inlineStr" s="20">
        <is>
          <t xml:space="preserve">Payment fees</t>
        </is>
      </c>
      <c r="L113" s="15">
        <f>SUM('Model inputs'!L114,'Model inputs'!L115,'Model inputs'!L116)</f>
        <v>0</v>
      </c>
      <c r="M113" s="15">
        <f>SUM('Model inputs'!M114,'Model inputs'!M115,'Model inputs'!M116)</f>
        <v>0</v>
      </c>
      <c r="N113" s="15">
        <f>SUM('Model inputs'!N114,'Model inputs'!N115,'Model inputs'!N116)</f>
        <v>0</v>
      </c>
      <c r="O113" s="15">
        <f>SUM('Model inputs'!O114,'Model inputs'!O115,'Model inputs'!O116)</f>
        <v>92.33272000000001</v>
      </c>
      <c r="P113" s="15">
        <f>SUM('Model inputs'!P114,'Model inputs'!P115,'Model inputs'!P116)</f>
        <v>188.068080125</v>
      </c>
      <c r="Q113" s="15">
        <f>SUM('Model inputs'!Q114,'Model inputs'!Q115,'Model inputs'!Q116)</f>
        <v>260.0429898737778</v>
      </c>
      <c r="R113" s="15">
        <f>SUM('Model inputs'!R114,'Model inputs'!R115,'Model inputs'!R116)</f>
        <v>335.1664347990748</v>
      </c>
      <c r="S113" s="15">
        <f>SUM('Model inputs'!S114,'Model inputs'!S115,'Model inputs'!S116)</f>
        <v>413.78401436942465</v>
      </c>
      <c r="T113" s="15">
        <f>SUM('Model inputs'!T114,'Model inputs'!T115,'Model inputs'!T116)</f>
        <v>496.2816383447089</v>
      </c>
      <c r="U113" s="15">
        <f>SUM('Model inputs'!U114,'Model inputs'!U115,'Model inputs'!U116)</f>
        <v>583.088378449062</v>
      </c>
      <c r="V113" s="15">
        <f>SUM('Model inputs'!V114,'Model inputs'!V115,'Model inputs'!V116)</f>
        <v>557.2833486659224</v>
      </c>
      <c r="W113" s="15">
        <f>SUM('Model inputs'!W114,'Model inputs'!W115,'Model inputs'!W116)</f>
        <v>628.2135614513089</v>
      </c>
      <c r="X113" s="15">
        <f>SUM('Model inputs'!X114,'Model inputs'!X115,'Model inputs'!X116)</f>
        <v>695.4951727272281</v>
      </c>
      <c r="Y113" s="15">
        <f>SUM('Model inputs'!Y114,'Model inputs'!Y115,'Model inputs'!Y116)</f>
        <v>763.7046916431891</v>
      </c>
      <c r="Z113" s="15">
        <f>SUM('Model inputs'!Z114,'Model inputs'!Z115,'Model inputs'!Z116)</f>
        <v>832.9603774238383</v>
      </c>
      <c r="AA113" s="15">
        <f>SUM('Model inputs'!AA114,'Model inputs'!AA115,'Model inputs'!AA116)</f>
        <v>903.3805557774197</v>
      </c>
      <c r="AB113" s="15">
        <f>SUM('Model inputs'!AB114,'Model inputs'!AB115,'Model inputs'!AB116)</f>
        <v>1001.6961166493504</v>
      </c>
      <c r="AC113" s="15">
        <f>SUM('Model inputs'!AC114,'Model inputs'!AC115,'Model inputs'!AC116)</f>
        <v>1094.9873007989427</v>
      </c>
      <c r="AD113" s="15">
        <f>SUM('Model inputs'!AD114,'Model inputs'!AD115,'Model inputs'!AD116)</f>
        <v>1192.3131472022542</v>
      </c>
      <c r="AE113" s="15">
        <f>SUM('Model inputs'!AE114,'Model inputs'!AE115,'Model inputs'!AE116)</f>
        <v>1294.0719669015866</v>
      </c>
      <c r="AF113" s="15">
        <f>SUM('Model inputs'!AF114,'Model inputs'!AF115,'Model inputs'!AF116)</f>
        <v>1400.701363105876</v>
      </c>
    </row>
    <row r="114" outlineLevel="1">
      <c r="A114" t="inlineStr" s="21">
        <is>
          <t xml:space="preserve">Payment fees &gt; Indie</t>
        </is>
      </c>
      <c r="L114" s="16">
        <f>'Model inputs'!L106*'Model inputs'!AG32+'Model inputs'!L110*'Model inputs'!AG31</f>
        <v>0</v>
      </c>
      <c r="M114" s="16">
        <f>'Model inputs'!M106*'Model inputs'!AG32+'Model inputs'!M110*'Model inputs'!AG31</f>
        <v>0</v>
      </c>
      <c r="N114" s="16">
        <f>'Model inputs'!N106*'Model inputs'!AG32+'Model inputs'!N110*'Model inputs'!AG31</f>
        <v>0</v>
      </c>
      <c r="O114" s="16">
        <f>'Model inputs'!O106*'Model inputs'!AG32+'Model inputs'!O110*'Model inputs'!AG31</f>
        <v>47.6816</v>
      </c>
      <c r="P114" s="16">
        <f>'Model inputs'!P106*'Model inputs'!AG32+'Model inputs'!P110*'Model inputs'!AG31</f>
        <v>88.60830666666666</v>
      </c>
      <c r="Q114" s="16">
        <f>'Model inputs'!Q106*'Model inputs'!AG32+'Model inputs'!Q110*'Model inputs'!AG31</f>
        <v>114.88616622222224</v>
      </c>
      <c r="R114" s="16">
        <f>'Model inputs'!R106*'Model inputs'!AG32+'Model inputs'!R110*'Model inputs'!AG31</f>
        <v>141.9869748740741</v>
      </c>
      <c r="S114" s="16">
        <f>'Model inputs'!S106*'Model inputs'!AG32+'Model inputs'!S110*'Model inputs'!AG31</f>
        <v>170.06185386113583</v>
      </c>
      <c r="T114" s="16">
        <f>'Model inputs'!T106*'Model inputs'!AG32+'Model inputs'!T110*'Model inputs'!AG31</f>
        <v>199.26832843402013</v>
      </c>
      <c r="U114" s="16">
        <f>'Model inputs'!U106*'Model inputs'!AG32+'Model inputs'!U110*'Model inputs'!AG31</f>
        <v>229.77121922180223</v>
      </c>
      <c r="V114" s="16">
        <f>'Model inputs'!V106*'Model inputs'!AG32+'Model inputs'!V110*'Model inputs'!AG31</f>
        <v>261.74357963840293</v>
      </c>
      <c r="W114" s="16">
        <f>'Model inputs'!W106*'Model inputs'!AG32+'Model inputs'!W110*'Model inputs'!AG31</f>
        <v>295.3676846964079</v>
      </c>
      <c r="X114" s="16">
        <f>'Model inputs'!X106*'Model inputs'!AG32+'Model inputs'!X110*'Model inputs'!AG31</f>
        <v>328.7931298319018</v>
      </c>
      <c r="Y114" s="16">
        <f>'Model inputs'!Y106*'Model inputs'!AG32+'Model inputs'!Y110*'Model inputs'!AG31</f>
        <v>362.1148769229731</v>
      </c>
      <c r="Z114" s="16">
        <f>'Model inputs'!Z106*'Model inputs'!AG32+'Model inputs'!Z110*'Model inputs'!AG31</f>
        <v>395.4248257711674</v>
      </c>
      <c r="AA114" s="16">
        <f>'Model inputs'!AA106*'Model inputs'!AG32+'Model inputs'!AA110*'Model inputs'!AG31</f>
        <v>428.81214898853784</v>
      </c>
      <c r="AB114" s="16">
        <f>'Model inputs'!AB106*'Model inputs'!AG32+'Model inputs'!AB110*'Model inputs'!AG31</f>
        <v>462.36360978883476</v>
      </c>
      <c r="AC114" s="16">
        <f>'Model inputs'!AC106*'Model inputs'!AG32+'Model inputs'!AC110*'Model inputs'!AG31</f>
        <v>496.16386403176006</v>
      </c>
      <c r="AD114" s="16">
        <f>'Model inputs'!AD106*'Model inputs'!AG32+'Model inputs'!AD110*'Model inputs'!AG31</f>
        <v>530.2957477876441</v>
      </c>
      <c r="AE114" s="16">
        <f>'Model inputs'!AE106*'Model inputs'!AG32+'Model inputs'!AE110*'Model inputs'!AG31</f>
        <v>564.8405516141227</v>
      </c>
      <c r="AF114" s="16">
        <f>'Model inputs'!AF106*'Model inputs'!AG32+'Model inputs'!AF110*'Model inputs'!AG31</f>
        <v>599.8782826659955</v>
      </c>
    </row>
    <row r="115" outlineLevel="1">
      <c r="A115" t="inlineStr" s="21">
        <is>
          <t xml:space="preserve">Payment fees &gt; Launch</t>
        </is>
      </c>
      <c r="L115" s="16">
        <f>'Model inputs'!L107*'Model inputs'!AG32+'Model inputs'!L111*'Model inputs'!AG31</f>
        <v>0</v>
      </c>
      <c r="M115" s="16">
        <f>'Model inputs'!M107*'Model inputs'!AG32+'Model inputs'!M111*'Model inputs'!AG31</f>
        <v>0</v>
      </c>
      <c r="N115" s="16">
        <f>'Model inputs'!N107*'Model inputs'!AG32+'Model inputs'!N111*'Model inputs'!AG31</f>
        <v>0</v>
      </c>
      <c r="O115" s="16">
        <f>'Model inputs'!O107*'Model inputs'!AG32+'Model inputs'!O111*'Model inputs'!AG31</f>
        <v>15.564440000000001</v>
      </c>
      <c r="P115" s="16">
        <f>'Model inputs'!P107*'Model inputs'!AG32+'Model inputs'!P111*'Model inputs'!AG31</f>
        <v>34.97418965</v>
      </c>
      <c r="Q115" s="16">
        <f>'Model inputs'!Q107*'Model inputs'!AG32+'Model inputs'!Q111*'Model inputs'!AG31</f>
        <v>49.70887454893054</v>
      </c>
      <c r="R115" s="16">
        <f>'Model inputs'!R107*'Model inputs'!AG32+'Model inputs'!R111*'Model inputs'!AG31</f>
        <v>63.94735449644058</v>
      </c>
      <c r="S115" s="16">
        <f>'Model inputs'!S107*'Model inputs'!AG32+'Model inputs'!S111*'Model inputs'!AG31</f>
        <v>77.73847893505328</v>
      </c>
      <c r="T115" s="16">
        <f>'Model inputs'!T107*'Model inputs'!AG32+'Model inputs'!T111*'Model inputs'!AG31</f>
        <v>91.131560867433</v>
      </c>
      <c r="U115" s="16">
        <f>'Model inputs'!U107*'Model inputs'!AG32+'Model inputs'!U111*'Model inputs'!AG31</f>
        <v>104.1768223265935</v>
      </c>
      <c r="V115" s="16">
        <f>'Model inputs'!V107*'Model inputs'!AG32+'Model inputs'!V111*'Model inputs'!AG31</f>
        <v>80.97747572261697</v>
      </c>
      <c r="W115" s="16">
        <f>'Model inputs'!W107*'Model inputs'!AG32+'Model inputs'!W111*'Model inputs'!AG31</f>
        <v>88.16845249585907</v>
      </c>
      <c r="X115" s="16">
        <f>'Model inputs'!X107*'Model inputs'!AG32+'Model inputs'!X111*'Model inputs'!AG31</f>
        <v>95.64269294993724</v>
      </c>
      <c r="Y115" s="16">
        <f>'Model inputs'!Y107*'Model inputs'!AG32+'Model inputs'!Y111*'Model inputs'!AG31</f>
        <v>103.34212467758014</v>
      </c>
      <c r="Z115" s="16">
        <f>'Model inputs'!Z107*'Model inputs'!AG32+'Model inputs'!Z111*'Model inputs'!AG31</f>
        <v>111.27355621035743</v>
      </c>
      <c r="AA115" s="16">
        <f>'Model inputs'!AA107*'Model inputs'!AG32+'Model inputs'!AA111*'Model inputs'!AG31</f>
        <v>119.44395970697099</v>
      </c>
      <c r="AB115" s="16">
        <f>'Model inputs'!AB107*'Model inputs'!AG32+'Model inputs'!AB111*'Model inputs'!AG31</f>
        <v>138.51483868898342</v>
      </c>
      <c r="AC115" s="16">
        <f>'Model inputs'!AC107*'Model inputs'!AG32+'Model inputs'!AC111*'Model inputs'!AG31</f>
        <v>154.61375866601935</v>
      </c>
      <c r="AD115" s="16">
        <f>'Model inputs'!AD107*'Model inputs'!AG32+'Model inputs'!AD111*'Model inputs'!AG31</f>
        <v>171.22678024207562</v>
      </c>
      <c r="AE115" s="16">
        <f>'Model inputs'!AE107*'Model inputs'!AG32+'Model inputs'!AE111*'Model inputs'!AG31</f>
        <v>188.40318430341623</v>
      </c>
      <c r="AF115" s="16">
        <f>'Model inputs'!AF107*'Model inputs'!AG32+'Model inputs'!AF111*'Model inputs'!AG31</f>
        <v>206.19613943859596</v>
      </c>
    </row>
    <row r="116" outlineLevel="1">
      <c r="A116" t="inlineStr" s="21">
        <is>
          <t xml:space="preserve">Payment fees &gt; Team</t>
        </is>
      </c>
      <c r="L116" s="16">
        <f>'Model inputs'!L108*'Model inputs'!AG32+'Model inputs'!L112*'Model inputs'!AG31</f>
        <v>0</v>
      </c>
      <c r="M116" s="16">
        <f>'Model inputs'!M108*'Model inputs'!AG32+'Model inputs'!M112*'Model inputs'!AG31</f>
        <v>0</v>
      </c>
      <c r="N116" s="16">
        <f>'Model inputs'!N108*'Model inputs'!AG32+'Model inputs'!N112*'Model inputs'!AG31</f>
        <v>0</v>
      </c>
      <c r="O116" s="16">
        <f>'Model inputs'!O108*'Model inputs'!AG32+'Model inputs'!O112*'Model inputs'!AG31</f>
        <v>29.08668</v>
      </c>
      <c r="P116" s="16">
        <f>'Model inputs'!P108*'Model inputs'!AG32+'Model inputs'!P112*'Model inputs'!AG31</f>
        <v>64.48558380833333</v>
      </c>
      <c r="Q116" s="16">
        <f>'Model inputs'!Q108*'Model inputs'!AG32+'Model inputs'!Q112*'Model inputs'!AG31</f>
        <v>95.447949102625</v>
      </c>
      <c r="R116" s="16">
        <f>'Model inputs'!R108*'Model inputs'!AG32+'Model inputs'!R112*'Model inputs'!AG31</f>
        <v>129.23210542856012</v>
      </c>
      <c r="S116" s="16">
        <f>'Model inputs'!S108*'Model inputs'!AG32+'Model inputs'!S112*'Model inputs'!AG31</f>
        <v>165.98368157323554</v>
      </c>
      <c r="T116" s="16">
        <f>'Model inputs'!T108*'Model inputs'!AG32+'Model inputs'!T112*'Model inputs'!AG31</f>
        <v>205.88174904325575</v>
      </c>
      <c r="U116" s="16">
        <f>'Model inputs'!U108*'Model inputs'!AG32+'Model inputs'!U112*'Model inputs'!AG31</f>
        <v>249.14033690066623</v>
      </c>
      <c r="V116" s="16">
        <f>'Model inputs'!V108*'Model inputs'!AG32+'Model inputs'!V112*'Model inputs'!AG31</f>
        <v>214.56229330490257</v>
      </c>
      <c r="W116" s="16">
        <f>'Model inputs'!W108*'Model inputs'!AG32+'Model inputs'!W112*'Model inputs'!AG31</f>
        <v>244.67742425904197</v>
      </c>
      <c r="X116" s="16">
        <f>'Model inputs'!X108*'Model inputs'!AG32+'Model inputs'!X112*'Model inputs'!AG31</f>
        <v>271.05934994538904</v>
      </c>
      <c r="Y116" s="16">
        <f>'Model inputs'!Y108*'Model inputs'!AG32+'Model inputs'!Y112*'Model inputs'!AG31</f>
        <v>298.2476900426359</v>
      </c>
      <c r="Z116" s="16">
        <f>'Model inputs'!Z108*'Model inputs'!AG32+'Model inputs'!Z112*'Model inputs'!AG31</f>
        <v>326.26199544231343</v>
      </c>
      <c r="AA116" s="16">
        <f>'Model inputs'!AA108*'Model inputs'!AG32+'Model inputs'!AA112*'Model inputs'!AG31</f>
        <v>355.12444708191083</v>
      </c>
      <c r="AB116" s="16">
        <f>'Model inputs'!AB108*'Model inputs'!AG32+'Model inputs'!AB112*'Model inputs'!AG31</f>
        <v>400.8176681715322</v>
      </c>
      <c r="AC116" s="16">
        <f>'Model inputs'!AC108*'Model inputs'!AG32+'Model inputs'!AC112*'Model inputs'!AG31</f>
        <v>444.2096781011634</v>
      </c>
      <c r="AD116" s="16">
        <f>'Model inputs'!AD108*'Model inputs'!AG32+'Model inputs'!AD112*'Model inputs'!AG31</f>
        <v>490.79061917253455</v>
      </c>
      <c r="AE116" s="16">
        <f>'Model inputs'!AE108*'Model inputs'!AG32+'Model inputs'!AE112*'Model inputs'!AG31</f>
        <v>540.8282309840478</v>
      </c>
      <c r="AF116" s="16">
        <f>'Model inputs'!AF108*'Model inputs'!AG32+'Model inputs'!AF112*'Model inputs'!AG31</f>
        <v>594.6269410012845</v>
      </c>
    </row>
    <row r="117">
      <c r="A117" t="inlineStr" s="20">
        <is>
          <t xml:space="preserve">Subscription revenue</t>
        </is>
      </c>
      <c r="O117" s="15">
        <f>SUM('Model inputs'!O118,'Model inputs'!O119,'Model inputs'!O120)</f>
        <v>2553</v>
      </c>
      <c r="P117" s="15">
        <f>SUM('Model inputs'!P118,'Model inputs'!P119,'Model inputs'!P120)</f>
        <v>4238.892571759259</v>
      </c>
      <c r="Q117" s="15">
        <f>SUM('Model inputs'!Q118,'Model inputs'!Q119,'Model inputs'!Q120)</f>
        <v>5619.07620474537</v>
      </c>
      <c r="R117" s="15">
        <f>SUM('Model inputs'!R118,'Model inputs'!R119,'Model inputs'!R120)</f>
        <v>7059.242292681289</v>
      </c>
      <c r="S117" s="15">
        <f>SUM('Model inputs'!S118,'Model inputs'!S119,'Model inputs'!S120)</f>
        <v>8565.713314360173</v>
      </c>
      <c r="T117" s="15">
        <f>SUM('Model inputs'!T118,'Model inputs'!T119,'Model inputs'!T120)</f>
        <v>10145.298558292714</v>
      </c>
      <c r="U117" s="15">
        <f>SUM('Model inputs'!U118,'Model inputs'!U119,'Model inputs'!U120)</f>
        <v>11805.331436398072</v>
      </c>
      <c r="V117" s="15">
        <f>SUM('Model inputs'!V118,'Model inputs'!V119,'Model inputs'!V120)</f>
        <v>13628.675558675464</v>
      </c>
      <c r="W117" s="15">
        <f>SUM('Model inputs'!W118,'Model inputs'!W119,'Model inputs'!W120)</f>
        <v>15572.109995973886</v>
      </c>
      <c r="X117" s="15">
        <f>SUM('Model inputs'!X118,'Model inputs'!X119,'Model inputs'!X120)</f>
        <v>17548.576204826146</v>
      </c>
      <c r="Y117" s="15">
        <f>SUM('Model inputs'!Y118,'Model inputs'!Y119,'Model inputs'!Y120)</f>
        <v>19560.816437953057</v>
      </c>
      <c r="Z117" s="15">
        <f>SUM('Model inputs'!Z118,'Model inputs'!Z119,'Model inputs'!Z120)</f>
        <v>21611.61830678775</v>
      </c>
      <c r="AA117" s="15">
        <f>SUM('Model inputs'!AA118,'Model inputs'!AA119,'Model inputs'!AA120)</f>
        <v>23703.820189069855</v>
      </c>
      <c r="AB117" s="15">
        <f>SUM('Model inputs'!AB118,'Model inputs'!AB119,'Model inputs'!AB120)</f>
        <v>25840.31663180946</v>
      </c>
      <c r="AC117" s="15">
        <f>SUM('Model inputs'!AC118,'Model inputs'!AC119,'Model inputs'!AC120)</f>
        <v>28024.063763605744</v>
      </c>
      <c r="AD117" s="15">
        <f>SUM('Model inputs'!AD118,'Model inputs'!AD119,'Model inputs'!AD120)</f>
        <v>30258.08472993787</v>
      </c>
      <c r="AE117" s="15">
        <f>SUM('Model inputs'!AE118,'Model inputs'!AE119,'Model inputs'!AE120)</f>
        <v>32545.475164724863</v>
      </c>
      <c r="AF117" s="15">
        <f>SUM('Model inputs'!AF118,'Model inputs'!AF119,'Model inputs'!AF120)</f>
        <v>34889.40871117456</v>
      </c>
    </row>
    <row r="118" outlineLevel="1">
      <c r="A118" t="inlineStr" s="21">
        <is>
          <t xml:space="preserve">Subscription revenue &gt; Indie</t>
        </is>
      </c>
      <c r="O118" s="16">
        <f>'Model inputs'!O138*'Model inputs'!AG61+'Model inputs'!O7*'Model inputs'!AG11/12</f>
        <v>1160</v>
      </c>
      <c r="P118" s="16">
        <f>'Model inputs'!P138*'Model inputs'!AG61+'Model inputs'!P7*'Model inputs'!AG11/12</f>
        <v>2155.6666666666665</v>
      </c>
      <c r="Q118" s="16">
        <f>'Model inputs'!Q138*'Model inputs'!AG61+'Model inputs'!Q7*'Model inputs'!AG11/12</f>
        <v>2794.9555555555557</v>
      </c>
      <c r="R118" s="16">
        <f>'Model inputs'!R138*'Model inputs'!AG61+'Model inputs'!R7*'Model inputs'!AG11/12</f>
        <v>3454.2651851851856</v>
      </c>
      <c r="S118" s="16">
        <f>'Model inputs'!S138*'Model inputs'!AG61+'Model inputs'!S7*'Model inputs'!AG11/12</f>
        <v>4137.272039506173</v>
      </c>
      <c r="T118" s="16">
        <f>'Model inputs'!T138*'Model inputs'!AG61+'Model inputs'!T7*'Model inputs'!AG11/12</f>
        <v>4847.808399539095</v>
      </c>
      <c r="U118" s="16">
        <f>'Model inputs'!U138*'Model inputs'!AG61+'Model inputs'!U7*'Model inputs'!AG11/12</f>
        <v>5589.884028583156</v>
      </c>
      <c r="V118" s="16">
        <f>'Model inputs'!V138*'Model inputs'!AG61+'Model inputs'!V7*'Model inputs'!AG11/12</f>
        <v>6367.708977478679</v>
      </c>
      <c r="W118" s="16">
        <f>'Model inputs'!W138*'Model inputs'!AG61+'Model inputs'!W7*'Model inputs'!AG11/12</f>
        <v>7185.71764051192</v>
      </c>
      <c r="X118" s="16">
        <f>'Model inputs'!X138*'Model inputs'!AG61+'Model inputs'!X7*'Model inputs'!AG11/12</f>
        <v>7998.893296470884</v>
      </c>
      <c r="Y118" s="16">
        <f>'Model inputs'!Y138*'Model inputs'!AG61+'Model inputs'!Y7*'Model inputs'!AG11/12</f>
        <v>8809.546181978976</v>
      </c>
      <c r="Z118" s="16">
        <f>'Model inputs'!Z138*'Model inputs'!AG61+'Model inputs'!Z7*'Model inputs'!AG11/12</f>
        <v>9619.912039330773</v>
      </c>
      <c r="AA118" s="16">
        <f>'Model inputs'!AA138*'Model inputs'!AG61+'Model inputs'!AA7*'Model inputs'!AG11/12</f>
        <v>10432.160263638465</v>
      </c>
      <c r="AB118" s="16">
        <f>'Model inputs'!AB138*'Model inputs'!AG61+'Model inputs'!AB7*'Model inputs'!AG11/12</f>
        <v>11248.401634069502</v>
      </c>
      <c r="AC118" s="16">
        <f>'Model inputs'!AC138*'Model inputs'!AG61+'Model inputs'!AC7*'Model inputs'!AG11/12</f>
        <v>12070.695661992082</v>
      </c>
      <c r="AD118" s="16">
        <f>'Model inputs'!AD138*'Model inputs'!AG61+'Model inputs'!AD7*'Model inputs'!AG11/12</f>
        <v>12901.05758686091</v>
      </c>
      <c r="AE118" s="16">
        <f>'Model inputs'!AE138*'Model inputs'!AG61+'Model inputs'!AE7*'Model inputs'!AG11/12</f>
        <v>13741.465048831882</v>
      </c>
      <c r="AF118" s="16">
        <f>'Model inputs'!AF138*'Model inputs'!AG61+'Model inputs'!AF7*'Model inputs'!AG11/12</f>
        <v>14593.864465381925</v>
      </c>
    </row>
    <row r="119" outlineLevel="1">
      <c r="A119" t="inlineStr" s="21">
        <is>
          <t xml:space="preserve">Subscription revenue &gt; Launch</t>
        </is>
      </c>
      <c r="O119" s="16">
        <f>'Model inputs'!O139*'Model inputs'!AG62+'Model inputs'!O8*'Model inputs'!AG12/12</f>
        <v>499</v>
      </c>
      <c r="P119" s="16">
        <f>'Model inputs'!P139*'Model inputs'!AG62+'Model inputs'!P8*'Model inputs'!AG12/12</f>
        <v>746.1644027777778</v>
      </c>
      <c r="Q119" s="16">
        <f>'Model inputs'!Q139*'Model inputs'!AG62+'Model inputs'!Q8*'Model inputs'!AG12/12</f>
        <v>990.8792026195986</v>
      </c>
      <c r="R119" s="16">
        <f>'Model inputs'!R139*'Model inputs'!AG62+'Model inputs'!R8*'Model inputs'!AG12/12</f>
        <v>1233.8893850527725</v>
      </c>
      <c r="S119" s="16">
        <f>'Model inputs'!S139*'Model inputs'!AG62+'Model inputs'!S8*'Model inputs'!AG12/12</f>
        <v>1475.7622173757368</v>
      </c>
      <c r="T119" s="16">
        <f>'Model inputs'!T139*'Model inputs'!AG62+'Model inputs'!T8*'Model inputs'!AG12/12</f>
        <v>1717.0783137611559</v>
      </c>
      <c r="U119" s="16">
        <f>'Model inputs'!U139*'Model inputs'!AG62+'Model inputs'!U8*'Model inputs'!AG12/12</f>
        <v>1958.4353958589545</v>
      </c>
      <c r="V119" s="16">
        <f>'Model inputs'!V139*'Model inputs'!AG62+'Model inputs'!V8*'Model inputs'!AG12/12</f>
        <v>2223.407634327279</v>
      </c>
      <c r="W119" s="16">
        <f>'Model inputs'!W139*'Model inputs'!AG62+'Model inputs'!W8*'Model inputs'!AG12/12</f>
        <v>2495.297149412143</v>
      </c>
      <c r="X119" s="16">
        <f>'Model inputs'!X139*'Model inputs'!AG62+'Model inputs'!X8*'Model inputs'!AG12/12</f>
        <v>2775.0186851189155</v>
      </c>
      <c r="Y119" s="16">
        <f>'Model inputs'!Y139*'Model inputs'!AG62+'Model inputs'!Y8*'Model inputs'!AG12/12</f>
        <v>3062.873842409105</v>
      </c>
      <c r="Z119" s="16">
        <f>'Model inputs'!Z139*'Model inputs'!AG62+'Model inputs'!Z8*'Model inputs'!AG12/12</f>
        <v>3359.1615180606896</v>
      </c>
      <c r="AA119" s="16">
        <f>'Model inputs'!AA139*'Model inputs'!AG62+'Model inputs'!AA8*'Model inputs'!AG12/12</f>
        <v>3664.179655411389</v>
      </c>
      <c r="AB119" s="16">
        <f>'Model inputs'!AB139*'Model inputs'!AG62+'Model inputs'!AB8*'Model inputs'!AG12/12</f>
        <v>3978.2269061825664</v>
      </c>
      <c r="AC119" s="16">
        <f>'Model inputs'!AC139*'Model inputs'!AG62+'Model inputs'!AC8*'Model inputs'!AG12/12</f>
        <v>4301.6042116974095</v>
      </c>
      <c r="AD119" s="16">
        <f>'Model inputs'!AD139*'Model inputs'!AG62+'Model inputs'!AD8*'Model inputs'!AG12/12</f>
        <v>4634.616311303498</v>
      </c>
      <c r="AE119" s="16">
        <f>'Model inputs'!AE139*'Model inputs'!AG62+'Model inputs'!AE8*'Model inputs'!AG12/12</f>
        <v>4977.573185343535</v>
      </c>
      <c r="AF119" s="16">
        <f>'Model inputs'!AF139*'Model inputs'!AG62+'Model inputs'!AF8*'Model inputs'!AG12/12</f>
        <v>5330.79143958643</v>
      </c>
    </row>
    <row r="120" outlineLevel="1">
      <c r="A120" t="inlineStr" s="21">
        <is>
          <t xml:space="preserve">Subscription revenue &gt; Team</t>
        </is>
      </c>
      <c r="O120" s="16">
        <f>'Model inputs'!O140*'Model inputs'!AG63+'Model inputs'!O9*'Model inputs'!AG13/12</f>
        <v>894</v>
      </c>
      <c r="P120" s="16">
        <f>'Model inputs'!P140*'Model inputs'!AG63+'Model inputs'!P9*'Model inputs'!AG13/12</f>
        <v>1337.061502314815</v>
      </c>
      <c r="Q120" s="16">
        <f>'Model inputs'!Q140*'Model inputs'!AG63+'Model inputs'!Q9*'Model inputs'!AG13/12</f>
        <v>1833.241446570216</v>
      </c>
      <c r="R120" s="16">
        <f>'Model inputs'!R140*'Model inputs'!AG63+'Model inputs'!R9*'Model inputs'!AG13/12</f>
        <v>2371.0877224433307</v>
      </c>
      <c r="S120" s="16">
        <f>'Model inputs'!S140*'Model inputs'!AG63+'Model inputs'!S9*'Model inputs'!AG13/12</f>
        <v>2952.679057478263</v>
      </c>
      <c r="T120" s="16">
        <f>'Model inputs'!T140*'Model inputs'!AG63+'Model inputs'!T9*'Model inputs'!AG13/12</f>
        <v>3580.4118449924626</v>
      </c>
      <c r="U120" s="16">
        <f>'Model inputs'!U140*'Model inputs'!AG63+'Model inputs'!U9*'Model inputs'!AG13/12</f>
        <v>4257.012011955962</v>
      </c>
      <c r="V120" s="16">
        <f>'Model inputs'!V140*'Model inputs'!AG63+'Model inputs'!V9*'Model inputs'!AG13/12</f>
        <v>5037.558946869506</v>
      </c>
      <c r="W120" s="16">
        <f>'Model inputs'!W140*'Model inputs'!AG63+'Model inputs'!W9*'Model inputs'!AG13/12</f>
        <v>5891.095206049824</v>
      </c>
      <c r="X120" s="16">
        <f>'Model inputs'!X140*'Model inputs'!AG63+'Model inputs'!X9*'Model inputs'!AG13/12</f>
        <v>6774.664223236348</v>
      </c>
      <c r="Y120" s="16">
        <f>'Model inputs'!Y140*'Model inputs'!AG63+'Model inputs'!Y9*'Model inputs'!AG13/12</f>
        <v>7688.396413564975</v>
      </c>
      <c r="Z120" s="16">
        <f>'Model inputs'!Z140*'Model inputs'!AG63+'Model inputs'!Z9*'Model inputs'!AG13/12</f>
        <v>8632.544749396286</v>
      </c>
      <c r="AA120" s="16">
        <f>'Model inputs'!AA140*'Model inputs'!AG63+'Model inputs'!AA9*'Model inputs'!AG13/12</f>
        <v>9607.480270020002</v>
      </c>
      <c r="AB120" s="16">
        <f>'Model inputs'!AB140*'Model inputs'!AG63+'Model inputs'!AB9*'Model inputs'!AG13/12</f>
        <v>10613.688091557391</v>
      </c>
      <c r="AC120" s="16">
        <f>'Model inputs'!AC140*'Model inputs'!AG63+'Model inputs'!AC9*'Model inputs'!AG13/12</f>
        <v>11651.76388991625</v>
      </c>
      <c r="AD120" s="16">
        <f>'Model inputs'!AD140*'Model inputs'!AG63+'Model inputs'!AD9*'Model inputs'!AG13/12</f>
        <v>12722.41083177346</v>
      </c>
      <c r="AE120" s="16">
        <f>'Model inputs'!AE140*'Model inputs'!AG63+'Model inputs'!AE9*'Model inputs'!AG13/12</f>
        <v>13826.436930549444</v>
      </c>
      <c r="AF120" s="16">
        <f>'Model inputs'!AF140*'Model inputs'!AG63+'Model inputs'!AF9*'Model inputs'!AG13/12</f>
        <v>14964.752806206205</v>
      </c>
    </row>
    <row r="121">
      <c r="A121" t="inlineStr" s="20">
        <is>
          <t xml:space="preserve">Long-trailer revenue</t>
        </is>
      </c>
      <c r="L121" s="15">
        <f>SUM('Model inputs'!L122,'Model inputs'!L123,'Model inputs'!L124)</f>
        <v>0</v>
      </c>
      <c r="M121" s="15">
        <f>SUM('Model inputs'!M122,'Model inputs'!M123,'Model inputs'!M124)</f>
        <v>0</v>
      </c>
      <c r="N121" s="15">
        <f>SUM('Model inputs'!N122,'Model inputs'!N123,'Model inputs'!N124)</f>
        <v>0</v>
      </c>
      <c r="O121" s="15">
        <f>SUM('Model inputs'!O122,'Model inputs'!O123,'Model inputs'!O124)</f>
        <v>49.68</v>
      </c>
      <c r="P121" s="15">
        <f>SUM('Model inputs'!P122,'Model inputs'!P123,'Model inputs'!P124)</f>
        <v>82.1275</v>
      </c>
      <c r="Q121" s="15">
        <f>SUM('Model inputs'!Q122,'Model inputs'!Q123,'Model inputs'!Q124)</f>
        <v>109.56726358333333</v>
      </c>
      <c r="R121" s="15">
        <f>SUM('Model inputs'!R122,'Model inputs'!R123,'Model inputs'!R124)</f>
        <v>138.45230598840277</v>
      </c>
      <c r="S121" s="15">
        <f>SUM('Model inputs'!S122,'Model inputs'!S123,'Model inputs'!S124)</f>
        <v>168.9360111943032</v>
      </c>
      <c r="T121" s="15">
        <f>SUM('Model inputs'!T122,'Model inputs'!T123,'Model inputs'!T124)</f>
        <v>201.18479679909444</v>
      </c>
      <c r="U121" s="15">
        <f>SUM('Model inputs'!U122,'Model inputs'!U123,'Model inputs'!U124)</f>
        <v>235.37936421442416</v>
      </c>
      <c r="V121" s="15">
        <f>SUM('Model inputs'!V122,'Model inputs'!V123,'Model inputs'!V124)</f>
        <v>271.71606199591633</v>
      </c>
      <c r="W121" s="15">
        <f>SUM('Model inputs'!W122,'Model inputs'!W123,'Model inputs'!W124)</f>
        <v>310.4083731616633</v>
      </c>
      <c r="X121" s="15">
        <f>SUM('Model inputs'!X122,'Model inputs'!X123,'Model inputs'!X124)</f>
        <v>349.8253191901984</v>
      </c>
      <c r="Y121" s="15">
        <f>SUM('Model inputs'!Y122,'Model inputs'!Y123,'Model inputs'!Y124)</f>
        <v>390.0180828335972</v>
      </c>
      <c r="Z121" s="15">
        <f>SUM('Model inputs'!Z122,'Model inputs'!Z123,'Model inputs'!Z124)</f>
        <v>431.0389288682903</v>
      </c>
      <c r="AA121" s="15">
        <f>SUM('Model inputs'!AA122,'Model inputs'!AA123,'Model inputs'!AA124)</f>
        <v>472.9413031752841</v>
      </c>
      <c r="AB121" s="15">
        <f>SUM('Model inputs'!AB122,'Model inputs'!AB123,'Model inputs'!AB124)</f>
        <v>515.7799322204686</v>
      </c>
      <c r="AC121" s="15">
        <f>SUM('Model inputs'!AC122,'Model inputs'!AC123,'Model inputs'!AC124)</f>
        <v>559.610923185231</v>
      </c>
      <c r="AD121" s="15">
        <f>SUM('Model inputs'!AD122,'Model inputs'!AD123,'Model inputs'!AD124)</f>
        <v>604.4918649920692</v>
      </c>
      <c r="AE121" s="15">
        <f>SUM('Model inputs'!AE122,'Model inputs'!AE123,'Model inputs'!AE124)</f>
        <v>650.4819304651912</v>
      </c>
      <c r="AF121" s="15">
        <f>SUM('Model inputs'!AF122,'Model inputs'!AF123,'Model inputs'!AF124)</f>
        <v>697.6419798621504</v>
      </c>
    </row>
    <row r="122" outlineLevel="1">
      <c r="A122" t="inlineStr" s="21">
        <is>
          <t xml:space="preserve">Long-trailer revenue &gt; Indie</t>
        </is>
      </c>
      <c r="L122" s="16">
        <f>'Model inputs'!L150*'Model inputs'!AG54*'Model inputs'!AG53</f>
        <v>0</v>
      </c>
      <c r="M122" s="16">
        <f>'Model inputs'!M150*'Model inputs'!AG54*'Model inputs'!AG53</f>
        <v>0</v>
      </c>
      <c r="N122" s="16">
        <f>'Model inputs'!N150*'Model inputs'!AG54*'Model inputs'!AG53</f>
        <v>0</v>
      </c>
      <c r="O122" s="16">
        <f>'Model inputs'!O130*'Model inputs'!AG54*'Model inputs'!AG53</f>
        <v>20.400000000000002</v>
      </c>
      <c r="P122" s="16">
        <f>'Model inputs'!P130*'Model inputs'!AG54*'Model inputs'!AG53</f>
        <v>37.91</v>
      </c>
      <c r="Q122" s="16">
        <f>'Model inputs'!Q130*'Model inputs'!AG54*'Model inputs'!AG53</f>
        <v>49.15266666666667</v>
      </c>
      <c r="R122" s="16">
        <f>'Model inputs'!R130*'Model inputs'!AG54*'Model inputs'!AG53</f>
        <v>60.74742222222223</v>
      </c>
      <c r="S122" s="16">
        <f>'Model inputs'!S130*'Model inputs'!AG54*'Model inputs'!AG53</f>
        <v>72.75892207407409</v>
      </c>
      <c r="T122" s="16">
        <f>'Model inputs'!T130*'Model inputs'!AG54*'Model inputs'!AG53</f>
        <v>85.25456150913581</v>
      </c>
      <c r="U122" s="16">
        <f>'Model inputs'!U130*'Model inputs'!AG54*'Model inputs'!AG53</f>
        <v>98.30485705439344</v>
      </c>
      <c r="V122" s="16">
        <f>'Model inputs'!V130*'Model inputs'!AG54*'Model inputs'!AG53</f>
        <v>111.98384753496987</v>
      </c>
      <c r="W122" s="16">
        <f>'Model inputs'!W130*'Model inputs'!AG54*'Model inputs'!AG53</f>
        <v>126.36951712624409</v>
      </c>
      <c r="X122" s="16">
        <f>'Model inputs'!X130*'Model inputs'!AG54*'Model inputs'!AG53</f>
        <v>140.6701924551776</v>
      </c>
      <c r="Y122" s="16">
        <f>'Model inputs'!Y130*'Model inputs'!AG54*'Model inputs'!AG53</f>
        <v>154.92650182100957</v>
      </c>
      <c r="Z122" s="16">
        <f>'Model inputs'!Z130*'Model inputs'!AG54*'Model inputs'!AG53</f>
        <v>169.1777634502998</v>
      </c>
      <c r="AA122" s="16">
        <f>'Model inputs'!AA130*'Model inputs'!AG54*'Model inputs'!AG53</f>
        <v>183.46212877433163</v>
      </c>
      <c r="AB122" s="16">
        <f>'Model inputs'!AB130*'Model inputs'!AG54*'Model inputs'!AG53</f>
        <v>197.81671839225677</v>
      </c>
      <c r="AC122" s="16">
        <f>'Model inputs'!AC130*'Model inputs'!AG54*'Model inputs'!AG53</f>
        <v>212.27775129710213</v>
      </c>
      <c r="AD122" s="16">
        <f>'Model inputs'!AD130*'Model inputs'!AG54*'Model inputs'!AG53</f>
        <v>226.88066790686426</v>
      </c>
      <c r="AE122" s="16">
        <f>'Model inputs'!AE130*'Model inputs'!AG54*'Model inputs'!AG53</f>
        <v>241.66024741049173</v>
      </c>
      <c r="AF122" s="16">
        <f>'Model inputs'!AF130*'Model inputs'!AG54*'Model inputs'!AG53</f>
        <v>256.65071990844075</v>
      </c>
    </row>
    <row r="123" outlineLevel="1">
      <c r="A123" t="inlineStr" s="21">
        <is>
          <t xml:space="preserve">Long-trailer revenue &gt; Launch</t>
        </is>
      </c>
      <c r="L123" s="16">
        <f>'Model inputs'!L151*'Model inputs'!AG54*'Model inputs'!AG53</f>
        <v>0</v>
      </c>
      <c r="M123" s="16">
        <f>'Model inputs'!M151*'Model inputs'!AG54*'Model inputs'!AG53</f>
        <v>0</v>
      </c>
      <c r="N123" s="16">
        <f>'Model inputs'!N151*'Model inputs'!AG54*'Model inputs'!AG53</f>
        <v>0</v>
      </c>
      <c r="O123" s="16">
        <f>'Model inputs'!O131*'Model inputs'!AG54*'Model inputs'!AG53</f>
        <v>12.36</v>
      </c>
      <c r="P123" s="16">
        <f>'Model inputs'!P131*'Model inputs'!AG54*'Model inputs'!AG53</f>
        <v>18.6636</v>
      </c>
      <c r="Q123" s="16">
        <f>'Model inputs'!Q131*'Model inputs'!AG54*'Model inputs'!AG53</f>
        <v>25.03032183333333</v>
      </c>
      <c r="R123" s="16">
        <f>'Model inputs'!R131*'Model inputs'!AG54*'Model inputs'!AG53</f>
        <v>31.481069192638877</v>
      </c>
      <c r="S123" s="16">
        <f>'Model inputs'!S131*'Model inputs'!AG54*'Model inputs'!AG53</f>
        <v>38.0330114705427</v>
      </c>
      <c r="T123" s="16">
        <f>'Model inputs'!T131*'Model inputs'!AG54*'Model inputs'!AG53</f>
        <v>44.704367361945145</v>
      </c>
      <c r="U123" s="16">
        <f>'Model inputs'!U131*'Model inputs'!AG54*'Model inputs'!AG53</f>
        <v>51.514557950201315</v>
      </c>
      <c r="V123" s="16">
        <f>'Model inputs'!V131*'Model inputs'!AG54*'Model inputs'!AG53</f>
        <v>58.48437056829093</v>
      </c>
      <c r="W123" s="16">
        <f>'Model inputs'!W131*'Model inputs'!AG54*'Model inputs'!AG53</f>
        <v>65.63613478298349</v>
      </c>
      <c r="X123" s="16">
        <f>'Model inputs'!X131*'Model inputs'!AG54*'Model inputs'!AG53</f>
        <v>72.9939119614162</v>
      </c>
      <c r="Y123" s="16">
        <f>'Model inputs'!Y131*'Model inputs'!AG54*'Model inputs'!AG53</f>
        <v>80.56563539576824</v>
      </c>
      <c r="Z123" s="16">
        <f>'Model inputs'!Z131*'Model inputs'!AG54*'Model inputs'!AG53</f>
        <v>88.35916724755023</v>
      </c>
      <c r="AA123" s="16">
        <f>'Model inputs'!AA131*'Model inputs'!AG54*'Model inputs'!AG53</f>
        <v>96.38234459904184</v>
      </c>
      <c r="AB123" s="16">
        <f>'Model inputs'!AB131*'Model inputs'!AG54*'Model inputs'!AG53</f>
        <v>104.64302316580032</v>
      </c>
      <c r="AC123" s="16">
        <f>'Model inputs'!AC131*'Model inputs'!AG54*'Model inputs'!AG53</f>
        <v>113.14911888892117</v>
      </c>
      <c r="AD123" s="16">
        <f>'Model inputs'!AD131*'Model inputs'!AG54*'Model inputs'!AG53</f>
        <v>121.90864761248777</v>
      </c>
      <c r="AE123" s="16">
        <f>'Model inputs'!AE131*'Model inputs'!AG54*'Model inputs'!AG53</f>
        <v>130.92976303938022</v>
      </c>
      <c r="AF123" s="16">
        <f>'Model inputs'!AF131*'Model inputs'!AG54*'Model inputs'!AG53</f>
        <v>140.2207931472608</v>
      </c>
    </row>
    <row r="124" outlineLevel="1">
      <c r="A124" t="inlineStr" s="21">
        <is>
          <t xml:space="preserve">Long-trailer revenue &gt; Team</t>
        </is>
      </c>
      <c r="L124" s="16">
        <f>'Model inputs'!L152*'Model inputs'!AG54*'Model inputs'!AG53</f>
        <v>0</v>
      </c>
      <c r="M124" s="16">
        <f>'Model inputs'!M152*'Model inputs'!AG54*'Model inputs'!AG53</f>
        <v>0</v>
      </c>
      <c r="N124" s="16">
        <f>'Model inputs'!N152*'Model inputs'!AG54*'Model inputs'!AG53</f>
        <v>0</v>
      </c>
      <c r="O124" s="16">
        <f>'Model inputs'!O132*'Model inputs'!AG54*'Model inputs'!AG53</f>
        <v>16.919999999999998</v>
      </c>
      <c r="P124" s="16">
        <f>'Model inputs'!P132*'Model inputs'!AG54*'Model inputs'!AG53</f>
        <v>25.553900000000002</v>
      </c>
      <c r="Q124" s="16">
        <f>'Model inputs'!Q132*'Model inputs'!AG54*'Model inputs'!AG53</f>
        <v>35.384275083333335</v>
      </c>
      <c r="R124" s="16">
        <f>'Model inputs'!R132*'Model inputs'!AG54*'Model inputs'!AG53</f>
        <v>46.22381457354167</v>
      </c>
      <c r="S124" s="16">
        <f>'Model inputs'!S132*'Model inputs'!AG54*'Model inputs'!AG53</f>
        <v>58.14407764968641</v>
      </c>
      <c r="T124" s="16">
        <f>'Model inputs'!T132*'Model inputs'!AG54*'Model inputs'!AG53</f>
        <v>71.22586792801347</v>
      </c>
      <c r="U124" s="16">
        <f>'Model inputs'!U132*'Model inputs'!AG54*'Model inputs'!AG53</f>
        <v>85.5599492098294</v>
      </c>
      <c r="V124" s="16">
        <f>'Model inputs'!V132*'Model inputs'!AG54*'Model inputs'!AG53</f>
        <v>101.24784389265551</v>
      </c>
      <c r="W124" s="16">
        <f>'Model inputs'!W132*'Model inputs'!AG54*'Model inputs'!AG53</f>
        <v>118.40272125243571</v>
      </c>
      <c r="X124" s="16">
        <f>'Model inputs'!X132*'Model inputs'!AG54*'Model inputs'!AG53</f>
        <v>136.1612147736046</v>
      </c>
      <c r="Y124" s="16">
        <f>'Model inputs'!Y132*'Model inputs'!AG54*'Model inputs'!AG53</f>
        <v>154.52594561681937</v>
      </c>
      <c r="Z124" s="16">
        <f>'Model inputs'!Z132*'Model inputs'!AG54*'Model inputs'!AG53</f>
        <v>173.5019981704403</v>
      </c>
      <c r="AA124" s="16">
        <f>'Model inputs'!AA132*'Model inputs'!AG54*'Model inputs'!AG53</f>
        <v>193.09682980191062</v>
      </c>
      <c r="AB124" s="16">
        <f>'Model inputs'!AB132*'Model inputs'!AG54*'Model inputs'!AG53</f>
        <v>213.32019066241148</v>
      </c>
      <c r="AC124" s="16">
        <f>'Model inputs'!AC132*'Model inputs'!AG54*'Model inputs'!AG53</f>
        <v>234.18405299920767</v>
      </c>
      <c r="AD124" s="16">
        <f>'Model inputs'!AD132*'Model inputs'!AG54*'Model inputs'!AG53</f>
        <v>255.70254947271715</v>
      </c>
      <c r="AE124" s="16">
        <f>'Model inputs'!AE132*'Model inputs'!AG54*'Model inputs'!AG53</f>
        <v>277.89192001531933</v>
      </c>
      <c r="AF124" s="16">
        <f>'Model inputs'!AF132*'Model inputs'!AG54*'Model inputs'!AG53</f>
        <v>300.77046680644884</v>
      </c>
    </row>
    <row r="125">
      <c r="A125" t="inlineStr" s="20">
        <is>
          <t xml:space="preserve">Total revenue</t>
        </is>
      </c>
      <c r="O125" s="15">
        <f>SUM('Model inputs'!O126,'Model inputs'!O127,'Model inputs'!O128)</f>
        <v>2697.6800000000003</v>
      </c>
      <c r="P125" s="15">
        <f>SUM('Model inputs'!P126,'Model inputs'!P127,'Model inputs'!P128)</f>
        <v>4481.89507175926</v>
      </c>
      <c r="Q125" s="15">
        <f>SUM('Model inputs'!Q126,'Model inputs'!Q127,'Model inputs'!Q128)</f>
        <v>5942.2303711064815</v>
      </c>
      <c r="R125" s="15">
        <f>SUM('Model inputs'!R126,'Model inputs'!R127,'Model inputs'!R128)</f>
        <v>7466.747638507654</v>
      </c>
      <c r="S125" s="15">
        <f>SUM('Model inputs'!S126,'Model inputs'!S127,'Model inputs'!S128)</f>
        <v>9062.22892048943</v>
      </c>
      <c r="T125" s="15">
        <f>SUM('Model inputs'!T126,'Model inputs'!T127,'Model inputs'!T128)</f>
        <v>10735.980486577066</v>
      </c>
      <c r="U125" s="15">
        <f>SUM('Model inputs'!U126,'Model inputs'!U127,'Model inputs'!U128)</f>
        <v>12495.873782727971</v>
      </c>
      <c r="V125" s="15">
        <f>SUM('Model inputs'!V126,'Model inputs'!V127,'Model inputs'!V128)</f>
        <v>14425.355466802397</v>
      </c>
      <c r="W125" s="15">
        <f>SUM('Model inputs'!W126,'Model inputs'!W127,'Model inputs'!W128)</f>
        <v>16481.836984085563</v>
      </c>
      <c r="X125" s="15">
        <f>SUM('Model inputs'!X126,'Model inputs'!X127,'Model inputs'!X128)</f>
        <v>18573.18684566851</v>
      </c>
      <c r="Y125" s="15">
        <f>SUM('Model inputs'!Y126,'Model inputs'!Y127,'Model inputs'!Y128)</f>
        <v>20702.312341418667</v>
      </c>
      <c r="Z125" s="15">
        <f>SUM('Model inputs'!Z126,'Model inputs'!Z127,'Model inputs'!Z128)</f>
        <v>22872.168272079078</v>
      </c>
      <c r="AA125" s="15">
        <f>SUM('Model inputs'!AA126,'Model inputs'!AA127,'Model inputs'!AA128)</f>
        <v>25085.762702985274</v>
      </c>
      <c r="AB125" s="15">
        <f>SUM('Model inputs'!AB126,'Model inputs'!AB127,'Model inputs'!AB128)</f>
        <v>27346.162710611366</v>
      </c>
      <c r="AC125" s="15">
        <f>SUM('Model inputs'!AC126,'Model inputs'!AC127,'Model inputs'!AC128)</f>
        <v>29656.50013689306</v>
      </c>
      <c r="AD125" s="15">
        <f>SUM('Model inputs'!AD126,'Model inputs'!AD127,'Model inputs'!AD128)</f>
        <v>32019.977365876286</v>
      </c>
      <c r="AE125" s="15">
        <f>SUM('Model inputs'!AE126,'Model inputs'!AE127,'Model inputs'!AE128)</f>
        <v>34439.87313689126</v>
      </c>
      <c r="AF125" s="15">
        <f>SUM('Model inputs'!AF126,'Model inputs'!AF127,'Model inputs'!AF128)</f>
        <v>36919.5484081502</v>
      </c>
    </row>
    <row r="126" outlineLevel="1">
      <c r="A126" t="inlineStr" s="21">
        <is>
          <t xml:space="preserve">Total revenue &gt; Indie</t>
        </is>
      </c>
      <c r="O126" s="16">
        <f>'Model inputs'!O118+'Model inputs'!O142+'Model inputs'!O122</f>
        <v>1230.4</v>
      </c>
      <c r="P126" s="16">
        <f>'Model inputs'!P118+'Model inputs'!P142+'Model inputs'!P122</f>
        <v>2286.4933333333333</v>
      </c>
      <c r="Q126" s="16">
        <f>'Model inputs'!Q118+'Model inputs'!Q142+'Model inputs'!Q122</f>
        <v>2964.5804444444448</v>
      </c>
      <c r="R126" s="16">
        <f>'Model inputs'!R118+'Model inputs'!R142+'Model inputs'!R122</f>
        <v>3663.903348148149</v>
      </c>
      <c r="S126" s="16">
        <f>'Model inputs'!S118+'Model inputs'!S142+'Model inputs'!S122</f>
        <v>4388.3616529382725</v>
      </c>
      <c r="T126" s="16">
        <f>'Model inputs'!T118+'Model inputs'!T142+'Model inputs'!T122</f>
        <v>5142.0202196490545</v>
      </c>
      <c r="U126" s="16">
        <f>'Model inputs'!U118+'Model inputs'!U142+'Model inputs'!U122</f>
        <v>5929.13216273165</v>
      </c>
      <c r="V126" s="16">
        <f>'Model inputs'!V118+'Model inputs'!V142+'Model inputs'!V122</f>
        <v>6754.163039560144</v>
      </c>
      <c r="W126" s="16">
        <f>'Model inputs'!W118+'Model inputs'!W142+'Model inputs'!W122</f>
        <v>7621.816366280919</v>
      </c>
      <c r="X126" s="16">
        <f>'Model inputs'!X118+'Model inputs'!X142+'Model inputs'!X122</f>
        <v>8484.343372394635</v>
      </c>
      <c r="Y126" s="16">
        <f>'Model inputs'!Y118+'Model inputs'!Y142+'Model inputs'!Y122</f>
        <v>9344.194501988735</v>
      </c>
      <c r="Z126" s="16">
        <f>'Model inputs'!Z118+'Model inputs'!Z142+'Model inputs'!Z122</f>
        <v>10203.74118378671</v>
      </c>
      <c r="AA126" s="16">
        <f>'Model inputs'!AA118+'Model inputs'!AA142+'Model inputs'!AA122</f>
        <v>11065.284472742042</v>
      </c>
      <c r="AB126" s="16">
        <f>'Model inputs'!AB118+'Model inputs'!AB142+'Model inputs'!AB122</f>
        <v>11931.063250481995</v>
      </c>
      <c r="AC126" s="16">
        <f>'Model inputs'!AC118+'Model inputs'!AC142+'Model inputs'!AC122</f>
        <v>12803.262019409533</v>
      </c>
      <c r="AD126" s="16">
        <f>'Model inputs'!AD118+'Model inputs'!AD142+'Model inputs'!AD122</f>
        <v>13684.01832316695</v>
      </c>
      <c r="AE126" s="16">
        <f>'Model inputs'!AE118+'Model inputs'!AE142+'Model inputs'!AE122</f>
        <v>14575.429824209265</v>
      </c>
      <c r="AF126" s="16">
        <f>'Model inputs'!AF118+'Model inputs'!AF142+'Model inputs'!AF122</f>
        <v>15479.561067418897</v>
      </c>
    </row>
    <row r="127" outlineLevel="1">
      <c r="A127" t="inlineStr" s="21">
        <is>
          <t xml:space="preserve">Total revenue &gt; Launch</t>
        </is>
      </c>
      <c r="O127" s="16">
        <f>'Model inputs'!O119+'Model inputs'!O143+'Model inputs'!O123</f>
        <v>526.36</v>
      </c>
      <c r="P127" s="16">
        <f>'Model inputs'!P119+'Model inputs'!P143+'Model inputs'!P123</f>
        <v>787.4780027777778</v>
      </c>
      <c r="Q127" s="16">
        <f>'Model inputs'!Q119+'Model inputs'!Q143+'Model inputs'!Q123</f>
        <v>1046.2861286195985</v>
      </c>
      <c r="R127" s="16">
        <f>'Model inputs'!R119+'Model inputs'!R143+'Model inputs'!R123</f>
        <v>1303.5756353044392</v>
      </c>
      <c r="S127" s="16">
        <f>'Model inputs'!S119+'Model inputs'!S143+'Model inputs'!S123</f>
        <v>1559.9517961648992</v>
      </c>
      <c r="T127" s="16">
        <f>'Model inputs'!T119+'Model inputs'!T143+'Model inputs'!T123</f>
        <v>1816.0355541351703</v>
      </c>
      <c r="U127" s="16">
        <f>'Model inputs'!U119+'Model inputs'!U143+'Model inputs'!U123</f>
        <v>2072.4676212244485</v>
      </c>
      <c r="V127" s="16">
        <f>'Model inputs'!V119+'Model inputs'!V143+'Model inputs'!V123</f>
        <v>2352.8681827697096</v>
      </c>
      <c r="W127" s="16">
        <f>'Model inputs'!W119+'Model inputs'!W143+'Model inputs'!W123</f>
        <v>2640.5887875725334</v>
      </c>
      <c r="X127" s="16">
        <f>'Model inputs'!X119+'Model inputs'!X143+'Model inputs'!X123</f>
        <v>2936.597441693701</v>
      </c>
      <c r="Y127" s="16">
        <f>'Model inputs'!Y119+'Model inputs'!Y143+'Model inputs'!Y123</f>
        <v>3241.2133071686694</v>
      </c>
      <c r="Z127" s="16">
        <f>'Model inputs'!Z119+'Model inputs'!Z143+'Model inputs'!Z123</f>
        <v>3554.7526843950727</v>
      </c>
      <c r="AA127" s="16">
        <f>'Model inputs'!AA119+'Model inputs'!AA143+'Model inputs'!AA123</f>
        <v>3877.530864815093</v>
      </c>
      <c r="AB127" s="16">
        <f>'Model inputs'!AB119+'Model inputs'!AB143+'Model inputs'!AB123</f>
        <v>4209.863889501037</v>
      </c>
      <c r="AC127" s="16">
        <f>'Model inputs'!AC119+'Model inputs'!AC143+'Model inputs'!AC123</f>
        <v>4552.070222441817</v>
      </c>
      <c r="AD127" s="16">
        <f>'Model inputs'!AD119+'Model inputs'!AD143+'Model inputs'!AD123</f>
        <v>4904.472346795219</v>
      </c>
      <c r="AE127" s="16">
        <f>'Model inputs'!AE119+'Model inputs'!AE143+'Model inputs'!AE123</f>
        <v>5267.398291877309</v>
      </c>
      <c r="AF127" s="16">
        <f>'Model inputs'!AF119+'Model inputs'!AF143+'Model inputs'!AF123</f>
        <v>5641.183098203667</v>
      </c>
    </row>
    <row r="128" outlineLevel="1">
      <c r="A128" t="inlineStr" s="21">
        <is>
          <t xml:space="preserve">Total revenue &gt; Team</t>
        </is>
      </c>
      <c r="O128" s="16">
        <f>'Model inputs'!O120+'Model inputs'!O144+'Model inputs'!O124</f>
        <v>940.92</v>
      </c>
      <c r="P128" s="16">
        <f>'Model inputs'!P120+'Model inputs'!P144+'Model inputs'!P124</f>
        <v>1407.9237356481483</v>
      </c>
      <c r="Q128" s="16">
        <f>'Model inputs'!Q120+'Model inputs'!Q144+'Model inputs'!Q124</f>
        <v>1931.3637980424382</v>
      </c>
      <c r="R128" s="16">
        <f>'Model inputs'!R120+'Model inputs'!R144+'Model inputs'!R124</f>
        <v>2499.2686550550666</v>
      </c>
      <c r="S128" s="16">
        <f>'Model inputs'!S120+'Model inputs'!S144+'Model inputs'!S124</f>
        <v>3113.9154713862586</v>
      </c>
      <c r="T128" s="16">
        <f>'Model inputs'!T120+'Model inputs'!T144+'Model inputs'!T124</f>
        <v>3777.9247127928406</v>
      </c>
      <c r="U128" s="16">
        <f>'Model inputs'!U120+'Model inputs'!U144+'Model inputs'!U124</f>
        <v>4494.273998771872</v>
      </c>
      <c r="V128" s="16">
        <f>'Model inputs'!V120+'Model inputs'!V144+'Model inputs'!V124</f>
        <v>5318.324244472544</v>
      </c>
      <c r="W128" s="16">
        <f>'Model inputs'!W120+'Model inputs'!W144+'Model inputs'!W124</f>
        <v>6219.43183023211</v>
      </c>
      <c r="X128" s="16">
        <f>'Model inputs'!X120+'Model inputs'!X144+'Model inputs'!X124</f>
        <v>7152.246031580174</v>
      </c>
      <c r="Y128" s="16">
        <f>'Model inputs'!Y120+'Model inputs'!Y144+'Model inputs'!Y124</f>
        <v>8116.904532261261</v>
      </c>
      <c r="Z128" s="16">
        <f>'Model inputs'!Z120+'Model inputs'!Z144+'Model inputs'!Z124</f>
        <v>9113.674403897294</v>
      </c>
      <c r="AA128" s="16">
        <f>'Model inputs'!AA120+'Model inputs'!AA144+'Model inputs'!AA124</f>
        <v>10142.947365428137</v>
      </c>
      <c r="AB128" s="16">
        <f>'Model inputs'!AB120+'Model inputs'!AB144+'Model inputs'!AB124</f>
        <v>11205.235570628334</v>
      </c>
      <c r="AC128" s="16">
        <f>'Model inputs'!AC120+'Model inputs'!AC144+'Model inputs'!AC124</f>
        <v>12301.167895041712</v>
      </c>
      <c r="AD128" s="16">
        <f>'Model inputs'!AD120+'Model inputs'!AD144+'Model inputs'!AD124</f>
        <v>13431.486695914116</v>
      </c>
      <c r="AE128" s="16">
        <f>'Model inputs'!AE120+'Model inputs'!AE144+'Model inputs'!AE124</f>
        <v>14597.045020804691</v>
      </c>
      <c r="AF128" s="16">
        <f>'Model inputs'!AF120+'Model inputs'!AF144+'Model inputs'!AF124</f>
        <v>15798.804242527634</v>
      </c>
    </row>
    <row r="129">
      <c r="A129" t="inlineStr" s="20">
        <is>
          <t xml:space="preserve">Kits generated</t>
        </is>
      </c>
      <c r="O129" s="7">
        <f>SUM('Model inputs'!O130,'Model inputs'!O131,'Model inputs'!O132)</f>
        <v>828</v>
      </c>
      <c r="P129" s="7">
        <f>SUM('Model inputs'!P130,'Model inputs'!P131,'Model inputs'!P132)</f>
        <v>1368.7916666666665</v>
      </c>
      <c r="Q129" s="7">
        <f>SUM('Model inputs'!Q130,'Model inputs'!Q131,'Model inputs'!Q132)</f>
        <v>1826.121059722222</v>
      </c>
      <c r="R129" s="7">
        <f>SUM('Model inputs'!R130,'Model inputs'!R131,'Model inputs'!R132)</f>
        <v>2307.5384331400464</v>
      </c>
      <c r="S129" s="7">
        <f>SUM('Model inputs'!S130,'Model inputs'!S131,'Model inputs'!S132)</f>
        <v>2815.60018657172</v>
      </c>
      <c r="T129" s="7">
        <f>SUM('Model inputs'!T130,'Model inputs'!T131,'Model inputs'!T132)</f>
        <v>3353.0799466515737</v>
      </c>
      <c r="U129" s="7">
        <f>SUM('Model inputs'!U130,'Model inputs'!U131,'Model inputs'!U132)</f>
        <v>3922.9894035737357</v>
      </c>
      <c r="V129" s="7">
        <f>SUM('Model inputs'!V130,'Model inputs'!V131,'Model inputs'!V132)</f>
        <v>4528.601033265272</v>
      </c>
      <c r="W129" s="7">
        <f>SUM('Model inputs'!W130,'Model inputs'!W131,'Model inputs'!W132)</f>
        <v>5173.472886027722</v>
      </c>
      <c r="X129" s="7">
        <f>SUM('Model inputs'!X130,'Model inputs'!X131,'Model inputs'!X132)</f>
        <v>5830.4219865033065</v>
      </c>
      <c r="Y129" s="7">
        <f>SUM('Model inputs'!Y130,'Model inputs'!Y131,'Model inputs'!Y132)</f>
        <v>6500.301380559953</v>
      </c>
      <c r="Z129" s="7">
        <f>SUM('Model inputs'!Z130,'Model inputs'!Z131,'Model inputs'!Z132)</f>
        <v>7183.982147804838</v>
      </c>
      <c r="AA129" s="7">
        <f>SUM('Model inputs'!AA130,'Model inputs'!AA131,'Model inputs'!AA132)</f>
        <v>7882.355052921401</v>
      </c>
      <c r="AB129" s="7">
        <f>SUM('Model inputs'!AB130,'Model inputs'!AB131,'Model inputs'!AB132)</f>
        <v>8596.332203674476</v>
      </c>
      <c r="AC129" s="7">
        <f>SUM('Model inputs'!AC130,'Model inputs'!AC131,'Model inputs'!AC132)</f>
        <v>9326.848719753849</v>
      </c>
      <c r="AD129" s="7">
        <f>SUM('Model inputs'!AD130,'Model inputs'!AD131,'Model inputs'!AD132)</f>
        <v>10074.864416534487</v>
      </c>
      <c r="AE129" s="7">
        <f>SUM('Model inputs'!AE130,'Model inputs'!AE131,'Model inputs'!AE132)</f>
        <v>10841.365507753188</v>
      </c>
      <c r="AF129" s="7">
        <f>SUM('Model inputs'!AF130,'Model inputs'!AF131,'Model inputs'!AF132)</f>
        <v>11627.366331035839</v>
      </c>
    </row>
    <row r="130" outlineLevel="1">
      <c r="A130" t="inlineStr" s="21">
        <is>
          <t xml:space="preserve">Kits generated &gt; Indie</t>
        </is>
      </c>
      <c r="O130" s="17">
        <f>'Model inputs'!O38*('Model inputs'!AG42+'Model inputs'!AG81)</f>
        <v>340</v>
      </c>
      <c r="P130" s="17">
        <f>'Model inputs'!P38*('Model inputs'!AG42+'Model inputs'!AG81)</f>
        <v>631.8333333333333</v>
      </c>
      <c r="Q130" s="17">
        <f>'Model inputs'!Q38*('Model inputs'!AG42+'Model inputs'!AG81)</f>
        <v>819.2111111111111</v>
      </c>
      <c r="R130" s="17">
        <f>'Model inputs'!R38*('Model inputs'!AG42+'Model inputs'!AG81)</f>
        <v>1012.4570370370371</v>
      </c>
      <c r="S130" s="17">
        <f>'Model inputs'!S38*('Model inputs'!AG42+'Model inputs'!AG81)</f>
        <v>1212.648701234568</v>
      </c>
      <c r="T130" s="17">
        <f>'Model inputs'!T38*('Model inputs'!AG42+'Model inputs'!AG81)</f>
        <v>1420.9093584855968</v>
      </c>
      <c r="U130" s="17">
        <f>'Model inputs'!U38*('Model inputs'!AG42+'Model inputs'!AG81)</f>
        <v>1638.4142842398905</v>
      </c>
      <c r="V130" s="17">
        <f>'Model inputs'!V38*('Model inputs'!AG42+'Model inputs'!AG81)</f>
        <v>1866.3974589161646</v>
      </c>
      <c r="W130" s="17">
        <f>'Model inputs'!W38*('Model inputs'!AG42+'Model inputs'!AG81)</f>
        <v>2106.158618770735</v>
      </c>
      <c r="X130" s="17">
        <f>'Model inputs'!X38*('Model inputs'!AG42+'Model inputs'!AG81)</f>
        <v>2344.5032075862937</v>
      </c>
      <c r="Y130" s="17">
        <f>'Model inputs'!Y38*('Model inputs'!AG42+'Model inputs'!AG81)</f>
        <v>2582.108363683493</v>
      </c>
      <c r="Z130" s="17">
        <f>'Model inputs'!Z38*('Model inputs'!AG42+'Model inputs'!AG81)</f>
        <v>2819.62939083833</v>
      </c>
      <c r="AA130" s="17">
        <f>'Model inputs'!AA38*('Model inputs'!AG42+'Model inputs'!AG81)</f>
        <v>3057.7021462388607</v>
      </c>
      <c r="AB130" s="17">
        <f>'Model inputs'!AB38*('Model inputs'!AG42+'Model inputs'!AG81)</f>
        <v>3296.945306537613</v>
      </c>
      <c r="AC130" s="17">
        <f>'Model inputs'!AC38*('Model inputs'!AG42+'Model inputs'!AG81)</f>
        <v>3537.9625216183686</v>
      </c>
      <c r="AD130" s="17">
        <f>'Model inputs'!AD38*('Model inputs'!AG42+'Model inputs'!AG81)</f>
        <v>3781.3444651144046</v>
      </c>
      <c r="AE130" s="17">
        <f>'Model inputs'!AE38*('Model inputs'!AG42+'Model inputs'!AG81)</f>
        <v>4027.6707901748623</v>
      </c>
      <c r="AF130" s="17">
        <f>'Model inputs'!AF38*('Model inputs'!AG42+'Model inputs'!AG81)</f>
        <v>4277.511998474012</v>
      </c>
    </row>
    <row r="131" outlineLevel="1">
      <c r="A131" t="inlineStr" s="21">
        <is>
          <t xml:space="preserve">Kits generated &gt; Launch</t>
        </is>
      </c>
      <c r="O131" s="17">
        <f>'Model inputs'!O39*('Model inputs'!AG43+'Model inputs'!AG82)</f>
        <v>206</v>
      </c>
      <c r="P131" s="17">
        <f>'Model inputs'!P39*('Model inputs'!AG43+'Model inputs'!AG82)</f>
        <v>311.06</v>
      </c>
      <c r="Q131" s="17">
        <f>'Model inputs'!Q39*('Model inputs'!AG43+'Model inputs'!AG82)</f>
        <v>417.17203055555547</v>
      </c>
      <c r="R131" s="17">
        <f>'Model inputs'!R39*('Model inputs'!AG43+'Model inputs'!AG82)</f>
        <v>524.6844865439813</v>
      </c>
      <c r="S131" s="17">
        <f>'Model inputs'!S39*('Model inputs'!AG43+'Model inputs'!AG82)</f>
        <v>633.883524509045</v>
      </c>
      <c r="T131" s="17">
        <f>'Model inputs'!T39*('Model inputs'!AG43+'Model inputs'!AG82)</f>
        <v>745.0727893657524</v>
      </c>
      <c r="U131" s="17">
        <f>'Model inputs'!U39*('Model inputs'!AG43+'Model inputs'!AG82)</f>
        <v>858.5759658366885</v>
      </c>
      <c r="V131" s="17">
        <f>'Model inputs'!V39*('Model inputs'!AG43+'Model inputs'!AG82)</f>
        <v>974.7395094715155</v>
      </c>
      <c r="W131" s="17">
        <f>'Model inputs'!W39*('Model inputs'!AG43+'Model inputs'!AG82)</f>
        <v>1093.9355797163917</v>
      </c>
      <c r="X131" s="17">
        <f>'Model inputs'!X39*('Model inputs'!AG43+'Model inputs'!AG82)</f>
        <v>1216.5651993569368</v>
      </c>
      <c r="Y131" s="17">
        <f>'Model inputs'!Y39*('Model inputs'!AG43+'Model inputs'!AG82)</f>
        <v>1342.7605899294706</v>
      </c>
      <c r="Z131" s="17">
        <f>'Model inputs'!Z39*('Model inputs'!AG43+'Model inputs'!AG82)</f>
        <v>1472.6527874591704</v>
      </c>
      <c r="AA131" s="17">
        <f>'Model inputs'!AA39*('Model inputs'!AG43+'Model inputs'!AG82)</f>
        <v>1606.3724099840306</v>
      </c>
      <c r="AB131" s="17">
        <f>'Model inputs'!AB39*('Model inputs'!AG43+'Model inputs'!AG82)</f>
        <v>1744.050386096672</v>
      </c>
      <c r="AC131" s="17">
        <f>'Model inputs'!AC39*('Model inputs'!AG43+'Model inputs'!AG82)</f>
        <v>1885.8186481486862</v>
      </c>
      <c r="AD131" s="17">
        <f>'Model inputs'!AD39*('Model inputs'!AG43+'Model inputs'!AG82)</f>
        <v>2031.810793541463</v>
      </c>
      <c r="AE131" s="17">
        <f>'Model inputs'!AE39*('Model inputs'!AG43+'Model inputs'!AG82)</f>
        <v>2182.1627173230036</v>
      </c>
      <c r="AF131" s="17">
        <f>'Model inputs'!AF39*('Model inputs'!AG43+'Model inputs'!AG82)</f>
        <v>2337.013219121013</v>
      </c>
    </row>
    <row r="132" outlineLevel="1">
      <c r="A132" t="inlineStr" s="21">
        <is>
          <t xml:space="preserve">Kits generated &gt; Team</t>
        </is>
      </c>
      <c r="O132" s="17">
        <f>'Model inputs'!O40*('Model inputs'!AG44+'Model inputs'!AG83)</f>
        <v>282</v>
      </c>
      <c r="P132" s="17">
        <f>'Model inputs'!P40*('Model inputs'!AG44+'Model inputs'!AG83)</f>
        <v>425.89833333333337</v>
      </c>
      <c r="Q132" s="17">
        <f>'Model inputs'!Q40*('Model inputs'!AG44+'Model inputs'!AG83)</f>
        <v>589.7379180555556</v>
      </c>
      <c r="R132" s="17">
        <f>'Model inputs'!R40*('Model inputs'!AG44+'Model inputs'!AG83)</f>
        <v>770.3969095590278</v>
      </c>
      <c r="S132" s="17">
        <f>'Model inputs'!S40*('Model inputs'!AG44+'Model inputs'!AG83)</f>
        <v>969.0679608281067</v>
      </c>
      <c r="T132" s="17">
        <f>'Model inputs'!T40*('Model inputs'!AG44+'Model inputs'!AG83)</f>
        <v>1187.0977988002246</v>
      </c>
      <c r="U132" s="17">
        <f>'Model inputs'!U40*('Model inputs'!AG44+'Model inputs'!AG83)</f>
        <v>1425.9991534971566</v>
      </c>
      <c r="V132" s="17">
        <f>'Model inputs'!V40*('Model inputs'!AG44+'Model inputs'!AG83)</f>
        <v>1687.464064877592</v>
      </c>
      <c r="W132" s="17">
        <f>'Model inputs'!W40*('Model inputs'!AG44+'Model inputs'!AG83)</f>
        <v>1973.3786875405954</v>
      </c>
      <c r="X132" s="17">
        <f>'Model inputs'!X40*('Model inputs'!AG44+'Model inputs'!AG83)</f>
        <v>2269.3535795600765</v>
      </c>
      <c r="Y132" s="17">
        <f>'Model inputs'!Y40*('Model inputs'!AG44+'Model inputs'!AG83)</f>
        <v>2575.4324269469894</v>
      </c>
      <c r="Z132" s="17">
        <f>'Model inputs'!Z40*('Model inputs'!AG44+'Model inputs'!AG83)</f>
        <v>2891.6999695073378</v>
      </c>
      <c r="AA132" s="17">
        <f>'Model inputs'!AA40*('Model inputs'!AG44+'Model inputs'!AG83)</f>
        <v>3218.28049669851</v>
      </c>
      <c r="AB132" s="17">
        <f>'Model inputs'!AB40*('Model inputs'!AG44+'Model inputs'!AG83)</f>
        <v>3555.336511040191</v>
      </c>
      <c r="AC132" s="17">
        <f>'Model inputs'!AC40*('Model inputs'!AG44+'Model inputs'!AG83)</f>
        <v>3903.0675499867943</v>
      </c>
      <c r="AD132" s="17">
        <f>'Model inputs'!AD40*('Model inputs'!AG44+'Model inputs'!AG83)</f>
        <v>4261.709157878619</v>
      </c>
      <c r="AE132" s="17">
        <f>'Model inputs'!AE40*('Model inputs'!AG44+'Model inputs'!AG83)</f>
        <v>4631.532000255323</v>
      </c>
      <c r="AF132" s="17">
        <f>'Model inputs'!AF40*('Model inputs'!AG44+'Model inputs'!AG83)</f>
        <v>5012.841113440814</v>
      </c>
    </row>
    <row r="133">
      <c r="A133" t="inlineStr" s="20">
        <is>
          <t xml:space="preserve">Churned customers</t>
        </is>
      </c>
      <c r="O133" s="8">
        <f>SUM('Model inputs'!O134,'Model inputs'!O135,'Model inputs'!O136)</f>
        <v>0</v>
      </c>
      <c r="P133" s="8">
        <f>SUM('Model inputs'!P134,'Model inputs'!P135,'Model inputs'!P136)</f>
        <v>2.5949999999999998</v>
      </c>
      <c r="Q133" s="8">
        <f>SUM('Model inputs'!Q134,'Model inputs'!Q135,'Model inputs'!Q136)</f>
        <v>4.7545</v>
      </c>
      <c r="R133" s="8">
        <f>SUM('Model inputs'!R134,'Model inputs'!R135,'Model inputs'!R136)</f>
        <v>6.189471729166667</v>
      </c>
      <c r="S133" s="8">
        <f>SUM('Model inputs'!S134,'Model inputs'!S135,'Model inputs'!S136)</f>
        <v>7.67670344484375</v>
      </c>
      <c r="T133" s="8">
        <f>SUM('Model inputs'!T134,'Model inputs'!T135,'Model inputs'!T136)</f>
        <v>9.22458377005366</v>
      </c>
      <c r="U133" s="8">
        <f>SUM('Model inputs'!U134,'Model inputs'!U135,'Model inputs'!U136)</f>
        <v>10.841923285085763</v>
      </c>
      <c r="V133" s="8">
        <f>SUM('Model inputs'!V134,'Model inputs'!V135,'Model inputs'!V136)</f>
        <v>12.53800719356865</v>
      </c>
      <c r="W133" s="8">
        <f>SUM('Model inputs'!W134,'Model inputs'!W135,'Model inputs'!W136)</f>
        <v>14.322651198368181</v>
      </c>
      <c r="X133" s="8">
        <f>SUM('Model inputs'!X134,'Model inputs'!X135,'Model inputs'!X136)</f>
        <v>16.206260935808757</v>
      </c>
      <c r="Y133" s="8">
        <f>SUM('Model inputs'!Y134,'Model inputs'!Y135,'Model inputs'!Y136)</f>
        <v>18.08654281252618</v>
      </c>
      <c r="Z133" s="8">
        <f>SUM('Model inputs'!Z134,'Model inputs'!Z135,'Model inputs'!Z136)</f>
        <v>19.968314140900546</v>
      </c>
      <c r="AA133" s="8">
        <f>SUM('Model inputs'!AA134,'Model inputs'!AA135,'Model inputs'!AA136)</f>
        <v>21.856264225340805</v>
      </c>
      <c r="AB133" s="8">
        <f>SUM('Model inputs'!AB134,'Model inputs'!AB135,'Model inputs'!AB136)</f>
        <v>23.75497031424573</v>
      </c>
      <c r="AC133" s="8">
        <f>SUM('Model inputs'!AC134,'Model inputs'!AC135,'Model inputs'!AC136)</f>
        <v>25.66891279557524</v>
      </c>
      <c r="AD133" s="8">
        <f>SUM('Model inputs'!AD134,'Model inputs'!AD135,'Model inputs'!AD136)</f>
        <v>27.602489698389732</v>
      </c>
      <c r="AE133" s="8">
        <f>SUM('Model inputs'!AE134,'Model inputs'!AE135,'Model inputs'!AE136)</f>
        <v>29.560030559047362</v>
      </c>
      <c r="AF133" s="8">
        <f>SUM('Model inputs'!AF134,'Model inputs'!AF135,'Model inputs'!AF136)</f>
        <v>31.545809707344752</v>
      </c>
    </row>
    <row r="134" outlineLevel="1">
      <c r="A134" t="inlineStr" s="21">
        <is>
          <t xml:space="preserve">Churned customers &gt; Indie</t>
        </is>
      </c>
      <c r="O134" s="10">
        <f>IF(IF(IF(ISERROR('Model inputs'!O55&lt;1),'Model inputs'!O55&lt;1,IF('Model inputs'!O55="","",'Model inputs'!O55&lt;1))="",FALSE,IF(ISERROR('Model inputs'!O55&lt;1),'Model inputs'!O55&lt;1,IF('Model inputs'!O55="","",'Model inputs'!O55&lt;1))),0,'Model inputs'!O73*'Model inputs'!AG57)</f>
        <v>0</v>
      </c>
      <c r="P134" s="10">
        <f>IF(IF(IF(ISERROR('Model inputs'!P55&lt;1),'Model inputs'!P55&lt;1,IF('Model inputs'!P55="","",'Model inputs'!P55&lt;1))="",FALSE,IF(ISERROR('Model inputs'!P55&lt;1),'Model inputs'!P55&lt;1,IF('Model inputs'!P55="","",'Model inputs'!P55&lt;1))),0,'Model inputs'!P73*'Model inputs'!AG57)</f>
        <v>2.4</v>
      </c>
      <c r="Q134" s="10">
        <f>IF(IF(IF(ISERROR('Model inputs'!Q55&lt;1),'Model inputs'!Q55&lt;1,IF('Model inputs'!Q55="","",'Model inputs'!Q55&lt;1))="",FALSE,IF(ISERROR('Model inputs'!Q55&lt;1),'Model inputs'!Q55&lt;1,IF('Model inputs'!Q55="","",'Model inputs'!Q55&lt;1))),0,'Model inputs'!Q73*'Model inputs'!AG57)</f>
        <v>4.46</v>
      </c>
      <c r="R134" s="10">
        <f>IF(IF(IF(ISERROR('Model inputs'!R55&lt;1),'Model inputs'!R55&lt;1,IF('Model inputs'!R55="","",'Model inputs'!R55&lt;1))="",FALSE,IF(ISERROR('Model inputs'!R55&lt;1),'Model inputs'!R55&lt;1,IF('Model inputs'!R55="","",'Model inputs'!R55&lt;1))),0,'Model inputs'!R73*'Model inputs'!AG57)</f>
        <v>5.782666666666667</v>
      </c>
      <c r="S134" s="10">
        <f>IF(IF(IF(ISERROR('Model inputs'!S55&lt;1),'Model inputs'!S55&lt;1,IF('Model inputs'!S55="","",'Model inputs'!S55&lt;1))="",FALSE,IF(ISERROR('Model inputs'!S55&lt;1),'Model inputs'!S55&lt;1,IF('Model inputs'!S55="","",'Model inputs'!S55&lt;1))),0,'Model inputs'!S73*'Model inputs'!AG57)</f>
        <v>7.146755555555556</v>
      </c>
      <c r="T134" s="10">
        <f>IF(IF(IF(ISERROR('Model inputs'!T55&lt;1),'Model inputs'!T55&lt;1,IF('Model inputs'!T55="","",'Model inputs'!T55&lt;1))="",FALSE,IF(ISERROR('Model inputs'!T55&lt;1),'Model inputs'!T55&lt;1,IF('Model inputs'!T55="","",'Model inputs'!T55&lt;1))),0,'Model inputs'!T73*'Model inputs'!AG57)</f>
        <v>8.559873185185186</v>
      </c>
      <c r="U134" s="10">
        <f>IF(IF(IF(ISERROR('Model inputs'!U55&lt;1),'Model inputs'!U55&lt;1,IF('Model inputs'!U55="","",'Model inputs'!U55&lt;1))="",FALSE,IF(ISERROR('Model inputs'!U55&lt;1),'Model inputs'!U55&lt;1,IF('Model inputs'!U55="","",'Model inputs'!U55&lt;1))),0,'Model inputs'!U73*'Model inputs'!AG57)</f>
        <v>10.029948412839508</v>
      </c>
      <c r="V134" s="10">
        <f>IF(IF(IF(ISERROR('Model inputs'!V55&lt;1),'Model inputs'!V55&lt;1,IF('Model inputs'!V55="","",'Model inputs'!V55&lt;1))="",FALSE,IF(ISERROR('Model inputs'!V55&lt;1),'Model inputs'!V55&lt;1,IF('Model inputs'!V55="","",'Model inputs'!V55&lt;1))),0,'Model inputs'!V73*'Model inputs'!AG57)</f>
        <v>11.565277300516874</v>
      </c>
      <c r="W134" s="10">
        <f>IF(IF(IF(ISERROR('Model inputs'!W55&lt;1),'Model inputs'!W55&lt;1,IF('Model inputs'!W55="","",'Model inputs'!W55&lt;1))="",FALSE,IF(ISERROR('Model inputs'!W55&lt;1),'Model inputs'!W55&lt;1,IF('Model inputs'!W55="","",'Model inputs'!W55&lt;1))),0,'Model inputs'!W73*'Model inputs'!AG57)</f>
        <v>13.17457029823175</v>
      </c>
      <c r="X134" s="10">
        <f>IF(IF(IF(ISERROR('Model inputs'!X55&lt;1),'Model inputs'!X55&lt;1,IF('Model inputs'!X55="","",'Model inputs'!X55&lt;1))="",FALSE,IF(ISERROR('Model inputs'!X55&lt;1),'Model inputs'!X55&lt;1,IF('Model inputs'!X55="","",'Model inputs'!X55&lt;1))),0,'Model inputs'!X73*'Model inputs'!AG57)</f>
        <v>14.867002014852247</v>
      </c>
      <c r="Y134" s="10">
        <f>IF(IF(IF(ISERROR('Model inputs'!Y55&lt;1),'Model inputs'!Y55&lt;1,IF('Model inputs'!Y55="","",'Model inputs'!Y55&lt;1))="",FALSE,IF(ISERROR('Model inputs'!Y55&lt;1),'Model inputs'!Y55&lt;1,IF('Model inputs'!Y55="","",'Model inputs'!Y55&lt;1))),0,'Model inputs'!Y73*'Model inputs'!AG57)</f>
        <v>16.549434406491486</v>
      </c>
      <c r="Z134" s="10">
        <f>IF(IF(IF(ISERROR('Model inputs'!Z55&lt;1),'Model inputs'!Z55&lt;1,IF('Model inputs'!Z55="","",'Model inputs'!Z55&lt;1))="",FALSE,IF(ISERROR('Model inputs'!Z55&lt;1),'Model inputs'!Z55&lt;1,IF('Model inputs'!Z55="","",'Model inputs'!Z55&lt;1))),0,'Model inputs'!Z73*'Model inputs'!AG57)</f>
        <v>18.22664727305995</v>
      </c>
      <c r="AA134" s="10">
        <f>IF(IF(IF(ISERROR('Model inputs'!AA55&lt;1),'Model inputs'!AA55&lt;1,IF('Model inputs'!AA55="","",'Model inputs'!AA55&lt;1))="",FALSE,IF(ISERROR('Model inputs'!AA55&lt;1),'Model inputs'!AA55&lt;1,IF('Model inputs'!AA55="","",'Model inputs'!AA55&lt;1))),0,'Model inputs'!AA73*'Model inputs'!AG57)</f>
        <v>19.903266288270565</v>
      </c>
      <c r="AB134" s="10">
        <f>IF(IF(IF(ISERROR('Model inputs'!AB55&lt;1),'Model inputs'!AB55&lt;1,IF('Model inputs'!AB55="","",'Model inputs'!AB55&lt;1))="",FALSE,IF(ISERROR('Model inputs'!AB55&lt;1),'Model inputs'!AB55&lt;1,IF('Model inputs'!AB55="","",'Model inputs'!AB55&lt;1))),0,'Model inputs'!AB73*'Model inputs'!AG57)</f>
        <v>21.58377985580372</v>
      </c>
      <c r="AC134" s="10">
        <f>IF(IF(IF(ISERROR('Model inputs'!AC55&lt;1),'Model inputs'!AC55&lt;1,IF('Model inputs'!AC55="","",'Model inputs'!AC55&lt;1))="",FALSE,IF(ISERROR('Model inputs'!AC55&lt;1),'Model inputs'!AC55&lt;1,IF('Model inputs'!AC55="","",'Model inputs'!AC55&lt;1))),0,'Model inputs'!AC73*'Model inputs'!AG57)</f>
        <v>23.27255510497138</v>
      </c>
      <c r="AD134" s="10">
        <f>IF(IF(IF(ISERROR('Model inputs'!AD55&lt;1),'Model inputs'!AD55&lt;1,IF('Model inputs'!AD55="","",'Model inputs'!AD55&lt;1))="",FALSE,IF(ISERROR('Model inputs'!AD55&lt;1),'Model inputs'!AD55&lt;1,IF('Model inputs'!AD55="","",'Model inputs'!AD55&lt;1))),0,'Model inputs'!AD73*'Model inputs'!AG57)</f>
        <v>24.973853093776718</v>
      </c>
      <c r="AE134" s="10">
        <f>IF(IF(IF(ISERROR('Model inputs'!AE55&lt;1),'Model inputs'!AE55&lt;1,IF('Model inputs'!AE55="","",'Model inputs'!AE55&lt;1))="",FALSE,IF(ISERROR('Model inputs'!AE55&lt;1),'Model inputs'!AE55&lt;1,IF('Model inputs'!AE55="","",'Model inputs'!AE55&lt;1))),0,'Model inputs'!AE73*'Model inputs'!AG57)</f>
        <v>26.6918432831605</v>
      </c>
      <c r="AF134" s="10">
        <f>IF(IF(IF(ISERROR('Model inputs'!AF55&lt;1),'Model inputs'!AF55&lt;1,IF('Model inputs'!AF55="","",'Model inputs'!AF55&lt;1))="",FALSE,IF(ISERROR('Model inputs'!AF55&lt;1),'Model inputs'!AF55&lt;1,IF('Model inputs'!AF55="","",'Model inputs'!AF55&lt;1))),0,'Model inputs'!AF73*'Model inputs'!AG57)</f>
        <v>28.43061734241079</v>
      </c>
    </row>
    <row r="135" outlineLevel="1">
      <c r="A135" t="inlineStr" s="21">
        <is>
          <t xml:space="preserve">Churned customers &gt; Launch</t>
        </is>
      </c>
      <c r="O135" s="10">
        <f>IF(IF(IF(ISERROR('Model inputs'!O55&lt;1),'Model inputs'!O55&lt;1,IF('Model inputs'!O55="","",'Model inputs'!O55&lt;1))="",FALSE,IF(ISERROR('Model inputs'!O55&lt;1),'Model inputs'!O55&lt;1,IF('Model inputs'!O55="","",'Model inputs'!O55&lt;1))),0,'Model inputs'!O74*'Model inputs'!AG58)</f>
        <v>0</v>
      </c>
      <c r="P135" s="10">
        <f>IF(IF(IF(ISERROR('Model inputs'!P55&lt;1),'Model inputs'!P55&lt;1,IF('Model inputs'!P55="","",'Model inputs'!P55&lt;1))="",FALSE,IF(ISERROR('Model inputs'!P55&lt;1),'Model inputs'!P55&lt;1,IF('Model inputs'!P55="","",'Model inputs'!P55&lt;1))),0,'Model inputs'!P74*'Model inputs'!AG58)</f>
        <v>0.015</v>
      </c>
      <c r="Q135" s="10">
        <f>IF(IF(IF(ISERROR('Model inputs'!Q55&lt;1),'Model inputs'!Q55&lt;1,IF('Model inputs'!Q55="","",'Model inputs'!Q55&lt;1))="",FALSE,IF(ISERROR('Model inputs'!Q55&lt;1),'Model inputs'!Q55&lt;1,IF('Model inputs'!Q55="","",'Model inputs'!Q55&lt;1))),0,'Model inputs'!Q74*'Model inputs'!AG58)</f>
        <v>0.02265</v>
      </c>
      <c r="R135" s="10">
        <f>IF(IF(IF(ISERROR('Model inputs'!R55&lt;1),'Model inputs'!R55&lt;1,IF('Model inputs'!R55="","",'Model inputs'!R55&lt;1))="",FALSE,IF(ISERROR('Model inputs'!R55&lt;1),'Model inputs'!R55&lt;1,IF('Model inputs'!R55="","",'Model inputs'!R55&lt;1))),0,'Model inputs'!R74*'Model inputs'!AG58)</f>
        <v>0.03037660416666666</v>
      </c>
      <c r="S135" s="10">
        <f>IF(IF(IF(ISERROR('Model inputs'!S55&lt;1),'Model inputs'!S55&lt;1,IF('Model inputs'!S55="","",'Model inputs'!S55&lt;1))="",FALSE,IF(ISERROR('Model inputs'!S55&lt;1),'Model inputs'!S55&lt;1,IF('Model inputs'!S55="","",'Model inputs'!S55&lt;1))),0,'Model inputs'!S74*'Model inputs'!AG58)</f>
        <v>0.03820518105902777</v>
      </c>
      <c r="T135" s="10">
        <f>IF(IF(IF(ISERROR('Model inputs'!T55&lt;1),'Model inputs'!T55&lt;1,IF('Model inputs'!T55="","",'Model inputs'!T55&lt;1))="",FALSE,IF(ISERROR('Model inputs'!T55&lt;1),'Model inputs'!T55&lt;1,IF('Model inputs'!T55="","",'Model inputs'!T55&lt;1))),0,'Model inputs'!T74*'Model inputs'!AG58)</f>
        <v>0.04615656731861978</v>
      </c>
      <c r="U135" s="10">
        <f>IF(IF(IF(ISERROR('Model inputs'!U55&lt;1),'Model inputs'!U55&lt;1,IF('Model inputs'!U55="","",'Model inputs'!U55&lt;1))="",FALSE,IF(ISERROR('Model inputs'!U55&lt;1),'Model inputs'!U55&lt;1,IF('Model inputs'!U55="","",'Model inputs'!U55&lt;1))),0,'Model inputs'!U74*'Model inputs'!AG58)</f>
        <v>0.054252873012069346</v>
      </c>
      <c r="V135" s="10">
        <f>IF(IF(IF(ISERROR('Model inputs'!V55&lt;1),'Model inputs'!V55&lt;1,IF('Model inputs'!V55="","",'Model inputs'!V55&lt;1))="",FALSE,IF(ISERROR('Model inputs'!V55&lt;1),'Model inputs'!V55&lt;1,IF('Model inputs'!V55="","",'Model inputs'!V55&lt;1))),0,'Model inputs'!V74*'Model inputs'!AG58)</f>
        <v>0.06251766741529285</v>
      </c>
      <c r="W135" s="10">
        <f>IF(IF(IF(ISERROR('Model inputs'!W55&lt;1),'Model inputs'!W55&lt;1,IF('Model inputs'!W55="","",'Model inputs'!W55&lt;1))="",FALSE,IF(ISERROR('Model inputs'!W55&lt;1),'Model inputs'!W55&lt;1,IF('Model inputs'!W55="","",'Model inputs'!W55&lt;1))),0,'Model inputs'!W74*'Model inputs'!AG58)</f>
        <v>0.07097617787413947</v>
      </c>
      <c r="X135" s="10">
        <f>IF(IF(IF(ISERROR('Model inputs'!X55&lt;1),'Model inputs'!X55&lt;1,IF('Model inputs'!X55="","",'Model inputs'!X55&lt;1))="",FALSE,IF(ISERROR('Model inputs'!X55&lt;1),'Model inputs'!X55&lt;1,IF('Model inputs'!X55="","",'Model inputs'!X55&lt;1))),0,'Model inputs'!X74*'Model inputs'!AG58)</f>
        <v>0.07965550337740715</v>
      </c>
      <c r="Y135" s="10">
        <f>IF(IF(IF(ISERROR('Model inputs'!Y55&lt;1),'Model inputs'!Y55&lt;1,IF('Model inputs'!Y55="","",'Model inputs'!Y55&lt;1))="",FALSE,IF(ISERROR('Model inputs'!Y55&lt;1),'Model inputs'!Y55&lt;1,IF('Model inputs'!Y55="","",'Model inputs'!Y55&lt;1))),0,'Model inputs'!Y74*'Model inputs'!AG58)</f>
        <v>0.08858484461336918</v>
      </c>
      <c r="Z135" s="10">
        <f>IF(IF(IF(ISERROR('Model inputs'!Z55&lt;1),'Model inputs'!Z55&lt;1,IF('Model inputs'!Z55="","",'Model inputs'!Z55&lt;1))="",FALSE,IF(ISERROR('Model inputs'!Z55&lt;1),'Model inputs'!Z55&lt;1,IF('Model inputs'!Z55="","",'Model inputs'!Z55&lt;1))),0,'Model inputs'!Z74*'Model inputs'!AG58)</f>
        <v>0.0977738293637964</v>
      </c>
      <c r="AA135" s="10">
        <f>IF(IF(IF(ISERROR('Model inputs'!AA55&lt;1),'Model inputs'!AA55&lt;1,IF('Model inputs'!AA55="","",'Model inputs'!AA55&lt;1))="",FALSE,IF(ISERROR('Model inputs'!AA55&lt;1),'Model inputs'!AA55&lt;1,IF('Model inputs'!AA55="","",'Model inputs'!AA55&lt;1))),0,'Model inputs'!AA74*'Model inputs'!AG58)</f>
        <v>0.1072319990868328</v>
      </c>
      <c r="AB135" s="10">
        <f>IF(IF(IF(ISERROR('Model inputs'!AB55&lt;1),'Model inputs'!AB55&lt;1,IF('Model inputs'!AB55="","",'Model inputs'!AB55&lt;1))="",FALSE,IF(ISERROR('Model inputs'!AB55&lt;1),'Model inputs'!AB55&lt;1,IF('Model inputs'!AB55="","",'Model inputs'!AB55&lt;1))),0,'Model inputs'!AB74*'Model inputs'!AG58)</f>
        <v>0.11696886480466241</v>
      </c>
      <c r="AC135" s="10">
        <f>IF(IF(IF(ISERROR('Model inputs'!AC55&lt;1),'Model inputs'!AC55&lt;1,IF('Model inputs'!AC55="","",'Model inputs'!AC55&lt;1))="",FALSE,IF(ISERROR('Model inputs'!AC55&lt;1),'Model inputs'!AC55&lt;1,IF('Model inputs'!AC55="","",'Model inputs'!AC55&lt;1))),0,'Model inputs'!AC74*'Model inputs'!AG58)</f>
        <v>0.12699396015267028</v>
      </c>
      <c r="AD135" s="10">
        <f>IF(IF(IF(ISERROR('Model inputs'!AD55&lt;1),'Model inputs'!AD55&lt;1,IF('Model inputs'!AD55="","",'Model inputs'!AD55&lt;1))="",FALSE,IF(ISERROR('Model inputs'!AD55&lt;1),'Model inputs'!AD55&lt;1,IF('Model inputs'!AD55="","",'Model inputs'!AD55&lt;1))),0,'Model inputs'!AD74*'Model inputs'!AG58)</f>
        <v>0.13731689185548684</v>
      </c>
      <c r="AE135" s="10">
        <f>IF(IF(IF(ISERROR('Model inputs'!AE55&lt;1),'Model inputs'!AE55&lt;1,IF('Model inputs'!AE55="","",'Model inputs'!AE55&lt;1))="",FALSE,IF(ISERROR('Model inputs'!AE55&lt;1),'Model inputs'!AE55&lt;1,IF('Model inputs'!AE55="","",'Model inputs'!AE55&lt;1))),0,'Model inputs'!AE74*'Model inputs'!AG58)</f>
        <v>0.14794738787923273</v>
      </c>
      <c r="AF135" s="10">
        <f>IF(IF(IF(ISERROR('Model inputs'!AF55&lt;1),'Model inputs'!AF55&lt;1,IF('Model inputs'!AF55="","",'Model inputs'!AF55&lt;1))="",FALSE,IF(ISERROR('Model inputs'!AF55&lt;1),'Model inputs'!AF55&lt;1,IF('Model inputs'!AF55="","",'Model inputs'!AF55&lt;1))),0,'Model inputs'!AF74*'Model inputs'!AG58)</f>
        <v>0.15889534349439347</v>
      </c>
    </row>
    <row r="136" outlineLevel="1">
      <c r="A136" t="inlineStr" s="21">
        <is>
          <t xml:space="preserve">Churned customers &gt; Team</t>
        </is>
      </c>
      <c r="O136" s="10">
        <f>IF(IF(IF(ISERROR('Model inputs'!O55&lt;1),'Model inputs'!O55&lt;1,IF('Model inputs'!O55="","",'Model inputs'!O55&lt;1))="",FALSE,IF(ISERROR('Model inputs'!O55&lt;1),'Model inputs'!O55&lt;1,IF('Model inputs'!O55="","",'Model inputs'!O55&lt;1))),0,'Model inputs'!O75*'Model inputs'!AG59)</f>
        <v>0</v>
      </c>
      <c r="P136" s="10">
        <f>IF(IF(IF(ISERROR('Model inputs'!P55&lt;1),'Model inputs'!P55&lt;1,IF('Model inputs'!P55="","",'Model inputs'!P55&lt;1))="",FALSE,IF(ISERROR('Model inputs'!P55&lt;1),'Model inputs'!P55&lt;1,IF('Model inputs'!P55="","",'Model inputs'!P55&lt;1))),0,'Model inputs'!P75*'Model inputs'!AG59)</f>
        <v>0.18</v>
      </c>
      <c r="Q136" s="10">
        <f>IF(IF(IF(ISERROR('Model inputs'!Q55&lt;1),'Model inputs'!Q55&lt;1,IF('Model inputs'!Q55="","",'Model inputs'!Q55&lt;1))="",FALSE,IF(ISERROR('Model inputs'!Q55&lt;1),'Model inputs'!Q55&lt;1,IF('Model inputs'!Q55="","",'Model inputs'!Q55&lt;1))),0,'Model inputs'!Q75*'Model inputs'!AG59)</f>
        <v>0.27185000000000004</v>
      </c>
      <c r="R136" s="10">
        <f>IF(IF(IF(ISERROR('Model inputs'!R55&lt;1),'Model inputs'!R55&lt;1,IF('Model inputs'!R55="","",'Model inputs'!R55&lt;1))="",FALSE,IF(ISERROR('Model inputs'!R55&lt;1),'Model inputs'!R55&lt;1,IF('Model inputs'!R55="","",'Model inputs'!R55&lt;1))),0,'Model inputs'!R75*'Model inputs'!AG59)</f>
        <v>0.3764284583333333</v>
      </c>
      <c r="S136" s="10">
        <f>IF(IF(IF(ISERROR('Model inputs'!S55&lt;1),'Model inputs'!S55&lt;1,IF('Model inputs'!S55="","",'Model inputs'!S55&lt;1))="",FALSE,IF(ISERROR('Model inputs'!S55&lt;1),'Model inputs'!S55&lt;1,IF('Model inputs'!S55="","",'Model inputs'!S55&lt;1))),0,'Model inputs'!S75*'Model inputs'!AG59)</f>
        <v>0.4917427082291666</v>
      </c>
      <c r="T136" s="10">
        <f>IF(IF(IF(ISERROR('Model inputs'!T55&lt;1),'Model inputs'!T55&lt;1,IF('Model inputs'!T55="","",'Model inputs'!T55&lt;1))="",FALSE,IF(ISERROR('Model inputs'!T55&lt;1),'Model inputs'!T55&lt;1,IF('Model inputs'!T55="","",'Model inputs'!T55&lt;1))),0,'Model inputs'!T75*'Model inputs'!AG59)</f>
        <v>0.6185540175498553</v>
      </c>
      <c r="U136" s="10">
        <f>IF(IF(IF(ISERROR('Model inputs'!U55&lt;1),'Model inputs'!U55&lt;1,IF('Model inputs'!U55="","",'Model inputs'!U55&lt;1))="",FALSE,IF(ISERROR('Model inputs'!U55&lt;1),'Model inputs'!U55&lt;1,IF('Model inputs'!U55="","",'Model inputs'!U55&lt;1))),0,'Model inputs'!U75*'Model inputs'!AG59)</f>
        <v>0.7577219992341859</v>
      </c>
      <c r="V136" s="10">
        <f>IF(IF(IF(ISERROR('Model inputs'!V55&lt;1),'Model inputs'!V55&lt;1,IF('Model inputs'!V55="","",'Model inputs'!V55&lt;1))="",FALSE,IF(ISERROR('Model inputs'!V55&lt;1),'Model inputs'!V55&lt;1,IF('Model inputs'!V55="","",'Model inputs'!V55&lt;1))),0,'Model inputs'!V75*'Model inputs'!AG59)</f>
        <v>0.910212225636483</v>
      </c>
      <c r="W136" s="10">
        <f>IF(IF(IF(ISERROR('Model inputs'!W55&lt;1),'Model inputs'!W55&lt;1,IF('Model inputs'!W55="","",'Model inputs'!W55&lt;1))="",FALSE,IF(ISERROR('Model inputs'!W55&lt;1),'Model inputs'!W55&lt;1,IF('Model inputs'!W55="","",'Model inputs'!W55&lt;1))),0,'Model inputs'!W75*'Model inputs'!AG59)</f>
        <v>1.0771047222622927</v>
      </c>
      <c r="X136" s="10">
        <f>IF(IF(IF(ISERROR('Model inputs'!X55&lt;1),'Model inputs'!X55&lt;1,IF('Model inputs'!X55="","",'Model inputs'!X55&lt;1))="",FALSE,IF(ISERROR('Model inputs'!X55&lt;1),'Model inputs'!X55&lt;1,IF('Model inputs'!X55="","",'Model inputs'!X55&lt;1))),0,'Model inputs'!X75*'Model inputs'!AG59)</f>
        <v>1.2596034175791035</v>
      </c>
      <c r="Y136" s="10">
        <f>IF(IF(IF(ISERROR('Model inputs'!Y55&lt;1),'Model inputs'!Y55&lt;1,IF('Model inputs'!Y55="","",'Model inputs'!Y55&lt;1))="",FALSE,IF(ISERROR('Model inputs'!Y55&lt;1),'Model inputs'!Y55&lt;1,IF('Model inputs'!Y55="","",'Model inputs'!Y55&lt;1))),0,'Model inputs'!Y75*'Model inputs'!AG59)</f>
        <v>1.4485235614213252</v>
      </c>
      <c r="Z136" s="10">
        <f>IF(IF(IF(ISERROR('Model inputs'!Z55&lt;1),'Model inputs'!Z55&lt;1,IF('Model inputs'!Z55="","",'Model inputs'!Z55&lt;1))="",FALSE,IF(ISERROR('Model inputs'!Z55&lt;1),'Model inputs'!Z55&lt;1,IF('Model inputs'!Z55="","",'Model inputs'!Z55&lt;1))),0,'Model inputs'!Z75*'Model inputs'!AG59)</f>
        <v>1.6438930384768016</v>
      </c>
      <c r="AA136" s="10">
        <f>IF(IF(IF(ISERROR('Model inputs'!AA55&lt;1),'Model inputs'!AA55&lt;1,IF('Model inputs'!AA55="","",'Model inputs'!AA55&lt;1))="",FALSE,IF(ISERROR('Model inputs'!AA55&lt;1),'Model inputs'!AA55&lt;1,IF('Model inputs'!AA55="","",'Model inputs'!AA55&lt;1))),0,'Model inputs'!AA75*'Model inputs'!AG59)</f>
        <v>1.845765937983407</v>
      </c>
      <c r="AB136" s="10">
        <f>IF(IF(IF(ISERROR('Model inputs'!AB55&lt;1),'Model inputs'!AB55&lt;1,IF('Model inputs'!AB55="","",'Model inputs'!AB55&lt;1))="",FALSE,IF(ISERROR('Model inputs'!AB55&lt;1),'Model inputs'!AB55&lt;1,IF('Model inputs'!AB55="","",'Model inputs'!AB55&lt;1))),0,'Model inputs'!AB75*'Model inputs'!AG59)</f>
        <v>2.054221593637347</v>
      </c>
      <c r="AC136" s="10">
        <f>IF(IF(IF(ISERROR('Model inputs'!AC55&lt;1),'Model inputs'!AC55&lt;1,IF('Model inputs'!AC55="","",'Model inputs'!AC55&lt;1))="",FALSE,IF(ISERROR('Model inputs'!AC55&lt;1),'Model inputs'!AC55&lt;1,IF('Model inputs'!AC55="","",'Model inputs'!AC55&lt;1))),0,'Model inputs'!AC75*'Model inputs'!AG59)</f>
        <v>2.2693637304511856</v>
      </c>
      <c r="AD136" s="10">
        <f>IF(IF(IF(ISERROR('Model inputs'!AD55&lt;1),'Model inputs'!AD55&lt;1,IF('Model inputs'!AD55="","",'Model inputs'!AD55&lt;1))="",FALSE,IF(ISERROR('Model inputs'!AD55&lt;1),'Model inputs'!AD55&lt;1,IF('Model inputs'!AD55="","",'Model inputs'!AD55&lt;1))),0,'Model inputs'!AD75*'Model inputs'!AG59)</f>
        <v>2.491319712757528</v>
      </c>
      <c r="AE136" s="10">
        <f>IF(IF(IF(ISERROR('Model inputs'!AE55&lt;1),'Model inputs'!AE55&lt;1,IF('Model inputs'!AE55="","",'Model inputs'!AE55&lt;1))="",FALSE,IF(ISERROR('Model inputs'!AE55&lt;1),'Model inputs'!AE55&lt;1,IF('Model inputs'!AE55="","",'Model inputs'!AE55&lt;1))),0,'Model inputs'!AE75*'Model inputs'!AG59)</f>
        <v>2.720239888007629</v>
      </c>
      <c r="AF136" s="10">
        <f>IF(IF(IF(ISERROR('Model inputs'!AF55&lt;1),'Model inputs'!AF55&lt;1,IF('Model inputs'!AF55="","",'Model inputs'!AF55&lt;1))="",FALSE,IF(ISERROR('Model inputs'!AF55&lt;1),'Model inputs'!AF55&lt;1,IF('Model inputs'!AF55="","",'Model inputs'!AF55&lt;1))),0,'Model inputs'!AF75*'Model inputs'!AG59)</f>
        <v>2.956297021439567</v>
      </c>
    </row>
    <row r="137">
      <c r="A137" t="inlineStr" s="20">
        <is>
          <t xml:space="preserve">Monthly payers</t>
        </is>
      </c>
      <c r="O137" s="8">
        <f>SUM('Model inputs'!O138,'Model inputs'!O139,'Model inputs'!O140)</f>
        <v>47</v>
      </c>
      <c r="P137" s="8">
        <f>SUM('Model inputs'!P138,'Model inputs'!P139,'Model inputs'!P140)</f>
        <v>84.28831944444444</v>
      </c>
      <c r="Q137" s="8">
        <f>SUM('Model inputs'!Q138,'Model inputs'!Q139,'Model inputs'!Q140)</f>
        <v>109.25034907407408</v>
      </c>
      <c r="R137" s="8">
        <f>SUM('Model inputs'!R138,'Model inputs'!R139,'Model inputs'!R140)</f>
        <v>134.7368020271412</v>
      </c>
      <c r="S137" s="8">
        <f>SUM('Model inputs'!S138,'Model inputs'!S139,'Model inputs'!S140)</f>
        <v>160.83115808675663</v>
      </c>
      <c r="T137" s="8">
        <f>SUM('Model inputs'!T138,'Model inputs'!T139,'Model inputs'!T140)</f>
        <v>187.61840642148002</v>
      </c>
      <c r="U137" s="8">
        <f>SUM('Model inputs'!U138,'Model inputs'!U139,'Model inputs'!U140)</f>
        <v>215.18498548540106</v>
      </c>
      <c r="V137" s="8">
        <f>SUM('Model inputs'!V138,'Model inputs'!V139,'Model inputs'!V140)</f>
        <v>245.98907499409157</v>
      </c>
      <c r="W137" s="8">
        <f>SUM('Model inputs'!W138,'Model inputs'!W139,'Model inputs'!W140)</f>
        <v>278.52651277477236</v>
      </c>
      <c r="X137" s="8">
        <f>SUM('Model inputs'!X138,'Model inputs'!X139,'Model inputs'!X140)</f>
        <v>311.0472605388994</v>
      </c>
      <c r="Y137" s="8">
        <f>SUM('Model inputs'!Y138,'Model inputs'!Y139,'Model inputs'!Y140)</f>
        <v>343.6320029904277</v>
      </c>
      <c r="Z137" s="8">
        <f>SUM('Model inputs'!Z138,'Model inputs'!Z139,'Model inputs'!Z140)</f>
        <v>376.35942008791267</v>
      </c>
      <c r="AA137" s="8">
        <f>SUM('Model inputs'!AA138,'Model inputs'!AA139,'Model inputs'!AA140)</f>
        <v>409.3064496004066</v>
      </c>
      <c r="AB137" s="8">
        <f>SUM('Model inputs'!AB138,'Model inputs'!AB139,'Model inputs'!AB140)</f>
        <v>442.54853751591446</v>
      </c>
      <c r="AC137" s="8">
        <f>SUM('Model inputs'!AC138,'Model inputs'!AC139,'Model inputs'!AC140)</f>
        <v>476.15987731976287</v>
      </c>
      <c r="AD137" s="8">
        <f>SUM('Model inputs'!AD138,'Model inputs'!AD139,'Model inputs'!AD140)</f>
        <v>510.21363910094044</v>
      </c>
      <c r="AE137" s="8">
        <f>SUM('Model inputs'!AE138,'Model inputs'!AE139,'Model inputs'!AE140)</f>
        <v>544.7821893894609</v>
      </c>
      <c r="AF137" s="8">
        <f>SUM('Model inputs'!AF138,'Model inputs'!AF139,'Model inputs'!AF140)</f>
        <v>579.9373025768048</v>
      </c>
    </row>
    <row r="138" outlineLevel="1">
      <c r="A138" t="inlineStr" s="21">
        <is>
          <t xml:space="preserve">Monthly payers &gt; Indie</t>
        </is>
      </c>
      <c r="O138" s="10">
        <f>'Model inputs'!O38-'Model inputs'!O7</f>
        <v>40</v>
      </c>
      <c r="P138" s="10">
        <f>'Model inputs'!P38-'Model inputs'!P7</f>
        <v>74.33333333333333</v>
      </c>
      <c r="Q138" s="10">
        <f>'Model inputs'!Q38-'Model inputs'!Q7</f>
        <v>96.37777777777778</v>
      </c>
      <c r="R138" s="10">
        <f>'Model inputs'!R38-'Model inputs'!R7</f>
        <v>119.1125925925926</v>
      </c>
      <c r="S138" s="10">
        <f>'Model inputs'!S38-'Model inputs'!S7</f>
        <v>142.66455308641977</v>
      </c>
      <c r="T138" s="10">
        <f>'Model inputs'!T38-'Model inputs'!T7</f>
        <v>167.16580688065847</v>
      </c>
      <c r="U138" s="10">
        <f>'Model inputs'!U38-'Model inputs'!U7</f>
        <v>192.75462167528124</v>
      </c>
      <c r="V138" s="10">
        <f>'Model inputs'!V38-'Model inputs'!V7</f>
        <v>219.57617163719584</v>
      </c>
      <c r="W138" s="10">
        <f>'Model inputs'!W38-'Model inputs'!W7</f>
        <v>247.78336691420412</v>
      </c>
      <c r="X138" s="10">
        <f>'Model inputs'!X38-'Model inputs'!X7</f>
        <v>275.8239067748581</v>
      </c>
      <c r="Y138" s="10">
        <f>'Model inputs'!Y38-'Model inputs'!Y7</f>
        <v>303.77745455099915</v>
      </c>
      <c r="Z138" s="10">
        <f>'Model inputs'!Z38-'Model inputs'!Z7</f>
        <v>331.7211048045094</v>
      </c>
      <c r="AA138" s="10">
        <f>'Model inputs'!AA38-'Model inputs'!AA7</f>
        <v>359.72966426339536</v>
      </c>
      <c r="AB138" s="10">
        <f>'Model inputs'!AB38-'Model inputs'!AB7</f>
        <v>387.87591841618973</v>
      </c>
      <c r="AC138" s="10">
        <f>'Model inputs'!AC38-'Model inputs'!AC7</f>
        <v>416.23088489627867</v>
      </c>
      <c r="AD138" s="10">
        <f>'Model inputs'!AD38-'Model inputs'!AD7</f>
        <v>444.8640547193417</v>
      </c>
      <c r="AE138" s="10">
        <f>'Model inputs'!AE38-'Model inputs'!AE7</f>
        <v>473.8436223735132</v>
      </c>
      <c r="AF138" s="10">
        <f>'Model inputs'!AF38-'Model inputs'!AF7</f>
        <v>503.23670570282496</v>
      </c>
    </row>
    <row r="139" outlineLevel="1">
      <c r="A139" t="inlineStr" s="21">
        <is>
          <t xml:space="preserve">Monthly payers &gt; Launch</t>
        </is>
      </c>
      <c r="O139" s="10">
        <f>'Model inputs'!O39-'Model inputs'!O8</f>
        <v>1</v>
      </c>
      <c r="P139" s="10">
        <f>'Model inputs'!P39-'Model inputs'!P8</f>
        <v>1.4219166666666667</v>
      </c>
      <c r="Q139" s="10">
        <f>'Model inputs'!Q39-'Model inputs'!Q8</f>
        <v>1.7888444675925923</v>
      </c>
      <c r="R139" s="10">
        <f>'Model inputs'!R39-'Model inputs'!R8</f>
        <v>2.101284958246527</v>
      </c>
      <c r="S139" s="10">
        <f>'Model inputs'!S39-'Model inputs'!S8</f>
        <v>2.3591134407294554</v>
      </c>
      <c r="T139" s="10">
        <f>'Model inputs'!T39-'Model inputs'!T8</f>
        <v>2.5619412255699414</v>
      </c>
      <c r="U139" s="10">
        <f>'Model inputs'!U39-'Model inputs'!U8</f>
        <v>2.709098921329357</v>
      </c>
      <c r="V139" s="10">
        <f>'Model inputs'!V39-'Model inputs'!V8</f>
        <v>3.075634374546044</v>
      </c>
      <c r="W139" s="10">
        <f>'Model inputs'!W39-'Model inputs'!W8</f>
        <v>3.4517384796876436</v>
      </c>
      <c r="X139" s="10">
        <f>'Model inputs'!X39-'Model inputs'!X8</f>
        <v>3.838676599912665</v>
      </c>
      <c r="Y139" s="10">
        <f>'Model inputs'!Y39-'Model inputs'!Y8</f>
        <v>4.236865939097845</v>
      </c>
      <c r="Z139" s="10">
        <f>'Model inputs'!Z39-'Model inputs'!Z8</f>
        <v>4.646719960429421</v>
      </c>
      <c r="AA139" s="10">
        <f>'Model inputs'!AA39-'Model inputs'!AA8</f>
        <v>5.0686508082020385</v>
      </c>
      <c r="AB139" s="10">
        <f>'Model inputs'!AB39-'Model inputs'!AB8</f>
        <v>5.503071606615713</v>
      </c>
      <c r="AC139" s="10">
        <f>'Model inputs'!AC39-'Model inputs'!AC8</f>
        <v>5.950398647071097</v>
      </c>
      <c r="AD139" s="10">
        <f>'Model inputs'!AD39-'Model inputs'!AD8</f>
        <v>6.411053474766752</v>
      </c>
      <c r="AE139" s="10">
        <f>'Model inputs'!AE39-'Model inputs'!AE8</f>
        <v>6.8854648847570505</v>
      </c>
      <c r="AF139" s="10">
        <f>'Model inputs'!AF39-'Model inputs'!AF8</f>
        <v>7.374070837032322</v>
      </c>
    </row>
    <row r="140" outlineLevel="1">
      <c r="A140" t="inlineStr" s="21">
        <is>
          <t xml:space="preserve">Monthly payers &gt; Team</t>
        </is>
      </c>
      <c r="O140" s="10">
        <f>'Model inputs'!O40-'Model inputs'!O9</f>
        <v>6</v>
      </c>
      <c r="P140" s="10">
        <f>'Model inputs'!P40-'Model inputs'!P9</f>
        <v>8.533069444444445</v>
      </c>
      <c r="Q140" s="10">
        <f>'Model inputs'!Q40-'Model inputs'!Q9</f>
        <v>11.083726828703703</v>
      </c>
      <c r="R140" s="10">
        <f>'Model inputs'!R40-'Model inputs'!R9</f>
        <v>13.522924476302084</v>
      </c>
      <c r="S140" s="10">
        <f>'Model inputs'!S40-'Model inputs'!S9</f>
        <v>15.807491559607413</v>
      </c>
      <c r="T140" s="10">
        <f>'Model inputs'!T40-'Model inputs'!T9</f>
        <v>17.890658315251613</v>
      </c>
      <c r="U140" s="10">
        <f>'Model inputs'!U40-'Model inputs'!U9</f>
        <v>19.721264888790465</v>
      </c>
      <c r="V140" s="10">
        <f>'Model inputs'!V40-'Model inputs'!V9</f>
        <v>23.337268982349677</v>
      </c>
      <c r="W140" s="10">
        <f>'Model inputs'!W40-'Model inputs'!W9</f>
        <v>27.291407380880578</v>
      </c>
      <c r="X140" s="10">
        <f>'Model inputs'!X40-'Model inputs'!X9</f>
        <v>31.384677164128714</v>
      </c>
      <c r="Y140" s="10">
        <f>'Model inputs'!Y40-'Model inputs'!Y9</f>
        <v>35.6176825003307</v>
      </c>
      <c r="Z140" s="10">
        <f>'Model inputs'!Z40-'Model inputs'!Z9</f>
        <v>39.99159532297382</v>
      </c>
      <c r="AA140" s="10">
        <f>'Model inputs'!AA40-'Model inputs'!AA9</f>
        <v>44.50813452880918</v>
      </c>
      <c r="AB140" s="10">
        <f>'Model inputs'!AB40-'Model inputs'!AB9</f>
        <v>49.16954749310902</v>
      </c>
      <c r="AC140" s="10">
        <f>'Model inputs'!AC40-'Model inputs'!AC9</f>
        <v>53.97859377641311</v>
      </c>
      <c r="AD140" s="10">
        <f>'Model inputs'!AD40-'Model inputs'!AD9</f>
        <v>58.93853090683197</v>
      </c>
      <c r="AE140" s="10">
        <f>'Model inputs'!AE40-'Model inputs'!AE9</f>
        <v>64.05310213119063</v>
      </c>
      <c r="AF140" s="10">
        <f>'Model inputs'!AF40-'Model inputs'!AF9</f>
        <v>69.32652603694743</v>
      </c>
    </row>
    <row r="141">
      <c r="A141" t="inlineStr" s="20">
        <is>
          <t xml:space="preserve">Overage revenue</t>
        </is>
      </c>
      <c r="O141" s="15">
        <f>SUM('Model inputs'!O142,'Model inputs'!O143,'Model inputs'!O144)</f>
        <v>95</v>
      </c>
      <c r="P141" s="15">
        <f>SUM('Model inputs'!P142,'Model inputs'!P143,'Model inputs'!P144)</f>
        <v>160.875</v>
      </c>
      <c r="Q141" s="15">
        <f>SUM('Model inputs'!Q142,'Model inputs'!Q143,'Model inputs'!Q144)</f>
        <v>213.58690277777777</v>
      </c>
      <c r="R141" s="15">
        <f>SUM('Model inputs'!R142,'Model inputs'!R143,'Model inputs'!R144)</f>
        <v>269.05303983796296</v>
      </c>
      <c r="S141" s="15">
        <f>SUM('Model inputs'!S142,'Model inputs'!S143,'Model inputs'!S144)</f>
        <v>327.5795949349537</v>
      </c>
      <c r="T141" s="15">
        <f>SUM('Model inputs'!T142,'Model inputs'!T143,'Model inputs'!T144)</f>
        <v>389.4971314852568</v>
      </c>
      <c r="U141" s="15">
        <f>SUM('Model inputs'!U142,'Model inputs'!U143,'Model inputs'!U144)</f>
        <v>455.1629821154749</v>
      </c>
      <c r="V141" s="15">
        <f>SUM('Model inputs'!V142,'Model inputs'!V143,'Model inputs'!V144)</f>
        <v>524.9638461310163</v>
      </c>
      <c r="W141" s="15">
        <f>SUM('Model inputs'!W142,'Model inputs'!W143,'Model inputs'!W144)</f>
        <v>599.3186149500129</v>
      </c>
      <c r="X141" s="15">
        <f>SUM('Model inputs'!X142,'Model inputs'!X143,'Model inputs'!X144)</f>
        <v>674.7853216521627</v>
      </c>
      <c r="Y141" s="15">
        <f>SUM('Model inputs'!Y142,'Model inputs'!Y143,'Model inputs'!Y144)</f>
        <v>751.4778206320123</v>
      </c>
      <c r="Z141" s="15">
        <f>SUM('Model inputs'!Z142,'Model inputs'!Z143,'Model inputs'!Z144)</f>
        <v>829.5110364230375</v>
      </c>
      <c r="AA141" s="15">
        <f>SUM('Model inputs'!AA142,'Model inputs'!AA143,'Model inputs'!AA144)</f>
        <v>909.001210740131</v>
      </c>
      <c r="AB141" s="15">
        <f>SUM('Model inputs'!AB142,'Model inputs'!AB143,'Model inputs'!AB144)</f>
        <v>990.0661465814385</v>
      </c>
      <c r="AC141" s="15">
        <f>SUM('Model inputs'!AC142,'Model inputs'!AC143,'Model inputs'!AC144)</f>
        <v>1072.82545010209</v>
      </c>
      <c r="AD141" s="15">
        <f>SUM('Model inputs'!AD142,'Model inputs'!AD143,'Model inputs'!AD144)</f>
        <v>1157.400770946348</v>
      </c>
      <c r="AE141" s="15">
        <f>SUM('Model inputs'!AE142,'Model inputs'!AE143,'Model inputs'!AE144)</f>
        <v>1243.916041701213</v>
      </c>
      <c r="AF141" s="15">
        <f>SUM('Model inputs'!AF142,'Model inputs'!AF143,'Model inputs'!AF144)</f>
        <v>1332.497717113488</v>
      </c>
    </row>
    <row r="142" outlineLevel="1">
      <c r="A142" t="inlineStr" s="21">
        <is>
          <t xml:space="preserve">Overage revenue &gt; Indie</t>
        </is>
      </c>
      <c r="O142" s="16">
        <f>'Model inputs'!O38*'Model inputs'!AG81*'Model inputs'!AG84</f>
        <v>50</v>
      </c>
      <c r="P142" s="16">
        <f>'Model inputs'!P38*'Model inputs'!AG81*'Model inputs'!AG84</f>
        <v>92.91666666666666</v>
      </c>
      <c r="Q142" s="16">
        <f>'Model inputs'!Q38*'Model inputs'!AG81*'Model inputs'!AG84</f>
        <v>120.47222222222223</v>
      </c>
      <c r="R142" s="16">
        <f>'Model inputs'!R38*'Model inputs'!AG81*'Model inputs'!AG84</f>
        <v>148.89074074074077</v>
      </c>
      <c r="S142" s="16">
        <f>'Model inputs'!S38*'Model inputs'!AG81*'Model inputs'!AG84</f>
        <v>178.33069135802472</v>
      </c>
      <c r="T142" s="16">
        <f>'Model inputs'!T38*'Model inputs'!AG81*'Model inputs'!AG84</f>
        <v>208.95725860082308</v>
      </c>
      <c r="U142" s="16">
        <f>'Model inputs'!U38*'Model inputs'!AG81*'Model inputs'!AG84</f>
        <v>240.94327709410155</v>
      </c>
      <c r="V142" s="16">
        <f>'Model inputs'!V38*'Model inputs'!AG81*'Model inputs'!AG84</f>
        <v>274.4702145464948</v>
      </c>
      <c r="W142" s="16">
        <f>'Model inputs'!W38*'Model inputs'!AG81*'Model inputs'!AG84</f>
        <v>309.72920864275517</v>
      </c>
      <c r="X142" s="16">
        <f>'Model inputs'!X38*'Model inputs'!AG81*'Model inputs'!AG84</f>
        <v>344.7798834685726</v>
      </c>
      <c r="Y142" s="16">
        <f>'Model inputs'!Y38*'Model inputs'!AG81*'Model inputs'!AG84</f>
        <v>379.72181818874895</v>
      </c>
      <c r="Z142" s="16">
        <f>'Model inputs'!Z38*'Model inputs'!AG81*'Model inputs'!AG84</f>
        <v>414.6513810056368</v>
      </c>
      <c r="AA142" s="16">
        <f>'Model inputs'!AA38*'Model inputs'!AG81*'Model inputs'!AG84</f>
        <v>449.6620803292442</v>
      </c>
      <c r="AB142" s="16">
        <f>'Model inputs'!AB38*'Model inputs'!AG81*'Model inputs'!AG84</f>
        <v>484.84489802023717</v>
      </c>
      <c r="AC142" s="16">
        <f>'Model inputs'!AC38*'Model inputs'!AG81*'Model inputs'!AG84</f>
        <v>520.2886061203483</v>
      </c>
      <c r="AD142" s="16">
        <f>'Model inputs'!AD38*'Model inputs'!AG81*'Model inputs'!AG84</f>
        <v>556.0800683991771</v>
      </c>
      <c r="AE142" s="16">
        <f>'Model inputs'!AE38*'Model inputs'!AG81*'Model inputs'!AG84</f>
        <v>592.3045279668916</v>
      </c>
      <c r="AF142" s="16">
        <f>'Model inputs'!AF38*'Model inputs'!AG81*'Model inputs'!AG84</f>
        <v>629.0458821285312</v>
      </c>
    </row>
    <row r="143" outlineLevel="1">
      <c r="A143" t="inlineStr" s="21">
        <is>
          <t xml:space="preserve">Overage revenue &gt; Launch</t>
        </is>
      </c>
      <c r="O143" s="16">
        <f>'Model inputs'!O39*'Model inputs'!AG82*'Model inputs'!AG84</f>
        <v>15</v>
      </c>
      <c r="P143" s="16">
        <f>'Model inputs'!P39*'Model inputs'!AG82*'Model inputs'!AG84</f>
        <v>22.650000000000002</v>
      </c>
      <c r="Q143" s="16">
        <f>'Model inputs'!Q39*'Model inputs'!AG82*'Model inputs'!AG84</f>
        <v>30.376604166666663</v>
      </c>
      <c r="R143" s="16">
        <f>'Model inputs'!R39*'Model inputs'!AG82*'Model inputs'!AG84</f>
        <v>38.205181059027765</v>
      </c>
      <c r="S143" s="16">
        <f>'Model inputs'!S39*'Model inputs'!AG82*'Model inputs'!AG84</f>
        <v>46.156567318619786</v>
      </c>
      <c r="T143" s="16">
        <f>'Model inputs'!T39*'Model inputs'!AG82*'Model inputs'!AG84</f>
        <v>54.25287301206935</v>
      </c>
      <c r="U143" s="16">
        <f>'Model inputs'!U39*'Model inputs'!AG82*'Model inputs'!AG84</f>
        <v>62.51766741529286</v>
      </c>
      <c r="V143" s="16">
        <f>'Model inputs'!V39*'Model inputs'!AG82*'Model inputs'!AG84</f>
        <v>70.97617787413947</v>
      </c>
      <c r="W143" s="16">
        <f>'Model inputs'!W39*'Model inputs'!AG82*'Model inputs'!AG84</f>
        <v>79.65550337740716</v>
      </c>
      <c r="X143" s="16">
        <f>'Model inputs'!X39*'Model inputs'!AG82*'Model inputs'!AG84</f>
        <v>88.58484461336917</v>
      </c>
      <c r="Y143" s="16">
        <f>'Model inputs'!Y39*'Model inputs'!AG82*'Model inputs'!AG84</f>
        <v>97.7738293637964</v>
      </c>
      <c r="Z143" s="16">
        <f>'Model inputs'!Z39*'Model inputs'!AG82*'Model inputs'!AG84</f>
        <v>107.23199908683281</v>
      </c>
      <c r="AA143" s="16">
        <f>'Model inputs'!AA39*'Model inputs'!AG82*'Model inputs'!AG84</f>
        <v>116.96886480466242</v>
      </c>
      <c r="AB143" s="16">
        <f>'Model inputs'!AB39*'Model inputs'!AG82*'Model inputs'!AG84</f>
        <v>126.99396015267028</v>
      </c>
      <c r="AC143" s="16">
        <f>'Model inputs'!AC39*'Model inputs'!AG82*'Model inputs'!AG84</f>
        <v>137.31689185548686</v>
      </c>
      <c r="AD143" s="16">
        <f>'Model inputs'!AD39*'Model inputs'!AG82*'Model inputs'!AG84</f>
        <v>147.94738787923274</v>
      </c>
      <c r="AE143" s="16">
        <f>'Model inputs'!AE39*'Model inputs'!AG82*'Model inputs'!AG84</f>
        <v>158.89534349439347</v>
      </c>
      <c r="AF143" s="16">
        <f>'Model inputs'!AF39*'Model inputs'!AG82*'Model inputs'!AG84</f>
        <v>170.17086546997666</v>
      </c>
    </row>
    <row r="144" outlineLevel="1">
      <c r="A144" t="inlineStr" s="21">
        <is>
          <t xml:space="preserve">Overage revenue &gt; Team</t>
        </is>
      </c>
      <c r="O144" s="16">
        <f>'Model inputs'!O40*'Model inputs'!AG83*'Model inputs'!AG84</f>
        <v>30</v>
      </c>
      <c r="P144" s="16">
        <f>'Model inputs'!P40*'Model inputs'!AG83*'Model inputs'!AG84</f>
        <v>45.30833333333334</v>
      </c>
      <c r="Q144" s="16">
        <f>'Model inputs'!Q40*'Model inputs'!AG83*'Model inputs'!AG84</f>
        <v>62.73807638888889</v>
      </c>
      <c r="R144" s="16">
        <f>'Model inputs'!R40*'Model inputs'!AG83*'Model inputs'!AG84</f>
        <v>81.95711803819444</v>
      </c>
      <c r="S144" s="16">
        <f>'Model inputs'!S40*'Model inputs'!AG83*'Model inputs'!AG84</f>
        <v>103.09233625830922</v>
      </c>
      <c r="T144" s="16">
        <f>'Model inputs'!T40*'Model inputs'!AG83*'Model inputs'!AG84</f>
        <v>126.28699987236432</v>
      </c>
      <c r="U144" s="16">
        <f>'Model inputs'!U40*'Model inputs'!AG83*'Model inputs'!AG84</f>
        <v>151.7020376060805</v>
      </c>
      <c r="V144" s="16">
        <f>'Model inputs'!V40*'Model inputs'!AG83*'Model inputs'!AG84</f>
        <v>179.5174537103821</v>
      </c>
      <c r="W144" s="16">
        <f>'Model inputs'!W40*'Model inputs'!AG83*'Model inputs'!AG84</f>
        <v>209.93390292985057</v>
      </c>
      <c r="X144" s="16">
        <f>'Model inputs'!X40*'Model inputs'!AG83*'Model inputs'!AG84</f>
        <v>241.4205935702209</v>
      </c>
      <c r="Y144" s="16">
        <f>'Model inputs'!Y40*'Model inputs'!AG83*'Model inputs'!AG84</f>
        <v>273.982173079467</v>
      </c>
      <c r="Z144" s="16">
        <f>'Model inputs'!Z40*'Model inputs'!AG83*'Model inputs'!AG84</f>
        <v>307.62765633056785</v>
      </c>
      <c r="AA144" s="16">
        <f>'Model inputs'!AA40*'Model inputs'!AG83*'Model inputs'!AG84</f>
        <v>342.37026560622445</v>
      </c>
      <c r="AB144" s="16">
        <f>'Model inputs'!AB40*'Model inputs'!AG83*'Model inputs'!AG84</f>
        <v>378.22728840853097</v>
      </c>
      <c r="AC144" s="16">
        <f>'Model inputs'!AC40*'Model inputs'!AG83*'Model inputs'!AG84</f>
        <v>415.2199521262547</v>
      </c>
      <c r="AD144" s="16">
        <f>'Model inputs'!AD40*'Model inputs'!AG83*'Model inputs'!AG84</f>
        <v>453.3733146679382</v>
      </c>
      <c r="AE144" s="16">
        <f>'Model inputs'!AE40*'Model inputs'!AG83*'Model inputs'!AG84</f>
        <v>492.7161702399279</v>
      </c>
      <c r="AF144" s="16">
        <f>'Model inputs'!AF40*'Model inputs'!AG83*'Model inputs'!AG84</f>
        <v>533.2809695149803</v>
      </c>
    </row>
    <row r="145">
      <c r="A145" t="inlineStr" s="20">
        <is>
          <t xml:space="preserve">Churned customers</t>
        </is>
      </c>
      <c r="B145" s="8">
        <f>SUM('Model inputs'!B146,'Model inputs'!B147,'Model inputs'!B148)</f>
        <v>0</v>
      </c>
      <c r="C145" s="8">
        <f>SUM('Model inputs'!C146,'Model inputs'!C147,'Model inputs'!C148)</f>
        <v>0</v>
      </c>
      <c r="D145" s="8">
        <f>SUM('Model inputs'!D146,'Model inputs'!D147,'Model inputs'!D148)</f>
        <v>0</v>
      </c>
      <c r="E145" s="8">
        <f>SUM('Model inputs'!E146,'Model inputs'!E147,'Model inputs'!E148)</f>
        <v>0</v>
      </c>
      <c r="F145" s="8">
        <f>SUM('Model inputs'!F146,'Model inputs'!F147,'Model inputs'!F148)</f>
        <v>0</v>
      </c>
      <c r="G145" s="8">
        <f>SUM('Model inputs'!G146,'Model inputs'!G147,'Model inputs'!G148)</f>
        <v>0</v>
      </c>
      <c r="H145" s="8">
        <f>SUM('Model inputs'!H146,'Model inputs'!H147,'Model inputs'!H148)</f>
        <v>0</v>
      </c>
      <c r="I145" s="8">
        <f>SUM('Model inputs'!I146,'Model inputs'!I147,'Model inputs'!I148)</f>
        <v>0</v>
      </c>
      <c r="J145" s="8">
        <f>SUM('Model inputs'!J146,'Model inputs'!J147,'Model inputs'!J148)</f>
        <v>0</v>
      </c>
      <c r="K145" s="8">
        <f>SUM('Model inputs'!K146,'Model inputs'!K147,'Model inputs'!K148)</f>
        <v>0</v>
      </c>
      <c r="L145" s="8">
        <f>SUM('Model inputs'!L146,'Model inputs'!L147,'Model inputs'!L148)</f>
        <v>0</v>
      </c>
      <c r="M145" s="8">
        <f>SUM('Model inputs'!M146,'Model inputs'!M147,'Model inputs'!M148)</f>
        <v>0</v>
      </c>
      <c r="N145" s="8">
        <f>SUM('Model inputs'!N146,'Model inputs'!N147,'Model inputs'!N148)</f>
        <v>0</v>
      </c>
      <c r="O145" s="8">
        <f>IF('Model inputs'!O133="","",'Model inputs'!O133)</f>
        <v>0</v>
      </c>
      <c r="P145" s="8">
        <f>IF('Model inputs'!P133="","",'Model inputs'!P133)</f>
        <v>2.5949999999999998</v>
      </c>
      <c r="Q145" s="8">
        <f>IF('Model inputs'!Q133="","",'Model inputs'!Q133)</f>
        <v>4.7545</v>
      </c>
      <c r="R145" s="8">
        <f>IF('Model inputs'!R133="","",'Model inputs'!R133)</f>
        <v>6.189471729166667</v>
      </c>
      <c r="S145" s="8">
        <f>IF('Model inputs'!S133="","",'Model inputs'!S133)</f>
        <v>7.67670344484375</v>
      </c>
      <c r="T145" s="8">
        <f>IF('Model inputs'!T133="","",'Model inputs'!T133)</f>
        <v>9.22458377005366</v>
      </c>
      <c r="U145" s="8">
        <f>IF('Model inputs'!U133="","",'Model inputs'!U133)</f>
        <v>10.841923285085763</v>
      </c>
      <c r="V145" s="8">
        <f>IF('Model inputs'!V133="","",'Model inputs'!V133)</f>
        <v>12.53800719356865</v>
      </c>
      <c r="W145" s="8">
        <f>IF('Model inputs'!W133="","",'Model inputs'!W133)</f>
        <v>14.322651198368181</v>
      </c>
      <c r="X145" s="8">
        <f>IF('Model inputs'!X133="","",'Model inputs'!X133)</f>
        <v>16.206260935808757</v>
      </c>
      <c r="Y145" s="8">
        <f>IF('Model inputs'!Y133="","",'Model inputs'!Y133)</f>
        <v>18.08654281252618</v>
      </c>
      <c r="Z145" s="8">
        <f>IF('Model inputs'!Z133="","",'Model inputs'!Z133)</f>
        <v>19.968314140900546</v>
      </c>
      <c r="AA145" s="8">
        <f>IF('Model inputs'!AA133="","",'Model inputs'!AA133)</f>
        <v>21.856264225340805</v>
      </c>
      <c r="AB145" s="8">
        <f>IF('Model inputs'!AB133="","",'Model inputs'!AB133)</f>
        <v>23.75497031424573</v>
      </c>
      <c r="AC145" s="8">
        <f>IF('Model inputs'!AC133="","",'Model inputs'!AC133)</f>
        <v>25.66891279557524</v>
      </c>
      <c r="AD145" s="8">
        <f>IF('Model inputs'!AD133="","",'Model inputs'!AD133)</f>
        <v>27.602489698389732</v>
      </c>
      <c r="AE145" s="8">
        <f>IF('Model inputs'!AE133="","",'Model inputs'!AE133)</f>
        <v>29.560030559047362</v>
      </c>
      <c r="AF145" s="8">
        <f>IF('Model inputs'!AF133="","",'Model inputs'!AF133)</f>
        <v>31.545809707344752</v>
      </c>
    </row>
    <row r="146" outlineLevel="1">
      <c r="A146" t="inlineStr" s="21">
        <is>
          <t xml:space="preserve">Churned customers &gt; Indie</t>
        </is>
      </c>
      <c r="B146" s="10">
        <f>IF(IF(IF(ISERROR('Model inputs'!B55&lt;1),'Model inputs'!B55&lt;1,IF('Model inputs'!B55="","",'Model inputs'!B55&lt;1))="",FALSE,IF(ISERROR('Model inputs'!B55&lt;1),'Model inputs'!B55&lt;1,IF('Model inputs'!B55="","",'Model inputs'!B55&lt;1))),0,IF('Model inputs'!B73="",0,'Model inputs'!B73)*'Model inputs'!AG57)</f>
        <v>0</v>
      </c>
      <c r="C146" s="10">
        <f>IF(IF(IF(ISERROR('Model inputs'!C55&lt;1),'Model inputs'!C55&lt;1,IF('Model inputs'!C55="","",'Model inputs'!C55&lt;1))="",FALSE,IF(ISERROR('Model inputs'!C55&lt;1),'Model inputs'!C55&lt;1,IF('Model inputs'!C55="","",'Model inputs'!C55&lt;1))),0,'Model inputs'!C73*'Model inputs'!AG57)</f>
        <v>0</v>
      </c>
      <c r="D146" s="10">
        <f>IF(IF(IF(ISERROR('Model inputs'!D55&lt;1),'Model inputs'!D55&lt;1,IF('Model inputs'!D55="","",'Model inputs'!D55&lt;1))="",FALSE,IF(ISERROR('Model inputs'!D55&lt;1),'Model inputs'!D55&lt;1,IF('Model inputs'!D55="","",'Model inputs'!D55&lt;1))),0,'Model inputs'!D73*'Model inputs'!AG57)</f>
        <v>0</v>
      </c>
      <c r="E146" s="10">
        <f>IF(IF(IF(ISERROR('Model inputs'!E55&lt;1),'Model inputs'!E55&lt;1,IF('Model inputs'!E55="","",'Model inputs'!E55&lt;1))="",FALSE,IF(ISERROR('Model inputs'!E55&lt;1),'Model inputs'!E55&lt;1,IF('Model inputs'!E55="","",'Model inputs'!E55&lt;1))),0,'Model inputs'!E73*'Model inputs'!AG57)</f>
        <v>0</v>
      </c>
      <c r="F146" s="10">
        <f>IF(IF(IF(ISERROR('Model inputs'!F55&lt;1),'Model inputs'!F55&lt;1,IF('Model inputs'!F55="","",'Model inputs'!F55&lt;1))="",FALSE,IF(ISERROR('Model inputs'!F55&lt;1),'Model inputs'!F55&lt;1,IF('Model inputs'!F55="","",'Model inputs'!F55&lt;1))),0,'Model inputs'!F73*'Model inputs'!AG57)</f>
        <v>0</v>
      </c>
      <c r="G146" s="10">
        <f>IF(IF(IF(ISERROR('Model inputs'!G55&lt;1),'Model inputs'!G55&lt;1,IF('Model inputs'!G55="","",'Model inputs'!G55&lt;1))="",FALSE,IF(ISERROR('Model inputs'!G55&lt;1),'Model inputs'!G55&lt;1,IF('Model inputs'!G55="","",'Model inputs'!G55&lt;1))),0,'Model inputs'!G73*'Model inputs'!AG57)</f>
        <v>0</v>
      </c>
      <c r="H146" s="10">
        <f>IF(IF(IF(ISERROR('Model inputs'!H55&lt;1),'Model inputs'!H55&lt;1,IF('Model inputs'!H55="","",'Model inputs'!H55&lt;1))="",FALSE,IF(ISERROR('Model inputs'!H55&lt;1),'Model inputs'!H55&lt;1,IF('Model inputs'!H55="","",'Model inputs'!H55&lt;1))),0,'Model inputs'!H73*'Model inputs'!AG57)</f>
        <v>0</v>
      </c>
      <c r="I146" s="10">
        <f>IF(IF(IF(ISERROR('Model inputs'!I55&lt;1),'Model inputs'!I55&lt;1,IF('Model inputs'!I55="","",'Model inputs'!I55&lt;1))="",FALSE,IF(ISERROR('Model inputs'!I55&lt;1),'Model inputs'!I55&lt;1,IF('Model inputs'!I55="","",'Model inputs'!I55&lt;1))),0,'Model inputs'!I73*'Model inputs'!AG57)</f>
        <v>0</v>
      </c>
      <c r="J146" s="10">
        <f>IF(IF(IF(ISERROR('Model inputs'!J55&lt;1),'Model inputs'!J55&lt;1,IF('Model inputs'!J55="","",'Model inputs'!J55&lt;1))="",FALSE,IF(ISERROR('Model inputs'!J55&lt;1),'Model inputs'!J55&lt;1,IF('Model inputs'!J55="","",'Model inputs'!J55&lt;1))),0,'Model inputs'!J73*'Model inputs'!AG57)</f>
        <v>0</v>
      </c>
      <c r="K146" s="10">
        <f>IF(IF(IF(ISERROR('Model inputs'!K55&lt;1),'Model inputs'!K55&lt;1,IF('Model inputs'!K55="","",'Model inputs'!K55&lt;1))="",FALSE,IF(ISERROR('Model inputs'!K55&lt;1),'Model inputs'!K55&lt;1,IF('Model inputs'!K55="","",'Model inputs'!K55&lt;1))),0,'Model inputs'!K73*'Model inputs'!AG57)</f>
        <v>0</v>
      </c>
      <c r="L146" s="10">
        <f>IF(IF(IF(ISERROR('Model inputs'!L55&lt;1),'Model inputs'!L55&lt;1,IF('Model inputs'!L55="","",'Model inputs'!L55&lt;1))="",FALSE,IF(ISERROR('Model inputs'!L55&lt;1),'Model inputs'!L55&lt;1,IF('Model inputs'!L55="","",'Model inputs'!L55&lt;1))),0,'Model inputs'!L73*'Model inputs'!AG57)</f>
        <v>0</v>
      </c>
      <c r="M146" s="10">
        <f>IF(IF(IF(ISERROR('Model inputs'!M55&lt;1),'Model inputs'!M55&lt;1,IF('Model inputs'!M55="","",'Model inputs'!M55&lt;1))="",FALSE,IF(ISERROR('Model inputs'!M55&lt;1),'Model inputs'!M55&lt;1,IF('Model inputs'!M55="","",'Model inputs'!M55&lt;1))),0,'Model inputs'!M73*'Model inputs'!AG57)</f>
        <v>0</v>
      </c>
      <c r="N146" s="10">
        <f>IF(IF(IF(ISERROR('Model inputs'!N55&lt;1),'Model inputs'!N55&lt;1,IF('Model inputs'!N55="","",'Model inputs'!N55&lt;1))="",FALSE,IF(ISERROR('Model inputs'!N55&lt;1),'Model inputs'!N55&lt;1,IF('Model inputs'!N55="","",'Model inputs'!N55&lt;1))),0,'Model inputs'!N73*'Model inputs'!AG57)</f>
        <v>0</v>
      </c>
      <c r="O146" s="10">
        <f>IF('Model inputs'!O134="","",'Model inputs'!O134)</f>
        <v>0</v>
      </c>
      <c r="P146" s="10">
        <f>IF('Model inputs'!P134="","",'Model inputs'!P134)</f>
        <v>2.4</v>
      </c>
      <c r="Q146" s="10">
        <f>IF('Model inputs'!Q134="","",'Model inputs'!Q134)</f>
        <v>4.46</v>
      </c>
      <c r="R146" s="10">
        <f>IF('Model inputs'!R134="","",'Model inputs'!R134)</f>
        <v>5.782666666666667</v>
      </c>
      <c r="S146" s="10">
        <f>IF('Model inputs'!S134="","",'Model inputs'!S134)</f>
        <v>7.146755555555556</v>
      </c>
      <c r="T146" s="10">
        <f>IF('Model inputs'!T134="","",'Model inputs'!T134)</f>
        <v>8.559873185185186</v>
      </c>
      <c r="U146" s="10">
        <f>IF('Model inputs'!U134="","",'Model inputs'!U134)</f>
        <v>10.029948412839508</v>
      </c>
      <c r="V146" s="10">
        <f>IF('Model inputs'!V134="","",'Model inputs'!V134)</f>
        <v>11.565277300516874</v>
      </c>
      <c r="W146" s="10">
        <f>IF('Model inputs'!W134="","",'Model inputs'!W134)</f>
        <v>13.17457029823175</v>
      </c>
      <c r="X146" s="10">
        <f>IF('Model inputs'!X134="","",'Model inputs'!X134)</f>
        <v>14.867002014852247</v>
      </c>
      <c r="Y146" s="10">
        <f>IF('Model inputs'!Y134="","",'Model inputs'!Y134)</f>
        <v>16.549434406491486</v>
      </c>
      <c r="Z146" s="10">
        <f>IF('Model inputs'!Z134="","",'Model inputs'!Z134)</f>
        <v>18.22664727305995</v>
      </c>
      <c r="AA146" s="10">
        <f>IF('Model inputs'!AA134="","",'Model inputs'!AA134)</f>
        <v>19.903266288270565</v>
      </c>
      <c r="AB146" s="10">
        <f>IF('Model inputs'!AB134="","",'Model inputs'!AB134)</f>
        <v>21.58377985580372</v>
      </c>
      <c r="AC146" s="10">
        <f>IF('Model inputs'!AC134="","",'Model inputs'!AC134)</f>
        <v>23.27255510497138</v>
      </c>
      <c r="AD146" s="10">
        <f>IF('Model inputs'!AD134="","",'Model inputs'!AD134)</f>
        <v>24.973853093776718</v>
      </c>
      <c r="AE146" s="10">
        <f>IF('Model inputs'!AE134="","",'Model inputs'!AE134)</f>
        <v>26.6918432831605</v>
      </c>
      <c r="AF146" s="10">
        <f>IF('Model inputs'!AF134="","",'Model inputs'!AF134)</f>
        <v>28.43061734241079</v>
      </c>
    </row>
    <row r="147" outlineLevel="1">
      <c r="A147" t="inlineStr" s="21">
        <is>
          <t xml:space="preserve">Churned customers &gt; Launch</t>
        </is>
      </c>
      <c r="B147" s="10">
        <f>IF(IF(IF(ISERROR('Model inputs'!B55&lt;1),'Model inputs'!B55&lt;1,IF('Model inputs'!B55="","",'Model inputs'!B55&lt;1))="",FALSE,IF(ISERROR('Model inputs'!B55&lt;1),'Model inputs'!B55&lt;1,IF('Model inputs'!B55="","",'Model inputs'!B55&lt;1))),0,IF('Model inputs'!B74="",0,'Model inputs'!B74)*'Model inputs'!AG58)</f>
        <v>0</v>
      </c>
      <c r="C147" s="10">
        <f>IF(IF(IF(ISERROR('Model inputs'!C55&lt;1),'Model inputs'!C55&lt;1,IF('Model inputs'!C55="","",'Model inputs'!C55&lt;1))="",FALSE,IF(ISERROR('Model inputs'!C55&lt;1),'Model inputs'!C55&lt;1,IF('Model inputs'!C55="","",'Model inputs'!C55&lt;1))),0,'Model inputs'!C74*'Model inputs'!AG58)</f>
        <v>0</v>
      </c>
      <c r="D147" s="10">
        <f>IF(IF(IF(ISERROR('Model inputs'!D55&lt;1),'Model inputs'!D55&lt;1,IF('Model inputs'!D55="","",'Model inputs'!D55&lt;1))="",FALSE,IF(ISERROR('Model inputs'!D55&lt;1),'Model inputs'!D55&lt;1,IF('Model inputs'!D55="","",'Model inputs'!D55&lt;1))),0,'Model inputs'!D74*'Model inputs'!AG58)</f>
        <v>0</v>
      </c>
      <c r="E147" s="10">
        <f>IF(IF(IF(ISERROR('Model inputs'!E55&lt;1),'Model inputs'!E55&lt;1,IF('Model inputs'!E55="","",'Model inputs'!E55&lt;1))="",FALSE,IF(ISERROR('Model inputs'!E55&lt;1),'Model inputs'!E55&lt;1,IF('Model inputs'!E55="","",'Model inputs'!E55&lt;1))),0,'Model inputs'!E74*'Model inputs'!AG58)</f>
        <v>0</v>
      </c>
      <c r="F147" s="10">
        <f>IF(IF(IF(ISERROR('Model inputs'!F55&lt;1),'Model inputs'!F55&lt;1,IF('Model inputs'!F55="","",'Model inputs'!F55&lt;1))="",FALSE,IF(ISERROR('Model inputs'!F55&lt;1),'Model inputs'!F55&lt;1,IF('Model inputs'!F55="","",'Model inputs'!F55&lt;1))),0,'Model inputs'!F74*'Model inputs'!AG58)</f>
        <v>0</v>
      </c>
      <c r="G147" s="10">
        <f>IF(IF(IF(ISERROR('Model inputs'!G55&lt;1),'Model inputs'!G55&lt;1,IF('Model inputs'!G55="","",'Model inputs'!G55&lt;1))="",FALSE,IF(ISERROR('Model inputs'!G55&lt;1),'Model inputs'!G55&lt;1,IF('Model inputs'!G55="","",'Model inputs'!G55&lt;1))),0,'Model inputs'!G74*'Model inputs'!AG58)</f>
        <v>0</v>
      </c>
      <c r="H147" s="10">
        <f>IF(IF(IF(ISERROR('Model inputs'!H55&lt;1),'Model inputs'!H55&lt;1,IF('Model inputs'!H55="","",'Model inputs'!H55&lt;1))="",FALSE,IF(ISERROR('Model inputs'!H55&lt;1),'Model inputs'!H55&lt;1,IF('Model inputs'!H55="","",'Model inputs'!H55&lt;1))),0,'Model inputs'!H74*'Model inputs'!AG58)</f>
        <v>0</v>
      </c>
      <c r="I147" s="10">
        <f>IF(IF(IF(ISERROR('Model inputs'!I55&lt;1),'Model inputs'!I55&lt;1,IF('Model inputs'!I55="","",'Model inputs'!I55&lt;1))="",FALSE,IF(ISERROR('Model inputs'!I55&lt;1),'Model inputs'!I55&lt;1,IF('Model inputs'!I55="","",'Model inputs'!I55&lt;1))),0,'Model inputs'!I74*'Model inputs'!AG58)</f>
        <v>0</v>
      </c>
      <c r="J147" s="10">
        <f>IF(IF(IF(ISERROR('Model inputs'!J55&lt;1),'Model inputs'!J55&lt;1,IF('Model inputs'!J55="","",'Model inputs'!J55&lt;1))="",FALSE,IF(ISERROR('Model inputs'!J55&lt;1),'Model inputs'!J55&lt;1,IF('Model inputs'!J55="","",'Model inputs'!J55&lt;1))),0,'Model inputs'!J74*'Model inputs'!AG58)</f>
        <v>0</v>
      </c>
      <c r="K147" s="10">
        <f>IF(IF(IF(ISERROR('Model inputs'!K55&lt;1),'Model inputs'!K55&lt;1,IF('Model inputs'!K55="","",'Model inputs'!K55&lt;1))="",FALSE,IF(ISERROR('Model inputs'!K55&lt;1),'Model inputs'!K55&lt;1,IF('Model inputs'!K55="","",'Model inputs'!K55&lt;1))),0,'Model inputs'!K74*'Model inputs'!AG58)</f>
        <v>0</v>
      </c>
      <c r="L147" s="10">
        <f>IF(IF(IF(ISERROR('Model inputs'!L55&lt;1),'Model inputs'!L55&lt;1,IF('Model inputs'!L55="","",'Model inputs'!L55&lt;1))="",FALSE,IF(ISERROR('Model inputs'!L55&lt;1),'Model inputs'!L55&lt;1,IF('Model inputs'!L55="","",'Model inputs'!L55&lt;1))),0,'Model inputs'!L74*'Model inputs'!AG58)</f>
        <v>0</v>
      </c>
      <c r="M147" s="10">
        <f>IF(IF(IF(ISERROR('Model inputs'!M55&lt;1),'Model inputs'!M55&lt;1,IF('Model inputs'!M55="","",'Model inputs'!M55&lt;1))="",FALSE,IF(ISERROR('Model inputs'!M55&lt;1),'Model inputs'!M55&lt;1,IF('Model inputs'!M55="","",'Model inputs'!M55&lt;1))),0,'Model inputs'!M74*'Model inputs'!AG58)</f>
        <v>0</v>
      </c>
      <c r="N147" s="10">
        <f>IF(IF(IF(ISERROR('Model inputs'!N55&lt;1),'Model inputs'!N55&lt;1,IF('Model inputs'!N55="","",'Model inputs'!N55&lt;1))="",FALSE,IF(ISERROR('Model inputs'!N55&lt;1),'Model inputs'!N55&lt;1,IF('Model inputs'!N55="","",'Model inputs'!N55&lt;1))),0,'Model inputs'!N74*'Model inputs'!AG58)</f>
        <v>0</v>
      </c>
      <c r="O147" s="10">
        <f>IF('Model inputs'!O135="","",'Model inputs'!O135)</f>
        <v>0</v>
      </c>
      <c r="P147" s="10">
        <f>IF('Model inputs'!P135="","",'Model inputs'!P135)</f>
        <v>0.015</v>
      </c>
      <c r="Q147" s="10">
        <f>IF('Model inputs'!Q135="","",'Model inputs'!Q135)</f>
        <v>0.02265</v>
      </c>
      <c r="R147" s="10">
        <f>IF('Model inputs'!R135="","",'Model inputs'!R135)</f>
        <v>0.03037660416666666</v>
      </c>
      <c r="S147" s="10">
        <f>IF('Model inputs'!S135="","",'Model inputs'!S135)</f>
        <v>0.03820518105902777</v>
      </c>
      <c r="T147" s="10">
        <f>IF('Model inputs'!T135="","",'Model inputs'!T135)</f>
        <v>0.04615656731861978</v>
      </c>
      <c r="U147" s="10">
        <f>IF('Model inputs'!U135="","",'Model inputs'!U135)</f>
        <v>0.054252873012069346</v>
      </c>
      <c r="V147" s="10">
        <f>IF('Model inputs'!V135="","",'Model inputs'!V135)</f>
        <v>0.06251766741529285</v>
      </c>
      <c r="W147" s="10">
        <f>IF('Model inputs'!W135="","",'Model inputs'!W135)</f>
        <v>0.07097617787413947</v>
      </c>
      <c r="X147" s="10">
        <f>IF('Model inputs'!X135="","",'Model inputs'!X135)</f>
        <v>0.07965550337740715</v>
      </c>
      <c r="Y147" s="10">
        <f>IF('Model inputs'!Y135="","",'Model inputs'!Y135)</f>
        <v>0.08858484461336918</v>
      </c>
      <c r="Z147" s="10">
        <f>IF('Model inputs'!Z135="","",'Model inputs'!Z135)</f>
        <v>0.0977738293637964</v>
      </c>
      <c r="AA147" s="10">
        <f>IF('Model inputs'!AA135="","",'Model inputs'!AA135)</f>
        <v>0.1072319990868328</v>
      </c>
      <c r="AB147" s="10">
        <f>IF('Model inputs'!AB135="","",'Model inputs'!AB135)</f>
        <v>0.11696886480466241</v>
      </c>
      <c r="AC147" s="10">
        <f>IF('Model inputs'!AC135="","",'Model inputs'!AC135)</f>
        <v>0.12699396015267028</v>
      </c>
      <c r="AD147" s="10">
        <f>IF('Model inputs'!AD135="","",'Model inputs'!AD135)</f>
        <v>0.13731689185548684</v>
      </c>
      <c r="AE147" s="10">
        <f>IF('Model inputs'!AE135="","",'Model inputs'!AE135)</f>
        <v>0.14794738787923273</v>
      </c>
      <c r="AF147" s="10">
        <f>IF('Model inputs'!AF135="","",'Model inputs'!AF135)</f>
        <v>0.15889534349439347</v>
      </c>
    </row>
    <row r="148" outlineLevel="1">
      <c r="A148" t="inlineStr" s="21">
        <is>
          <t xml:space="preserve">Churned customers &gt; Team</t>
        </is>
      </c>
      <c r="B148" s="10">
        <f>IF(IF(IF(ISERROR('Model inputs'!B55&lt;1),'Model inputs'!B55&lt;1,IF('Model inputs'!B55="","",'Model inputs'!B55&lt;1))="",FALSE,IF(ISERROR('Model inputs'!B55&lt;1),'Model inputs'!B55&lt;1,IF('Model inputs'!B55="","",'Model inputs'!B55&lt;1))),0,IF('Model inputs'!B75="",0,'Model inputs'!B75)*'Model inputs'!AG59)</f>
        <v>0</v>
      </c>
      <c r="C148" s="10">
        <f>IF(IF(IF(ISERROR('Model inputs'!C55&lt;1),'Model inputs'!C55&lt;1,IF('Model inputs'!C55="","",'Model inputs'!C55&lt;1))="",FALSE,IF(ISERROR('Model inputs'!C55&lt;1),'Model inputs'!C55&lt;1,IF('Model inputs'!C55="","",'Model inputs'!C55&lt;1))),0,'Model inputs'!C75*'Model inputs'!AG59)</f>
        <v>0</v>
      </c>
      <c r="D148" s="10">
        <f>IF(IF(IF(ISERROR('Model inputs'!D55&lt;1),'Model inputs'!D55&lt;1,IF('Model inputs'!D55="","",'Model inputs'!D55&lt;1))="",FALSE,IF(ISERROR('Model inputs'!D55&lt;1),'Model inputs'!D55&lt;1,IF('Model inputs'!D55="","",'Model inputs'!D55&lt;1))),0,'Model inputs'!D75*'Model inputs'!AG59)</f>
        <v>0</v>
      </c>
      <c r="E148" s="10">
        <f>IF(IF(IF(ISERROR('Model inputs'!E55&lt;1),'Model inputs'!E55&lt;1,IF('Model inputs'!E55="","",'Model inputs'!E55&lt;1))="",FALSE,IF(ISERROR('Model inputs'!E55&lt;1),'Model inputs'!E55&lt;1,IF('Model inputs'!E55="","",'Model inputs'!E55&lt;1))),0,'Model inputs'!E75*'Model inputs'!AG59)</f>
        <v>0</v>
      </c>
      <c r="F148" s="10">
        <f>IF(IF(IF(ISERROR('Model inputs'!F55&lt;1),'Model inputs'!F55&lt;1,IF('Model inputs'!F55="","",'Model inputs'!F55&lt;1))="",FALSE,IF(ISERROR('Model inputs'!F55&lt;1),'Model inputs'!F55&lt;1,IF('Model inputs'!F55="","",'Model inputs'!F55&lt;1))),0,'Model inputs'!F75*'Model inputs'!AG59)</f>
        <v>0</v>
      </c>
      <c r="G148" s="10">
        <f>IF(IF(IF(ISERROR('Model inputs'!G55&lt;1),'Model inputs'!G55&lt;1,IF('Model inputs'!G55="","",'Model inputs'!G55&lt;1))="",FALSE,IF(ISERROR('Model inputs'!G55&lt;1),'Model inputs'!G55&lt;1,IF('Model inputs'!G55="","",'Model inputs'!G55&lt;1))),0,'Model inputs'!G75*'Model inputs'!AG59)</f>
        <v>0</v>
      </c>
      <c r="H148" s="10">
        <f>IF(IF(IF(ISERROR('Model inputs'!H55&lt;1),'Model inputs'!H55&lt;1,IF('Model inputs'!H55="","",'Model inputs'!H55&lt;1))="",FALSE,IF(ISERROR('Model inputs'!H55&lt;1),'Model inputs'!H55&lt;1,IF('Model inputs'!H55="","",'Model inputs'!H55&lt;1))),0,'Model inputs'!H75*'Model inputs'!AG59)</f>
        <v>0</v>
      </c>
      <c r="I148" s="10">
        <f>IF(IF(IF(ISERROR('Model inputs'!I55&lt;1),'Model inputs'!I55&lt;1,IF('Model inputs'!I55="","",'Model inputs'!I55&lt;1))="",FALSE,IF(ISERROR('Model inputs'!I55&lt;1),'Model inputs'!I55&lt;1,IF('Model inputs'!I55="","",'Model inputs'!I55&lt;1))),0,'Model inputs'!I75*'Model inputs'!AG59)</f>
        <v>0</v>
      </c>
      <c r="J148" s="10">
        <f>IF(IF(IF(ISERROR('Model inputs'!J55&lt;1),'Model inputs'!J55&lt;1,IF('Model inputs'!J55="","",'Model inputs'!J55&lt;1))="",FALSE,IF(ISERROR('Model inputs'!J55&lt;1),'Model inputs'!J55&lt;1,IF('Model inputs'!J55="","",'Model inputs'!J55&lt;1))),0,'Model inputs'!J75*'Model inputs'!AG59)</f>
        <v>0</v>
      </c>
      <c r="K148" s="10">
        <f>IF(IF(IF(ISERROR('Model inputs'!K55&lt;1),'Model inputs'!K55&lt;1,IF('Model inputs'!K55="","",'Model inputs'!K55&lt;1))="",FALSE,IF(ISERROR('Model inputs'!K55&lt;1),'Model inputs'!K55&lt;1,IF('Model inputs'!K55="","",'Model inputs'!K55&lt;1))),0,'Model inputs'!K75*'Model inputs'!AG59)</f>
        <v>0</v>
      </c>
      <c r="L148" s="10">
        <f>IF(IF(IF(ISERROR('Model inputs'!L55&lt;1),'Model inputs'!L55&lt;1,IF('Model inputs'!L55="","",'Model inputs'!L55&lt;1))="",FALSE,IF(ISERROR('Model inputs'!L55&lt;1),'Model inputs'!L55&lt;1,IF('Model inputs'!L55="","",'Model inputs'!L55&lt;1))),0,'Model inputs'!L75*'Model inputs'!AG59)</f>
        <v>0</v>
      </c>
      <c r="M148" s="10">
        <f>IF(IF(IF(ISERROR('Model inputs'!M55&lt;1),'Model inputs'!M55&lt;1,IF('Model inputs'!M55="","",'Model inputs'!M55&lt;1))="",FALSE,IF(ISERROR('Model inputs'!M55&lt;1),'Model inputs'!M55&lt;1,IF('Model inputs'!M55="","",'Model inputs'!M55&lt;1))),0,'Model inputs'!M75*'Model inputs'!AG59)</f>
        <v>0</v>
      </c>
      <c r="N148" s="10">
        <f>IF(IF(IF(ISERROR('Model inputs'!N55&lt;1),'Model inputs'!N55&lt;1,IF('Model inputs'!N55="","",'Model inputs'!N55&lt;1))="",FALSE,IF(ISERROR('Model inputs'!N55&lt;1),'Model inputs'!N55&lt;1,IF('Model inputs'!N55="","",'Model inputs'!N55&lt;1))),0,'Model inputs'!N75*'Model inputs'!AG59)</f>
        <v>0</v>
      </c>
      <c r="O148" s="10">
        <f>IF('Model inputs'!O136="","",'Model inputs'!O136)</f>
        <v>0</v>
      </c>
      <c r="P148" s="10">
        <f>IF('Model inputs'!P136="","",'Model inputs'!P136)</f>
        <v>0.18</v>
      </c>
      <c r="Q148" s="10">
        <f>IF('Model inputs'!Q136="","",'Model inputs'!Q136)</f>
        <v>0.27185000000000004</v>
      </c>
      <c r="R148" s="10">
        <f>IF('Model inputs'!R136="","",'Model inputs'!R136)</f>
        <v>0.3764284583333333</v>
      </c>
      <c r="S148" s="10">
        <f>IF('Model inputs'!S136="","",'Model inputs'!S136)</f>
        <v>0.4917427082291666</v>
      </c>
      <c r="T148" s="10">
        <f>IF('Model inputs'!T136="","",'Model inputs'!T136)</f>
        <v>0.6185540175498553</v>
      </c>
      <c r="U148" s="10">
        <f>IF('Model inputs'!U136="","",'Model inputs'!U136)</f>
        <v>0.7577219992341859</v>
      </c>
      <c r="V148" s="10">
        <f>IF('Model inputs'!V136="","",'Model inputs'!V136)</f>
        <v>0.910212225636483</v>
      </c>
      <c r="W148" s="10">
        <f>IF('Model inputs'!W136="","",'Model inputs'!W136)</f>
        <v>1.0771047222622927</v>
      </c>
      <c r="X148" s="10">
        <f>IF('Model inputs'!X136="","",'Model inputs'!X136)</f>
        <v>1.2596034175791035</v>
      </c>
      <c r="Y148" s="10">
        <f>IF('Model inputs'!Y136="","",'Model inputs'!Y136)</f>
        <v>1.4485235614213252</v>
      </c>
      <c r="Z148" s="10">
        <f>IF('Model inputs'!Z136="","",'Model inputs'!Z136)</f>
        <v>1.6438930384768016</v>
      </c>
      <c r="AA148" s="10">
        <f>IF('Model inputs'!AA136="","",'Model inputs'!AA136)</f>
        <v>1.845765937983407</v>
      </c>
      <c r="AB148" s="10">
        <f>IF('Model inputs'!AB136="","",'Model inputs'!AB136)</f>
        <v>2.054221593637347</v>
      </c>
      <c r="AC148" s="10">
        <f>IF('Model inputs'!AC136="","",'Model inputs'!AC136)</f>
        <v>2.2693637304511856</v>
      </c>
      <c r="AD148" s="10">
        <f>IF('Model inputs'!AD136="","",'Model inputs'!AD136)</f>
        <v>2.491319712757528</v>
      </c>
      <c r="AE148" s="10">
        <f>IF('Model inputs'!AE136="","",'Model inputs'!AE136)</f>
        <v>2.720239888007629</v>
      </c>
      <c r="AF148" s="10">
        <f>IF('Model inputs'!AF136="","",'Model inputs'!AF136)</f>
        <v>2.956297021439567</v>
      </c>
    </row>
    <row r="149">
      <c r="A149" t="inlineStr" s="20">
        <is>
          <t xml:space="preserve">Kits generated</t>
        </is>
      </c>
      <c r="B149" s="7">
        <f>SUM('Model inputs'!B150,'Model inputs'!B151,'Model inputs'!B152)</f>
        <v>0</v>
      </c>
      <c r="C149" s="7">
        <f>SUM('Model inputs'!C150,'Model inputs'!C151,'Model inputs'!C152)</f>
        <v>0</v>
      </c>
      <c r="D149" s="7">
        <f>SUM('Model inputs'!D150,'Model inputs'!D151,'Model inputs'!D152)</f>
        <v>0</v>
      </c>
      <c r="E149" s="7">
        <f>SUM('Model inputs'!E150,'Model inputs'!E151,'Model inputs'!E152)</f>
        <v>0</v>
      </c>
      <c r="F149" s="7">
        <f>SUM('Model inputs'!F150,'Model inputs'!F151,'Model inputs'!F152)</f>
        <v>0</v>
      </c>
      <c r="G149" s="7">
        <f>SUM('Model inputs'!G150,'Model inputs'!G151,'Model inputs'!G152)</f>
        <v>0</v>
      </c>
      <c r="H149" s="7">
        <f>SUM('Model inputs'!H150,'Model inputs'!H151,'Model inputs'!H152)</f>
        <v>0</v>
      </c>
      <c r="I149" s="7">
        <f>SUM('Model inputs'!I150,'Model inputs'!I151,'Model inputs'!I152)</f>
        <v>0</v>
      </c>
      <c r="J149" s="7">
        <f>SUM('Model inputs'!J150,'Model inputs'!J151,'Model inputs'!J152)</f>
        <v>0</v>
      </c>
      <c r="K149" s="7">
        <f>SUM('Model inputs'!K150,'Model inputs'!K151,'Model inputs'!K152)</f>
        <v>0</v>
      </c>
      <c r="L149" s="7">
        <f>SUM('Model inputs'!L150,'Model inputs'!L151,'Model inputs'!L152)</f>
        <v>0</v>
      </c>
      <c r="M149" s="7">
        <f>SUM('Model inputs'!M150,'Model inputs'!M151,'Model inputs'!M152)</f>
        <v>0</v>
      </c>
      <c r="N149" s="7">
        <f>SUM('Model inputs'!N150,'Model inputs'!N151,'Model inputs'!N152)</f>
        <v>0</v>
      </c>
      <c r="O149" s="7">
        <f>IF('Model inputs'!O129="","",'Model inputs'!O129)</f>
        <v>828</v>
      </c>
      <c r="P149" s="7">
        <f>IF('Model inputs'!P129="","",'Model inputs'!P129)</f>
        <v>1368.7916666666665</v>
      </c>
      <c r="Q149" s="7">
        <f>IF('Model inputs'!Q129="","",'Model inputs'!Q129)</f>
        <v>1826.121059722222</v>
      </c>
      <c r="R149" s="7">
        <f>IF('Model inputs'!R129="","",'Model inputs'!R129)</f>
        <v>2307.5384331400464</v>
      </c>
      <c r="S149" s="7">
        <f>IF('Model inputs'!S129="","",'Model inputs'!S129)</f>
        <v>2815.60018657172</v>
      </c>
      <c r="T149" s="7">
        <f>IF('Model inputs'!T129="","",'Model inputs'!T129)</f>
        <v>3353.0799466515737</v>
      </c>
      <c r="U149" s="7">
        <f>IF('Model inputs'!U129="","",'Model inputs'!U129)</f>
        <v>3922.9894035737357</v>
      </c>
      <c r="V149" s="7">
        <f>IF('Model inputs'!V129="","",'Model inputs'!V129)</f>
        <v>4528.601033265272</v>
      </c>
      <c r="W149" s="7">
        <f>IF('Model inputs'!W129="","",'Model inputs'!W129)</f>
        <v>5173.472886027722</v>
      </c>
      <c r="X149" s="7">
        <f>IF('Model inputs'!X129="","",'Model inputs'!X129)</f>
        <v>5830.4219865033065</v>
      </c>
      <c r="Y149" s="7">
        <f>IF('Model inputs'!Y129="","",'Model inputs'!Y129)</f>
        <v>6500.301380559953</v>
      </c>
      <c r="Z149" s="7">
        <f>IF('Model inputs'!Z129="","",'Model inputs'!Z129)</f>
        <v>7183.982147804838</v>
      </c>
      <c r="AA149" s="7">
        <f>IF('Model inputs'!AA129="","",'Model inputs'!AA129)</f>
        <v>7882.355052921401</v>
      </c>
      <c r="AB149" s="7">
        <f>IF('Model inputs'!AB129="","",'Model inputs'!AB129)</f>
        <v>8596.332203674476</v>
      </c>
      <c r="AC149" s="7">
        <f>IF('Model inputs'!AC129="","",'Model inputs'!AC129)</f>
        <v>9326.848719753849</v>
      </c>
      <c r="AD149" s="7">
        <f>IF('Model inputs'!AD129="","",'Model inputs'!AD129)</f>
        <v>10074.864416534487</v>
      </c>
      <c r="AE149" s="7">
        <f>IF('Model inputs'!AE129="","",'Model inputs'!AE129)</f>
        <v>10841.365507753188</v>
      </c>
      <c r="AF149" s="7">
        <f>IF('Model inputs'!AF129="","",'Model inputs'!AF129)</f>
        <v>11627.366331035839</v>
      </c>
    </row>
    <row r="150" outlineLevel="1">
      <c r="A150" t="inlineStr" s="21">
        <is>
          <t xml:space="preserve">Kits generated &gt; Indie</t>
        </is>
      </c>
      <c r="B150" s="17">
        <f>'Model inputs'!B38*('Model inputs'!AG42+'Model inputs'!AG81)</f>
        <v>0</v>
      </c>
      <c r="C150" s="17">
        <f>'Model inputs'!C38*('Model inputs'!AG42+'Model inputs'!AG81)</f>
        <v>0</v>
      </c>
      <c r="D150" s="17">
        <f>'Model inputs'!D38*('Model inputs'!AG42+'Model inputs'!AG81)</f>
        <v>0</v>
      </c>
      <c r="E150" s="17">
        <f>'Model inputs'!E38*('Model inputs'!AG42+'Model inputs'!AG81)</f>
        <v>0</v>
      </c>
      <c r="F150" s="17">
        <f>'Model inputs'!F38*('Model inputs'!AG42+'Model inputs'!AG81)</f>
        <v>0</v>
      </c>
      <c r="G150" s="17">
        <f>'Model inputs'!G38*('Model inputs'!AG42+'Model inputs'!AG81)</f>
        <v>0</v>
      </c>
      <c r="H150" s="17">
        <f>'Model inputs'!H38*('Model inputs'!AG42+'Model inputs'!AG81)</f>
        <v>0</v>
      </c>
      <c r="I150" s="17">
        <f>'Model inputs'!I38*('Model inputs'!AG42+'Model inputs'!AG81)</f>
        <v>0</v>
      </c>
      <c r="J150" s="17">
        <f>'Model inputs'!J38*('Model inputs'!AG42+'Model inputs'!AG81)</f>
        <v>0</v>
      </c>
      <c r="K150" s="17">
        <f>'Model inputs'!K38*('Model inputs'!AG42+'Model inputs'!AG81)</f>
        <v>0</v>
      </c>
      <c r="L150" s="17">
        <f>'Model inputs'!L38*('Model inputs'!AG42+'Model inputs'!AG81)</f>
        <v>0</v>
      </c>
      <c r="M150" s="17">
        <f>'Model inputs'!M38*('Model inputs'!AG42+'Model inputs'!AG81)</f>
        <v>0</v>
      </c>
      <c r="N150" s="17">
        <f>'Model inputs'!N38*('Model inputs'!AG42+'Model inputs'!AG81)</f>
        <v>0</v>
      </c>
      <c r="O150" s="17">
        <f>IF('Model inputs'!O130="","",'Model inputs'!O130)</f>
        <v>340</v>
      </c>
      <c r="P150" s="17">
        <f>IF('Model inputs'!P130="","",'Model inputs'!P130)</f>
        <v>631.8333333333333</v>
      </c>
      <c r="Q150" s="17">
        <f>IF('Model inputs'!Q130="","",'Model inputs'!Q130)</f>
        <v>819.2111111111111</v>
      </c>
      <c r="R150" s="17">
        <f>IF('Model inputs'!R130="","",'Model inputs'!R130)</f>
        <v>1012.4570370370371</v>
      </c>
      <c r="S150" s="17">
        <f>IF('Model inputs'!S130="","",'Model inputs'!S130)</f>
        <v>1212.648701234568</v>
      </c>
      <c r="T150" s="17">
        <f>IF('Model inputs'!T130="","",'Model inputs'!T130)</f>
        <v>1420.9093584855968</v>
      </c>
      <c r="U150" s="17">
        <f>IF('Model inputs'!U130="","",'Model inputs'!U130)</f>
        <v>1638.4142842398905</v>
      </c>
      <c r="V150" s="17">
        <f>IF('Model inputs'!V130="","",'Model inputs'!V130)</f>
        <v>1866.3974589161646</v>
      </c>
      <c r="W150" s="17">
        <f>IF('Model inputs'!W130="","",'Model inputs'!W130)</f>
        <v>2106.158618770735</v>
      </c>
      <c r="X150" s="17">
        <f>IF('Model inputs'!X130="","",'Model inputs'!X130)</f>
        <v>2344.5032075862937</v>
      </c>
      <c r="Y150" s="17">
        <f>IF('Model inputs'!Y130="","",'Model inputs'!Y130)</f>
        <v>2582.108363683493</v>
      </c>
      <c r="Z150" s="17">
        <f>IF('Model inputs'!Z130="","",'Model inputs'!Z130)</f>
        <v>2819.62939083833</v>
      </c>
      <c r="AA150" s="17">
        <f>IF('Model inputs'!AA130="","",'Model inputs'!AA130)</f>
        <v>3057.7021462388607</v>
      </c>
      <c r="AB150" s="17">
        <f>IF('Model inputs'!AB130="","",'Model inputs'!AB130)</f>
        <v>3296.945306537613</v>
      </c>
      <c r="AC150" s="17">
        <f>IF('Model inputs'!AC130="","",'Model inputs'!AC130)</f>
        <v>3537.9625216183686</v>
      </c>
      <c r="AD150" s="17">
        <f>IF('Model inputs'!AD130="","",'Model inputs'!AD130)</f>
        <v>3781.3444651144046</v>
      </c>
      <c r="AE150" s="17">
        <f>IF('Model inputs'!AE130="","",'Model inputs'!AE130)</f>
        <v>4027.6707901748623</v>
      </c>
      <c r="AF150" s="17">
        <f>IF('Model inputs'!AF130="","",'Model inputs'!AF130)</f>
        <v>4277.511998474012</v>
      </c>
    </row>
    <row r="151" outlineLevel="1">
      <c r="A151" t="inlineStr" s="21">
        <is>
          <t xml:space="preserve">Kits generated &gt; Launch</t>
        </is>
      </c>
      <c r="B151" s="17">
        <f>'Model inputs'!B39*('Model inputs'!AG43+'Model inputs'!AG82)</f>
        <v>0</v>
      </c>
      <c r="C151" s="17">
        <f>'Model inputs'!C39*('Model inputs'!AG43+'Model inputs'!AG82)</f>
        <v>0</v>
      </c>
      <c r="D151" s="17">
        <f>'Model inputs'!D39*('Model inputs'!AG43+'Model inputs'!AG82)</f>
        <v>0</v>
      </c>
      <c r="E151" s="17">
        <f>'Model inputs'!E39*('Model inputs'!AG43+'Model inputs'!AG82)</f>
        <v>0</v>
      </c>
      <c r="F151" s="17">
        <f>'Model inputs'!F39*('Model inputs'!AG43+'Model inputs'!AG82)</f>
        <v>0</v>
      </c>
      <c r="G151" s="17">
        <f>'Model inputs'!G39*('Model inputs'!AG43+'Model inputs'!AG82)</f>
        <v>0</v>
      </c>
      <c r="H151" s="17">
        <f>'Model inputs'!H39*('Model inputs'!AG43+'Model inputs'!AG82)</f>
        <v>0</v>
      </c>
      <c r="I151" s="17">
        <f>'Model inputs'!I39*('Model inputs'!AG43+'Model inputs'!AG82)</f>
        <v>0</v>
      </c>
      <c r="J151" s="17">
        <f>'Model inputs'!J39*('Model inputs'!AG43+'Model inputs'!AG82)</f>
        <v>0</v>
      </c>
      <c r="K151" s="17">
        <f>'Model inputs'!K39*('Model inputs'!AG43+'Model inputs'!AG82)</f>
        <v>0</v>
      </c>
      <c r="L151" s="17">
        <f>'Model inputs'!L39*('Model inputs'!AG43+'Model inputs'!AG82)</f>
        <v>0</v>
      </c>
      <c r="M151" s="17">
        <f>'Model inputs'!M39*('Model inputs'!AG43+'Model inputs'!AG82)</f>
        <v>0</v>
      </c>
      <c r="N151" s="17">
        <f>'Model inputs'!N39*('Model inputs'!AG43+'Model inputs'!AG82)</f>
        <v>0</v>
      </c>
      <c r="O151" s="17">
        <f>IF('Model inputs'!O131="","",'Model inputs'!O131)</f>
        <v>206</v>
      </c>
      <c r="P151" s="17">
        <f>IF('Model inputs'!P131="","",'Model inputs'!P131)</f>
        <v>311.06</v>
      </c>
      <c r="Q151" s="17">
        <f>IF('Model inputs'!Q131="","",'Model inputs'!Q131)</f>
        <v>417.17203055555547</v>
      </c>
      <c r="R151" s="17">
        <f>IF('Model inputs'!R131="","",'Model inputs'!R131)</f>
        <v>524.6844865439813</v>
      </c>
      <c r="S151" s="17">
        <f>IF('Model inputs'!S131="","",'Model inputs'!S131)</f>
        <v>633.883524509045</v>
      </c>
      <c r="T151" s="17">
        <f>IF('Model inputs'!T131="","",'Model inputs'!T131)</f>
        <v>745.0727893657524</v>
      </c>
      <c r="U151" s="17">
        <f>IF('Model inputs'!U131="","",'Model inputs'!U131)</f>
        <v>858.5759658366885</v>
      </c>
      <c r="V151" s="17">
        <f>IF('Model inputs'!V131="","",'Model inputs'!V131)</f>
        <v>974.7395094715155</v>
      </c>
      <c r="W151" s="17">
        <f>IF('Model inputs'!W131="","",'Model inputs'!W131)</f>
        <v>1093.9355797163917</v>
      </c>
      <c r="X151" s="17">
        <f>IF('Model inputs'!X131="","",'Model inputs'!X131)</f>
        <v>1216.5651993569368</v>
      </c>
      <c r="Y151" s="17">
        <f>IF('Model inputs'!Y131="","",'Model inputs'!Y131)</f>
        <v>1342.7605899294706</v>
      </c>
      <c r="Z151" s="17">
        <f>IF('Model inputs'!Z131="","",'Model inputs'!Z131)</f>
        <v>1472.6527874591704</v>
      </c>
      <c r="AA151" s="17">
        <f>IF('Model inputs'!AA131="","",'Model inputs'!AA131)</f>
        <v>1606.3724099840306</v>
      </c>
      <c r="AB151" s="17">
        <f>IF('Model inputs'!AB131="","",'Model inputs'!AB131)</f>
        <v>1744.050386096672</v>
      </c>
      <c r="AC151" s="17">
        <f>IF('Model inputs'!AC131="","",'Model inputs'!AC131)</f>
        <v>1885.8186481486862</v>
      </c>
      <c r="AD151" s="17">
        <f>IF('Model inputs'!AD131="","",'Model inputs'!AD131)</f>
        <v>2031.810793541463</v>
      </c>
      <c r="AE151" s="17">
        <f>IF('Model inputs'!AE131="","",'Model inputs'!AE131)</f>
        <v>2182.1627173230036</v>
      </c>
      <c r="AF151" s="17">
        <f>IF('Model inputs'!AF131="","",'Model inputs'!AF131)</f>
        <v>2337.013219121013</v>
      </c>
    </row>
    <row r="152" outlineLevel="1">
      <c r="A152" t="inlineStr" s="21">
        <is>
          <t xml:space="preserve">Kits generated &gt; Team</t>
        </is>
      </c>
      <c r="B152" s="17">
        <f>'Model inputs'!B40*('Model inputs'!AG44+'Model inputs'!AG83)</f>
        <v>0</v>
      </c>
      <c r="C152" s="17">
        <f>'Model inputs'!C40*('Model inputs'!AG44+'Model inputs'!AG83)</f>
        <v>0</v>
      </c>
      <c r="D152" s="17">
        <f>'Model inputs'!D40*('Model inputs'!AG44+'Model inputs'!AG83)</f>
        <v>0</v>
      </c>
      <c r="E152" s="17">
        <f>'Model inputs'!E40*('Model inputs'!AG44+'Model inputs'!AG83)</f>
        <v>0</v>
      </c>
      <c r="F152" s="17">
        <f>'Model inputs'!F40*('Model inputs'!AG44+'Model inputs'!AG83)</f>
        <v>0</v>
      </c>
      <c r="G152" s="17">
        <f>'Model inputs'!G40*('Model inputs'!AG44+'Model inputs'!AG83)</f>
        <v>0</v>
      </c>
      <c r="H152" s="17">
        <f>'Model inputs'!H40*('Model inputs'!AG44+'Model inputs'!AG83)</f>
        <v>0</v>
      </c>
      <c r="I152" s="17">
        <f>'Model inputs'!I40*('Model inputs'!AG44+'Model inputs'!AG83)</f>
        <v>0</v>
      </c>
      <c r="J152" s="17">
        <f>'Model inputs'!J40*('Model inputs'!AG44+'Model inputs'!AG83)</f>
        <v>0</v>
      </c>
      <c r="K152" s="17">
        <f>'Model inputs'!K40*('Model inputs'!AG44+'Model inputs'!AG83)</f>
        <v>0</v>
      </c>
      <c r="L152" s="17">
        <f>'Model inputs'!L40*('Model inputs'!AG44+'Model inputs'!AG83)</f>
        <v>0</v>
      </c>
      <c r="M152" s="17">
        <f>'Model inputs'!M40*('Model inputs'!AG44+'Model inputs'!AG83)</f>
        <v>0</v>
      </c>
      <c r="N152" s="17">
        <f>'Model inputs'!N40*('Model inputs'!AG44+'Model inputs'!AG83)</f>
        <v>0</v>
      </c>
      <c r="O152" s="17">
        <f>IF('Model inputs'!O132="","",'Model inputs'!O132)</f>
        <v>282</v>
      </c>
      <c r="P152" s="17">
        <f>IF('Model inputs'!P132="","",'Model inputs'!P132)</f>
        <v>425.89833333333337</v>
      </c>
      <c r="Q152" s="17">
        <f>IF('Model inputs'!Q132="","",'Model inputs'!Q132)</f>
        <v>589.7379180555556</v>
      </c>
      <c r="R152" s="17">
        <f>IF('Model inputs'!R132="","",'Model inputs'!R132)</f>
        <v>770.3969095590278</v>
      </c>
      <c r="S152" s="17">
        <f>IF('Model inputs'!S132="","",'Model inputs'!S132)</f>
        <v>969.0679608281067</v>
      </c>
      <c r="T152" s="17">
        <f>IF('Model inputs'!T132="","",'Model inputs'!T132)</f>
        <v>1187.0977988002246</v>
      </c>
      <c r="U152" s="17">
        <f>IF('Model inputs'!U132="","",'Model inputs'!U132)</f>
        <v>1425.9991534971566</v>
      </c>
      <c r="V152" s="17">
        <f>IF('Model inputs'!V132="","",'Model inputs'!V132)</f>
        <v>1687.464064877592</v>
      </c>
      <c r="W152" s="17">
        <f>IF('Model inputs'!W132="","",'Model inputs'!W132)</f>
        <v>1973.3786875405954</v>
      </c>
      <c r="X152" s="17">
        <f>IF('Model inputs'!X132="","",'Model inputs'!X132)</f>
        <v>2269.3535795600765</v>
      </c>
      <c r="Y152" s="17">
        <f>IF('Model inputs'!Y132="","",'Model inputs'!Y132)</f>
        <v>2575.4324269469894</v>
      </c>
      <c r="Z152" s="17">
        <f>IF('Model inputs'!Z132="","",'Model inputs'!Z132)</f>
        <v>2891.6999695073378</v>
      </c>
      <c r="AA152" s="17">
        <f>IF('Model inputs'!AA132="","",'Model inputs'!AA132)</f>
        <v>3218.28049669851</v>
      </c>
      <c r="AB152" s="17">
        <f>IF('Model inputs'!AB132="","",'Model inputs'!AB132)</f>
        <v>3555.336511040191</v>
      </c>
      <c r="AC152" s="17">
        <f>IF('Model inputs'!AC132="","",'Model inputs'!AC132)</f>
        <v>3903.0675499867943</v>
      </c>
      <c r="AD152" s="17">
        <f>IF('Model inputs'!AD132="","",'Model inputs'!AD132)</f>
        <v>4261.709157878619</v>
      </c>
      <c r="AE152" s="17">
        <f>IF('Model inputs'!AE132="","",'Model inputs'!AE132)</f>
        <v>4631.532000255323</v>
      </c>
      <c r="AF152" s="17">
        <f>IF('Model inputs'!AF132="","",'Model inputs'!AF132)</f>
        <v>5012.841113440814</v>
      </c>
    </row>
    <row r="153">
      <c r="A153" t="inlineStr" s="20">
        <is>
          <t xml:space="preserve">Monthly payers</t>
        </is>
      </c>
      <c r="B153" s="8">
        <f>SUM('Model inputs'!B154,'Model inputs'!B155,'Model inputs'!B156)</f>
        <v>0</v>
      </c>
      <c r="C153" s="8">
        <f>SUM('Model inputs'!C154,'Model inputs'!C155,'Model inputs'!C156)</f>
        <v>0</v>
      </c>
      <c r="D153" s="8">
        <f>SUM('Model inputs'!D154,'Model inputs'!D155,'Model inputs'!D156)</f>
        <v>0</v>
      </c>
      <c r="E153" s="8">
        <f>SUM('Model inputs'!E154,'Model inputs'!E155,'Model inputs'!E156)</f>
        <v>0</v>
      </c>
      <c r="F153" s="8">
        <f>SUM('Model inputs'!F154,'Model inputs'!F155,'Model inputs'!F156)</f>
        <v>0</v>
      </c>
      <c r="G153" s="8">
        <f>SUM('Model inputs'!G154,'Model inputs'!G155,'Model inputs'!G156)</f>
        <v>0</v>
      </c>
      <c r="H153" s="8">
        <f>SUM('Model inputs'!H154,'Model inputs'!H155,'Model inputs'!H156)</f>
        <v>0</v>
      </c>
      <c r="I153" s="8">
        <f>SUM('Model inputs'!I154,'Model inputs'!I155,'Model inputs'!I156)</f>
        <v>0</v>
      </c>
      <c r="J153" s="8">
        <f>SUM('Model inputs'!J154,'Model inputs'!J155,'Model inputs'!J156)</f>
        <v>0</v>
      </c>
      <c r="K153" s="8">
        <f>SUM('Model inputs'!K154,'Model inputs'!K155,'Model inputs'!K156)</f>
        <v>0</v>
      </c>
      <c r="L153" s="8">
        <f>SUM('Model inputs'!L154,'Model inputs'!L155,'Model inputs'!L156)</f>
        <v>0</v>
      </c>
      <c r="M153" s="8">
        <f>SUM('Model inputs'!M154,'Model inputs'!M155,'Model inputs'!M156)</f>
        <v>0</v>
      </c>
      <c r="N153" s="8">
        <f>SUM('Model inputs'!N154,'Model inputs'!N155,'Model inputs'!N156)</f>
        <v>0</v>
      </c>
      <c r="O153" s="8">
        <f>IF('Model inputs'!O137="","",'Model inputs'!O137)</f>
        <v>47</v>
      </c>
      <c r="P153" s="8">
        <f>IF('Model inputs'!P137="","",'Model inputs'!P137)</f>
        <v>84.28831944444444</v>
      </c>
      <c r="Q153" s="8">
        <f>IF('Model inputs'!Q137="","",'Model inputs'!Q137)</f>
        <v>109.25034907407408</v>
      </c>
      <c r="R153" s="8">
        <f>IF('Model inputs'!R137="","",'Model inputs'!R137)</f>
        <v>134.7368020271412</v>
      </c>
      <c r="S153" s="8">
        <f>IF('Model inputs'!S137="","",'Model inputs'!S137)</f>
        <v>160.83115808675663</v>
      </c>
      <c r="T153" s="8">
        <f>IF('Model inputs'!T137="","",'Model inputs'!T137)</f>
        <v>187.61840642148002</v>
      </c>
      <c r="U153" s="8">
        <f>IF('Model inputs'!U137="","",'Model inputs'!U137)</f>
        <v>215.18498548540106</v>
      </c>
      <c r="V153" s="8">
        <f>IF('Model inputs'!V137="","",'Model inputs'!V137)</f>
        <v>245.98907499409157</v>
      </c>
      <c r="W153" s="8">
        <f>IF('Model inputs'!W137="","",'Model inputs'!W137)</f>
        <v>278.52651277477236</v>
      </c>
      <c r="X153" s="8">
        <f>IF('Model inputs'!X137="","",'Model inputs'!X137)</f>
        <v>311.0472605388994</v>
      </c>
      <c r="Y153" s="8">
        <f>IF('Model inputs'!Y137="","",'Model inputs'!Y137)</f>
        <v>343.6320029904277</v>
      </c>
      <c r="Z153" s="8">
        <f>IF('Model inputs'!Z137="","",'Model inputs'!Z137)</f>
        <v>376.35942008791267</v>
      </c>
      <c r="AA153" s="8">
        <f>IF('Model inputs'!AA137="","",'Model inputs'!AA137)</f>
        <v>409.3064496004066</v>
      </c>
      <c r="AB153" s="8">
        <f>IF('Model inputs'!AB137="","",'Model inputs'!AB137)</f>
        <v>442.54853751591446</v>
      </c>
      <c r="AC153" s="8">
        <f>IF('Model inputs'!AC137="","",'Model inputs'!AC137)</f>
        <v>476.15987731976287</v>
      </c>
      <c r="AD153" s="8">
        <f>IF('Model inputs'!AD137="","",'Model inputs'!AD137)</f>
        <v>510.21363910094044</v>
      </c>
      <c r="AE153" s="8">
        <f>IF('Model inputs'!AE137="","",'Model inputs'!AE137)</f>
        <v>544.7821893894609</v>
      </c>
      <c r="AF153" s="8">
        <f>IF('Model inputs'!AF137="","",'Model inputs'!AF137)</f>
        <v>579.9373025768048</v>
      </c>
    </row>
    <row r="154" outlineLevel="1">
      <c r="A154" t="inlineStr" s="21">
        <is>
          <t xml:space="preserve">Monthly payers &gt; Indie</t>
        </is>
      </c>
      <c r="B154" s="10">
        <f>'Model inputs'!B38-'Model inputs'!B7</f>
        <v>0</v>
      </c>
      <c r="C154" s="10">
        <f>'Model inputs'!C38-'Model inputs'!C7</f>
        <v>0</v>
      </c>
      <c r="D154" s="10">
        <f>'Model inputs'!D38-'Model inputs'!D7</f>
        <v>0</v>
      </c>
      <c r="E154" s="10">
        <f>'Model inputs'!E38-'Model inputs'!E7</f>
        <v>0</v>
      </c>
      <c r="F154" s="10">
        <f>'Model inputs'!F38-'Model inputs'!F7</f>
        <v>0</v>
      </c>
      <c r="G154" s="10">
        <f>'Model inputs'!G38-'Model inputs'!G7</f>
        <v>0</v>
      </c>
      <c r="H154" s="10">
        <f>'Model inputs'!H38-'Model inputs'!H7</f>
        <v>0</v>
      </c>
      <c r="I154" s="10">
        <f>'Model inputs'!I38-'Model inputs'!I7</f>
        <v>0</v>
      </c>
      <c r="J154" s="10">
        <f>'Model inputs'!J38-'Model inputs'!J7</f>
        <v>0</v>
      </c>
      <c r="K154" s="10">
        <f>'Model inputs'!K38-'Model inputs'!K7</f>
        <v>0</v>
      </c>
      <c r="L154" s="10">
        <f>'Model inputs'!L38-'Model inputs'!L7</f>
        <v>0</v>
      </c>
      <c r="M154" s="10">
        <f>'Model inputs'!M38-'Model inputs'!M7</f>
        <v>0</v>
      </c>
      <c r="N154" s="10">
        <f>'Model inputs'!N38-'Model inputs'!N7</f>
        <v>0</v>
      </c>
      <c r="O154" s="10">
        <f>IF('Model inputs'!O138="","",'Model inputs'!O138)</f>
        <v>40</v>
      </c>
      <c r="P154" s="10">
        <f>IF('Model inputs'!P138="","",'Model inputs'!P138)</f>
        <v>74.33333333333333</v>
      </c>
      <c r="Q154" s="10">
        <f>IF('Model inputs'!Q138="","",'Model inputs'!Q138)</f>
        <v>96.37777777777778</v>
      </c>
      <c r="R154" s="10">
        <f>IF('Model inputs'!R138="","",'Model inputs'!R138)</f>
        <v>119.1125925925926</v>
      </c>
      <c r="S154" s="10">
        <f>IF('Model inputs'!S138="","",'Model inputs'!S138)</f>
        <v>142.66455308641977</v>
      </c>
      <c r="T154" s="10">
        <f>IF('Model inputs'!T138="","",'Model inputs'!T138)</f>
        <v>167.16580688065847</v>
      </c>
      <c r="U154" s="10">
        <f>IF('Model inputs'!U138="","",'Model inputs'!U138)</f>
        <v>192.75462167528124</v>
      </c>
      <c r="V154" s="10">
        <f>IF('Model inputs'!V138="","",'Model inputs'!V138)</f>
        <v>219.57617163719584</v>
      </c>
      <c r="W154" s="10">
        <f>IF('Model inputs'!W138="","",'Model inputs'!W138)</f>
        <v>247.78336691420412</v>
      </c>
      <c r="X154" s="10">
        <f>IF('Model inputs'!X138="","",'Model inputs'!X138)</f>
        <v>275.8239067748581</v>
      </c>
      <c r="Y154" s="10">
        <f>IF('Model inputs'!Y138="","",'Model inputs'!Y138)</f>
        <v>303.77745455099915</v>
      </c>
      <c r="Z154" s="10">
        <f>IF('Model inputs'!Z138="","",'Model inputs'!Z138)</f>
        <v>331.7211048045094</v>
      </c>
      <c r="AA154" s="10">
        <f>IF('Model inputs'!AA138="","",'Model inputs'!AA138)</f>
        <v>359.72966426339536</v>
      </c>
      <c r="AB154" s="10">
        <f>IF('Model inputs'!AB138="","",'Model inputs'!AB138)</f>
        <v>387.87591841618973</v>
      </c>
      <c r="AC154" s="10">
        <f>IF('Model inputs'!AC138="","",'Model inputs'!AC138)</f>
        <v>416.23088489627867</v>
      </c>
      <c r="AD154" s="10">
        <f>IF('Model inputs'!AD138="","",'Model inputs'!AD138)</f>
        <v>444.8640547193417</v>
      </c>
      <c r="AE154" s="10">
        <f>IF('Model inputs'!AE138="","",'Model inputs'!AE138)</f>
        <v>473.8436223735132</v>
      </c>
      <c r="AF154" s="10">
        <f>IF('Model inputs'!AF138="","",'Model inputs'!AF138)</f>
        <v>503.23670570282496</v>
      </c>
    </row>
    <row r="155" outlineLevel="1">
      <c r="A155" t="inlineStr" s="21">
        <is>
          <t xml:space="preserve">Monthly payers &gt; Launch</t>
        </is>
      </c>
      <c r="B155" s="10">
        <f>'Model inputs'!B39-'Model inputs'!B8</f>
        <v>0</v>
      </c>
      <c r="C155" s="10">
        <f>'Model inputs'!C39-'Model inputs'!C8</f>
        <v>0</v>
      </c>
      <c r="D155" s="10">
        <f>'Model inputs'!D39-'Model inputs'!D8</f>
        <v>0</v>
      </c>
      <c r="E155" s="10">
        <f>'Model inputs'!E39-'Model inputs'!E8</f>
        <v>0</v>
      </c>
      <c r="F155" s="10">
        <f>'Model inputs'!F39-'Model inputs'!F8</f>
        <v>0</v>
      </c>
      <c r="G155" s="10">
        <f>'Model inputs'!G39-'Model inputs'!G8</f>
        <v>0</v>
      </c>
      <c r="H155" s="10">
        <f>'Model inputs'!H39-'Model inputs'!H8</f>
        <v>0</v>
      </c>
      <c r="I155" s="10">
        <f>'Model inputs'!I39-'Model inputs'!I8</f>
        <v>0</v>
      </c>
      <c r="J155" s="10">
        <f>'Model inputs'!J39-'Model inputs'!J8</f>
        <v>0</v>
      </c>
      <c r="K155" s="10">
        <f>'Model inputs'!K39-'Model inputs'!K8</f>
        <v>0</v>
      </c>
      <c r="L155" s="10">
        <f>'Model inputs'!L39-'Model inputs'!L8</f>
        <v>0</v>
      </c>
      <c r="M155" s="10">
        <f>'Model inputs'!M39-'Model inputs'!M8</f>
        <v>0</v>
      </c>
      <c r="N155" s="10">
        <f>'Model inputs'!N39-'Model inputs'!N8</f>
        <v>0</v>
      </c>
      <c r="O155" s="10">
        <f>IF('Model inputs'!O139="","",'Model inputs'!O139)</f>
        <v>1</v>
      </c>
      <c r="P155" s="10">
        <f>IF('Model inputs'!P139="","",'Model inputs'!P139)</f>
        <v>1.4219166666666667</v>
      </c>
      <c r="Q155" s="10">
        <f>IF('Model inputs'!Q139="","",'Model inputs'!Q139)</f>
        <v>1.7888444675925923</v>
      </c>
      <c r="R155" s="10">
        <f>IF('Model inputs'!R139="","",'Model inputs'!R139)</f>
        <v>2.101284958246527</v>
      </c>
      <c r="S155" s="10">
        <f>IF('Model inputs'!S139="","",'Model inputs'!S139)</f>
        <v>2.3591134407294554</v>
      </c>
      <c r="T155" s="10">
        <f>IF('Model inputs'!T139="","",'Model inputs'!T139)</f>
        <v>2.5619412255699414</v>
      </c>
      <c r="U155" s="10">
        <f>IF('Model inputs'!U139="","",'Model inputs'!U139)</f>
        <v>2.709098921329357</v>
      </c>
      <c r="V155" s="10">
        <f>IF('Model inputs'!V139="","",'Model inputs'!V139)</f>
        <v>3.075634374546044</v>
      </c>
      <c r="W155" s="10">
        <f>IF('Model inputs'!W139="","",'Model inputs'!W139)</f>
        <v>3.4517384796876436</v>
      </c>
      <c r="X155" s="10">
        <f>IF('Model inputs'!X139="","",'Model inputs'!X139)</f>
        <v>3.838676599912665</v>
      </c>
      <c r="Y155" s="10">
        <f>IF('Model inputs'!Y139="","",'Model inputs'!Y139)</f>
        <v>4.236865939097845</v>
      </c>
      <c r="Z155" s="10">
        <f>IF('Model inputs'!Z139="","",'Model inputs'!Z139)</f>
        <v>4.646719960429421</v>
      </c>
      <c r="AA155" s="10">
        <f>IF('Model inputs'!AA139="","",'Model inputs'!AA139)</f>
        <v>5.0686508082020385</v>
      </c>
      <c r="AB155" s="10">
        <f>IF('Model inputs'!AB139="","",'Model inputs'!AB139)</f>
        <v>5.503071606615713</v>
      </c>
      <c r="AC155" s="10">
        <f>IF('Model inputs'!AC139="","",'Model inputs'!AC139)</f>
        <v>5.950398647071097</v>
      </c>
      <c r="AD155" s="10">
        <f>IF('Model inputs'!AD139="","",'Model inputs'!AD139)</f>
        <v>6.411053474766752</v>
      </c>
      <c r="AE155" s="10">
        <f>IF('Model inputs'!AE139="","",'Model inputs'!AE139)</f>
        <v>6.8854648847570505</v>
      </c>
      <c r="AF155" s="10">
        <f>IF('Model inputs'!AF139="","",'Model inputs'!AF139)</f>
        <v>7.374070837032322</v>
      </c>
    </row>
    <row r="156" outlineLevel="1">
      <c r="A156" t="inlineStr" s="21">
        <is>
          <t xml:space="preserve">Monthly payers &gt; Team</t>
        </is>
      </c>
      <c r="B156" s="10">
        <f>'Model inputs'!B40-'Model inputs'!B9</f>
        <v>0</v>
      </c>
      <c r="C156" s="10">
        <f>'Model inputs'!C40-'Model inputs'!C9</f>
        <v>0</v>
      </c>
      <c r="D156" s="10">
        <f>'Model inputs'!D40-'Model inputs'!D9</f>
        <v>0</v>
      </c>
      <c r="E156" s="10">
        <f>'Model inputs'!E40-'Model inputs'!E9</f>
        <v>0</v>
      </c>
      <c r="F156" s="10">
        <f>'Model inputs'!F40-'Model inputs'!F9</f>
        <v>0</v>
      </c>
      <c r="G156" s="10">
        <f>'Model inputs'!G40-'Model inputs'!G9</f>
        <v>0</v>
      </c>
      <c r="H156" s="10">
        <f>'Model inputs'!H40-'Model inputs'!H9</f>
        <v>0</v>
      </c>
      <c r="I156" s="10">
        <f>'Model inputs'!I40-'Model inputs'!I9</f>
        <v>0</v>
      </c>
      <c r="J156" s="10">
        <f>'Model inputs'!J40-'Model inputs'!J9</f>
        <v>0</v>
      </c>
      <c r="K156" s="10">
        <f>'Model inputs'!K40-'Model inputs'!K9</f>
        <v>0</v>
      </c>
      <c r="L156" s="10">
        <f>'Model inputs'!L40-'Model inputs'!L9</f>
        <v>0</v>
      </c>
      <c r="M156" s="10">
        <f>'Model inputs'!M40-'Model inputs'!M9</f>
        <v>0</v>
      </c>
      <c r="N156" s="10">
        <f>'Model inputs'!N40-'Model inputs'!N9</f>
        <v>0</v>
      </c>
      <c r="O156" s="10">
        <f>IF('Model inputs'!O140="","",'Model inputs'!O140)</f>
        <v>6</v>
      </c>
      <c r="P156" s="10">
        <f>IF('Model inputs'!P140="","",'Model inputs'!P140)</f>
        <v>8.533069444444445</v>
      </c>
      <c r="Q156" s="10">
        <f>IF('Model inputs'!Q140="","",'Model inputs'!Q140)</f>
        <v>11.083726828703703</v>
      </c>
      <c r="R156" s="10">
        <f>IF('Model inputs'!R140="","",'Model inputs'!R140)</f>
        <v>13.522924476302084</v>
      </c>
      <c r="S156" s="10">
        <f>IF('Model inputs'!S140="","",'Model inputs'!S140)</f>
        <v>15.807491559607413</v>
      </c>
      <c r="T156" s="10">
        <f>IF('Model inputs'!T140="","",'Model inputs'!T140)</f>
        <v>17.890658315251613</v>
      </c>
      <c r="U156" s="10">
        <f>IF('Model inputs'!U140="","",'Model inputs'!U140)</f>
        <v>19.721264888790465</v>
      </c>
      <c r="V156" s="10">
        <f>IF('Model inputs'!V140="","",'Model inputs'!V140)</f>
        <v>23.337268982349677</v>
      </c>
      <c r="W156" s="10">
        <f>IF('Model inputs'!W140="","",'Model inputs'!W140)</f>
        <v>27.291407380880578</v>
      </c>
      <c r="X156" s="10">
        <f>IF('Model inputs'!X140="","",'Model inputs'!X140)</f>
        <v>31.384677164128714</v>
      </c>
      <c r="Y156" s="10">
        <f>IF('Model inputs'!Y140="","",'Model inputs'!Y140)</f>
        <v>35.6176825003307</v>
      </c>
      <c r="Z156" s="10">
        <f>IF('Model inputs'!Z140="","",'Model inputs'!Z140)</f>
        <v>39.99159532297382</v>
      </c>
      <c r="AA156" s="10">
        <f>IF('Model inputs'!AA140="","",'Model inputs'!AA140)</f>
        <v>44.50813452880918</v>
      </c>
      <c r="AB156" s="10">
        <f>IF('Model inputs'!AB140="","",'Model inputs'!AB140)</f>
        <v>49.16954749310902</v>
      </c>
      <c r="AC156" s="10">
        <f>IF('Model inputs'!AC140="","",'Model inputs'!AC140)</f>
        <v>53.97859377641311</v>
      </c>
      <c r="AD156" s="10">
        <f>IF('Model inputs'!AD140="","",'Model inputs'!AD140)</f>
        <v>58.93853090683197</v>
      </c>
      <c r="AE156" s="10">
        <f>IF('Model inputs'!AE140="","",'Model inputs'!AE140)</f>
        <v>64.05310213119063</v>
      </c>
      <c r="AF156" s="10">
        <f>IF('Model inputs'!AF140="","",'Model inputs'!AF140)</f>
        <v>69.32652603694743</v>
      </c>
    </row>
    <row r="157">
      <c r="A157" t="inlineStr" s="20">
        <is>
          <t xml:space="preserve">Overage revenue</t>
        </is>
      </c>
      <c r="B157" s="15">
        <f>SUM('Model inputs'!B158,'Model inputs'!B159,'Model inputs'!B160)</f>
        <v>0</v>
      </c>
      <c r="C157" s="15">
        <f>SUM('Model inputs'!C158,'Model inputs'!C159,'Model inputs'!C160)</f>
        <v>0</v>
      </c>
      <c r="D157" s="15">
        <f>SUM('Model inputs'!D158,'Model inputs'!D159,'Model inputs'!D160)</f>
        <v>0</v>
      </c>
      <c r="E157" s="15">
        <f>SUM('Model inputs'!E158,'Model inputs'!E159,'Model inputs'!E160)</f>
        <v>0</v>
      </c>
      <c r="F157" s="15">
        <f>SUM('Model inputs'!F158,'Model inputs'!F159,'Model inputs'!F160)</f>
        <v>0</v>
      </c>
      <c r="G157" s="15">
        <f>SUM('Model inputs'!G158,'Model inputs'!G159,'Model inputs'!G160)</f>
        <v>0</v>
      </c>
      <c r="H157" s="15">
        <f>SUM('Model inputs'!H158,'Model inputs'!H159,'Model inputs'!H160)</f>
        <v>0</v>
      </c>
      <c r="I157" s="15">
        <f>SUM('Model inputs'!I158,'Model inputs'!I159,'Model inputs'!I160)</f>
        <v>0</v>
      </c>
      <c r="J157" s="15">
        <f>SUM('Model inputs'!J158,'Model inputs'!J159,'Model inputs'!J160)</f>
        <v>0</v>
      </c>
      <c r="K157" s="15">
        <f>SUM('Model inputs'!K158,'Model inputs'!K159,'Model inputs'!K160)</f>
        <v>0</v>
      </c>
      <c r="L157" s="15">
        <f>SUM('Model inputs'!L158,'Model inputs'!L159,'Model inputs'!L160)</f>
        <v>0</v>
      </c>
      <c r="M157" s="15">
        <f>SUM('Model inputs'!M158,'Model inputs'!M159,'Model inputs'!M160)</f>
        <v>0</v>
      </c>
      <c r="N157" s="15">
        <f>SUM('Model inputs'!N158,'Model inputs'!N159,'Model inputs'!N160)</f>
        <v>0</v>
      </c>
      <c r="O157" s="15">
        <f>IF('Model inputs'!O141="","",'Model inputs'!O141)</f>
        <v>95</v>
      </c>
      <c r="P157" s="15">
        <f>IF('Model inputs'!P141="","",'Model inputs'!P141)</f>
        <v>160.875</v>
      </c>
      <c r="Q157" s="15">
        <f>IF('Model inputs'!Q141="","",'Model inputs'!Q141)</f>
        <v>213.58690277777777</v>
      </c>
      <c r="R157" s="15">
        <f>IF('Model inputs'!R141="","",'Model inputs'!R141)</f>
        <v>269.05303983796296</v>
      </c>
      <c r="S157" s="15">
        <f>IF('Model inputs'!S141="","",'Model inputs'!S141)</f>
        <v>327.5795949349537</v>
      </c>
      <c r="T157" s="15">
        <f>IF('Model inputs'!T141="","",'Model inputs'!T141)</f>
        <v>389.4971314852568</v>
      </c>
      <c r="U157" s="15">
        <f>IF('Model inputs'!U141="","",'Model inputs'!U141)</f>
        <v>455.1629821154749</v>
      </c>
      <c r="V157" s="15">
        <f>IF('Model inputs'!V141="","",'Model inputs'!V141)</f>
        <v>524.9638461310163</v>
      </c>
      <c r="W157" s="15">
        <f>IF('Model inputs'!W141="","",'Model inputs'!W141)</f>
        <v>599.3186149500129</v>
      </c>
      <c r="X157" s="15">
        <f>IF('Model inputs'!X141="","",'Model inputs'!X141)</f>
        <v>674.7853216521627</v>
      </c>
      <c r="Y157" s="15">
        <f>IF('Model inputs'!Y141="","",'Model inputs'!Y141)</f>
        <v>751.4778206320123</v>
      </c>
      <c r="Z157" s="15">
        <f>IF('Model inputs'!Z141="","",'Model inputs'!Z141)</f>
        <v>829.5110364230375</v>
      </c>
      <c r="AA157" s="15">
        <f>IF('Model inputs'!AA141="","",'Model inputs'!AA141)</f>
        <v>909.001210740131</v>
      </c>
      <c r="AB157" s="15">
        <f>IF('Model inputs'!AB141="","",'Model inputs'!AB141)</f>
        <v>990.0661465814385</v>
      </c>
      <c r="AC157" s="15">
        <f>IF('Model inputs'!AC141="","",'Model inputs'!AC141)</f>
        <v>1072.82545010209</v>
      </c>
      <c r="AD157" s="15">
        <f>IF('Model inputs'!AD141="","",'Model inputs'!AD141)</f>
        <v>1157.400770946348</v>
      </c>
      <c r="AE157" s="15">
        <f>IF('Model inputs'!AE141="","",'Model inputs'!AE141)</f>
        <v>1243.916041701213</v>
      </c>
      <c r="AF157" s="15">
        <f>IF('Model inputs'!AF141="","",'Model inputs'!AF141)</f>
        <v>1332.497717113488</v>
      </c>
    </row>
    <row r="158" outlineLevel="1">
      <c r="A158" t="inlineStr" s="21">
        <is>
          <t xml:space="preserve">Overage revenue &gt; Indie</t>
        </is>
      </c>
      <c r="B158" s="16">
        <f>'Model inputs'!B38*'Model inputs'!AG81*'Model inputs'!AG84</f>
        <v>0</v>
      </c>
      <c r="C158" s="16">
        <f>'Model inputs'!C38*'Model inputs'!AG81*'Model inputs'!AG84</f>
        <v>0</v>
      </c>
      <c r="D158" s="16">
        <f>'Model inputs'!D38*'Model inputs'!AG81*'Model inputs'!AG84</f>
        <v>0</v>
      </c>
      <c r="E158" s="16">
        <f>'Model inputs'!E38*'Model inputs'!AG81*'Model inputs'!AG84</f>
        <v>0</v>
      </c>
      <c r="F158" s="16">
        <f>'Model inputs'!F38*'Model inputs'!AG81*'Model inputs'!AG84</f>
        <v>0</v>
      </c>
      <c r="G158" s="16">
        <f>'Model inputs'!G38*'Model inputs'!AG81*'Model inputs'!AG84</f>
        <v>0</v>
      </c>
      <c r="H158" s="16">
        <f>'Model inputs'!H38*'Model inputs'!AG81*'Model inputs'!AG84</f>
        <v>0</v>
      </c>
      <c r="I158" s="16">
        <f>'Model inputs'!I38*'Model inputs'!AG81*'Model inputs'!AG84</f>
        <v>0</v>
      </c>
      <c r="J158" s="16">
        <f>'Model inputs'!J38*'Model inputs'!AG81*'Model inputs'!AG84</f>
        <v>0</v>
      </c>
      <c r="K158" s="16">
        <f>'Model inputs'!K38*'Model inputs'!AG81*'Model inputs'!AG84</f>
        <v>0</v>
      </c>
      <c r="L158" s="16">
        <f>'Model inputs'!L38*'Model inputs'!AG81*'Model inputs'!AG84</f>
        <v>0</v>
      </c>
      <c r="M158" s="16">
        <f>'Model inputs'!M38*'Model inputs'!AG81*'Model inputs'!AG84</f>
        <v>0</v>
      </c>
      <c r="N158" s="16">
        <f>'Model inputs'!N38*'Model inputs'!AG81*'Model inputs'!AG84</f>
        <v>0</v>
      </c>
      <c r="O158" s="16">
        <f>IF('Model inputs'!O142="","",'Model inputs'!O142)</f>
        <v>50</v>
      </c>
      <c r="P158" s="16">
        <f>IF('Model inputs'!P142="","",'Model inputs'!P142)</f>
        <v>92.91666666666666</v>
      </c>
      <c r="Q158" s="16">
        <f>IF('Model inputs'!Q142="","",'Model inputs'!Q142)</f>
        <v>120.47222222222223</v>
      </c>
      <c r="R158" s="16">
        <f>IF('Model inputs'!R142="","",'Model inputs'!R142)</f>
        <v>148.89074074074077</v>
      </c>
      <c r="S158" s="16">
        <f>IF('Model inputs'!S142="","",'Model inputs'!S142)</f>
        <v>178.33069135802472</v>
      </c>
      <c r="T158" s="16">
        <f>IF('Model inputs'!T142="","",'Model inputs'!T142)</f>
        <v>208.95725860082308</v>
      </c>
      <c r="U158" s="16">
        <f>IF('Model inputs'!U142="","",'Model inputs'!U142)</f>
        <v>240.94327709410155</v>
      </c>
      <c r="V158" s="16">
        <f>IF('Model inputs'!V142="","",'Model inputs'!V142)</f>
        <v>274.4702145464948</v>
      </c>
      <c r="W158" s="16">
        <f>IF('Model inputs'!W142="","",'Model inputs'!W142)</f>
        <v>309.72920864275517</v>
      </c>
      <c r="X158" s="16">
        <f>IF('Model inputs'!X142="","",'Model inputs'!X142)</f>
        <v>344.7798834685726</v>
      </c>
      <c r="Y158" s="16">
        <f>IF('Model inputs'!Y142="","",'Model inputs'!Y142)</f>
        <v>379.72181818874895</v>
      </c>
      <c r="Z158" s="16">
        <f>IF('Model inputs'!Z142="","",'Model inputs'!Z142)</f>
        <v>414.6513810056368</v>
      </c>
      <c r="AA158" s="16">
        <f>IF('Model inputs'!AA142="","",'Model inputs'!AA142)</f>
        <v>449.6620803292442</v>
      </c>
      <c r="AB158" s="16">
        <f>IF('Model inputs'!AB142="","",'Model inputs'!AB142)</f>
        <v>484.84489802023717</v>
      </c>
      <c r="AC158" s="16">
        <f>IF('Model inputs'!AC142="","",'Model inputs'!AC142)</f>
        <v>520.2886061203483</v>
      </c>
      <c r="AD158" s="16">
        <f>IF('Model inputs'!AD142="","",'Model inputs'!AD142)</f>
        <v>556.0800683991771</v>
      </c>
      <c r="AE158" s="16">
        <f>IF('Model inputs'!AE142="","",'Model inputs'!AE142)</f>
        <v>592.3045279668916</v>
      </c>
      <c r="AF158" s="16">
        <f>IF('Model inputs'!AF142="","",'Model inputs'!AF142)</f>
        <v>629.0458821285312</v>
      </c>
    </row>
    <row r="159" outlineLevel="1">
      <c r="A159" t="inlineStr" s="21">
        <is>
          <t xml:space="preserve">Overage revenue &gt; Launch</t>
        </is>
      </c>
      <c r="B159" s="16">
        <f>'Model inputs'!B39*'Model inputs'!AG82*'Model inputs'!AG84</f>
        <v>0</v>
      </c>
      <c r="C159" s="16">
        <f>'Model inputs'!C39*'Model inputs'!AG82*'Model inputs'!AG84</f>
        <v>0</v>
      </c>
      <c r="D159" s="16">
        <f>'Model inputs'!D39*'Model inputs'!AG82*'Model inputs'!AG84</f>
        <v>0</v>
      </c>
      <c r="E159" s="16">
        <f>'Model inputs'!E39*'Model inputs'!AG82*'Model inputs'!AG84</f>
        <v>0</v>
      </c>
      <c r="F159" s="16">
        <f>'Model inputs'!F39*'Model inputs'!AG82*'Model inputs'!AG84</f>
        <v>0</v>
      </c>
      <c r="G159" s="16">
        <f>'Model inputs'!G39*'Model inputs'!AG82*'Model inputs'!AG84</f>
        <v>0</v>
      </c>
      <c r="H159" s="16">
        <f>'Model inputs'!H39*'Model inputs'!AG82*'Model inputs'!AG84</f>
        <v>0</v>
      </c>
      <c r="I159" s="16">
        <f>'Model inputs'!I39*'Model inputs'!AG82*'Model inputs'!AG84</f>
        <v>0</v>
      </c>
      <c r="J159" s="16">
        <f>'Model inputs'!J39*'Model inputs'!AG82*'Model inputs'!AG84</f>
        <v>0</v>
      </c>
      <c r="K159" s="16">
        <f>'Model inputs'!K39*'Model inputs'!AG82*'Model inputs'!AG84</f>
        <v>0</v>
      </c>
      <c r="L159" s="16">
        <f>'Model inputs'!L39*'Model inputs'!AG82*'Model inputs'!AG84</f>
        <v>0</v>
      </c>
      <c r="M159" s="16">
        <f>'Model inputs'!M39*'Model inputs'!AG82*'Model inputs'!AG84</f>
        <v>0</v>
      </c>
      <c r="N159" s="16">
        <f>'Model inputs'!N39*'Model inputs'!AG82*'Model inputs'!AG84</f>
        <v>0</v>
      </c>
      <c r="O159" s="16">
        <f>IF('Model inputs'!O143="","",'Model inputs'!O143)</f>
        <v>15</v>
      </c>
      <c r="P159" s="16">
        <f>IF('Model inputs'!P143="","",'Model inputs'!P143)</f>
        <v>22.650000000000002</v>
      </c>
      <c r="Q159" s="16">
        <f>IF('Model inputs'!Q143="","",'Model inputs'!Q143)</f>
        <v>30.376604166666663</v>
      </c>
      <c r="R159" s="16">
        <f>IF('Model inputs'!R143="","",'Model inputs'!R143)</f>
        <v>38.205181059027765</v>
      </c>
      <c r="S159" s="16">
        <f>IF('Model inputs'!S143="","",'Model inputs'!S143)</f>
        <v>46.156567318619786</v>
      </c>
      <c r="T159" s="16">
        <f>IF('Model inputs'!T143="","",'Model inputs'!T143)</f>
        <v>54.25287301206935</v>
      </c>
      <c r="U159" s="16">
        <f>IF('Model inputs'!U143="","",'Model inputs'!U143)</f>
        <v>62.51766741529286</v>
      </c>
      <c r="V159" s="16">
        <f>IF('Model inputs'!V143="","",'Model inputs'!V143)</f>
        <v>70.97617787413947</v>
      </c>
      <c r="W159" s="16">
        <f>IF('Model inputs'!W143="","",'Model inputs'!W143)</f>
        <v>79.65550337740716</v>
      </c>
      <c r="X159" s="16">
        <f>IF('Model inputs'!X143="","",'Model inputs'!X143)</f>
        <v>88.58484461336917</v>
      </c>
      <c r="Y159" s="16">
        <f>IF('Model inputs'!Y143="","",'Model inputs'!Y143)</f>
        <v>97.7738293637964</v>
      </c>
      <c r="Z159" s="16">
        <f>IF('Model inputs'!Z143="","",'Model inputs'!Z143)</f>
        <v>107.23199908683281</v>
      </c>
      <c r="AA159" s="16">
        <f>IF('Model inputs'!AA143="","",'Model inputs'!AA143)</f>
        <v>116.96886480466242</v>
      </c>
      <c r="AB159" s="16">
        <f>IF('Model inputs'!AB143="","",'Model inputs'!AB143)</f>
        <v>126.99396015267028</v>
      </c>
      <c r="AC159" s="16">
        <f>IF('Model inputs'!AC143="","",'Model inputs'!AC143)</f>
        <v>137.31689185548686</v>
      </c>
      <c r="AD159" s="16">
        <f>IF('Model inputs'!AD143="","",'Model inputs'!AD143)</f>
        <v>147.94738787923274</v>
      </c>
      <c r="AE159" s="16">
        <f>IF('Model inputs'!AE143="","",'Model inputs'!AE143)</f>
        <v>158.89534349439347</v>
      </c>
      <c r="AF159" s="16">
        <f>IF('Model inputs'!AF143="","",'Model inputs'!AF143)</f>
        <v>170.17086546997666</v>
      </c>
    </row>
    <row r="160" outlineLevel="1">
      <c r="A160" t="inlineStr" s="21">
        <is>
          <t xml:space="preserve">Overage revenue &gt; Team</t>
        </is>
      </c>
      <c r="B160" s="16">
        <f>'Model inputs'!B40*'Model inputs'!AG83*'Model inputs'!AG84</f>
        <v>0</v>
      </c>
      <c r="C160" s="16">
        <f>'Model inputs'!C40*'Model inputs'!AG83*'Model inputs'!AG84</f>
        <v>0</v>
      </c>
      <c r="D160" s="16">
        <f>'Model inputs'!D40*'Model inputs'!AG83*'Model inputs'!AG84</f>
        <v>0</v>
      </c>
      <c r="E160" s="16">
        <f>'Model inputs'!E40*'Model inputs'!AG83*'Model inputs'!AG84</f>
        <v>0</v>
      </c>
      <c r="F160" s="16">
        <f>'Model inputs'!F40*'Model inputs'!AG83*'Model inputs'!AG84</f>
        <v>0</v>
      </c>
      <c r="G160" s="16">
        <f>'Model inputs'!G40*'Model inputs'!AG83*'Model inputs'!AG84</f>
        <v>0</v>
      </c>
      <c r="H160" s="16">
        <f>'Model inputs'!H40*'Model inputs'!AG83*'Model inputs'!AG84</f>
        <v>0</v>
      </c>
      <c r="I160" s="16">
        <f>'Model inputs'!I40*'Model inputs'!AG83*'Model inputs'!AG84</f>
        <v>0</v>
      </c>
      <c r="J160" s="16">
        <f>'Model inputs'!J40*'Model inputs'!AG83*'Model inputs'!AG84</f>
        <v>0</v>
      </c>
      <c r="K160" s="16">
        <f>'Model inputs'!K40*'Model inputs'!AG83*'Model inputs'!AG84</f>
        <v>0</v>
      </c>
      <c r="L160" s="16">
        <f>'Model inputs'!L40*'Model inputs'!AG83*'Model inputs'!AG84</f>
        <v>0</v>
      </c>
      <c r="M160" s="16">
        <f>'Model inputs'!M40*'Model inputs'!AG83*'Model inputs'!AG84</f>
        <v>0</v>
      </c>
      <c r="N160" s="16">
        <f>'Model inputs'!N40*'Model inputs'!AG83*'Model inputs'!AG84</f>
        <v>0</v>
      </c>
      <c r="O160" s="16">
        <f>IF('Model inputs'!O144="","",'Model inputs'!O144)</f>
        <v>30</v>
      </c>
      <c r="P160" s="16">
        <f>IF('Model inputs'!P144="","",'Model inputs'!P144)</f>
        <v>45.30833333333334</v>
      </c>
      <c r="Q160" s="16">
        <f>IF('Model inputs'!Q144="","",'Model inputs'!Q144)</f>
        <v>62.73807638888889</v>
      </c>
      <c r="R160" s="16">
        <f>IF('Model inputs'!R144="","",'Model inputs'!R144)</f>
        <v>81.95711803819444</v>
      </c>
      <c r="S160" s="16">
        <f>IF('Model inputs'!S144="","",'Model inputs'!S144)</f>
        <v>103.09233625830922</v>
      </c>
      <c r="T160" s="16">
        <f>IF('Model inputs'!T144="","",'Model inputs'!T144)</f>
        <v>126.28699987236432</v>
      </c>
      <c r="U160" s="16">
        <f>IF('Model inputs'!U144="","",'Model inputs'!U144)</f>
        <v>151.7020376060805</v>
      </c>
      <c r="V160" s="16">
        <f>IF('Model inputs'!V144="","",'Model inputs'!V144)</f>
        <v>179.5174537103821</v>
      </c>
      <c r="W160" s="16">
        <f>IF('Model inputs'!W144="","",'Model inputs'!W144)</f>
        <v>209.93390292985057</v>
      </c>
      <c r="X160" s="16">
        <f>IF('Model inputs'!X144="","",'Model inputs'!X144)</f>
        <v>241.4205935702209</v>
      </c>
      <c r="Y160" s="16">
        <f>IF('Model inputs'!Y144="","",'Model inputs'!Y144)</f>
        <v>273.982173079467</v>
      </c>
      <c r="Z160" s="16">
        <f>IF('Model inputs'!Z144="","",'Model inputs'!Z144)</f>
        <v>307.62765633056785</v>
      </c>
      <c r="AA160" s="16">
        <f>IF('Model inputs'!AA144="","",'Model inputs'!AA144)</f>
        <v>342.37026560622445</v>
      </c>
      <c r="AB160" s="16">
        <f>IF('Model inputs'!AB144="","",'Model inputs'!AB144)</f>
        <v>378.22728840853097</v>
      </c>
      <c r="AC160" s="16">
        <f>IF('Model inputs'!AC144="","",'Model inputs'!AC144)</f>
        <v>415.2199521262547</v>
      </c>
      <c r="AD160" s="16">
        <f>IF('Model inputs'!AD144="","",'Model inputs'!AD144)</f>
        <v>453.3733146679382</v>
      </c>
      <c r="AE160" s="16">
        <f>IF('Model inputs'!AE144="","",'Model inputs'!AE144)</f>
        <v>492.7161702399279</v>
      </c>
      <c r="AF160" s="16">
        <f>IF('Model inputs'!AF144="","",'Model inputs'!AF144)</f>
        <v>533.2809695149803</v>
      </c>
    </row>
    <row r="161">
      <c r="A161" t="inlineStr" s="20">
        <is>
          <t xml:space="preserve">Upgrades in</t>
        </is>
      </c>
      <c r="B161" s="8">
        <f>SUM('Model inputs'!B162,'Model inputs'!B163,'Model inputs'!B164)</f>
        <v>0</v>
      </c>
      <c r="C161" s="8">
        <f>SUM('Model inputs'!C162,'Model inputs'!C163,'Model inputs'!C164)</f>
        <v>0</v>
      </c>
      <c r="D161" s="8">
        <f>SUM('Model inputs'!D162,'Model inputs'!D163,'Model inputs'!D164)</f>
        <v>0</v>
      </c>
      <c r="E161" s="8">
        <f>SUM('Model inputs'!E162,'Model inputs'!E163,'Model inputs'!E164)</f>
        <v>0</v>
      </c>
      <c r="F161" s="8">
        <f>SUM('Model inputs'!F162,'Model inputs'!F163,'Model inputs'!F164)</f>
        <v>0</v>
      </c>
      <c r="G161" s="8">
        <f>SUM('Model inputs'!G162,'Model inputs'!G163,'Model inputs'!G164)</f>
        <v>0</v>
      </c>
      <c r="H161" s="8">
        <f>SUM('Model inputs'!H162,'Model inputs'!H163,'Model inputs'!H164)</f>
        <v>0</v>
      </c>
      <c r="I161" s="8">
        <f>SUM('Model inputs'!I162,'Model inputs'!I163,'Model inputs'!I164)</f>
        <v>0</v>
      </c>
      <c r="J161" s="8">
        <f>SUM('Model inputs'!J162,'Model inputs'!J163,'Model inputs'!J164)</f>
        <v>0</v>
      </c>
      <c r="K161" s="8">
        <f>SUM('Model inputs'!K162,'Model inputs'!K163,'Model inputs'!K164)</f>
        <v>0</v>
      </c>
      <c r="L161" s="8">
        <f>IF('Model inputs'!L89="","",'Model inputs'!L89)</f>
        <v>0</v>
      </c>
      <c r="M161" s="8">
        <f>IF('Model inputs'!M89="","",'Model inputs'!M89)</f>
        <v>0</v>
      </c>
      <c r="N161" s="8">
        <f>IF('Model inputs'!N89="","",'Model inputs'!N89)</f>
        <v>0</v>
      </c>
      <c r="O161" s="8">
        <f>IF('Model inputs'!O89="","",'Model inputs'!O89)</f>
        <v>0</v>
      </c>
      <c r="P161" s="8">
        <f>IF('Model inputs'!P89="","",'Model inputs'!P89)</f>
        <v>0.2916666666666667</v>
      </c>
      <c r="Q161" s="8">
        <f>IF('Model inputs'!Q89="","",'Model inputs'!Q89)</f>
        <v>0.5333125</v>
      </c>
      <c r="R161" s="8">
        <f>IF('Model inputs'!R89="","",'Model inputs'!R89)</f>
        <v>0.6948002488425927</v>
      </c>
      <c r="S161" s="8">
        <f>IF('Model inputs'!S89="","",'Model inputs'!S89)</f>
        <v>0.8623815489824461</v>
      </c>
      <c r="T161" s="8">
        <f>IF('Model inputs'!T89="","",'Model inputs'!T89)</f>
        <v>1.0370073007913894</v>
      </c>
      <c r="U161" s="8">
        <f>IF('Model inputs'!U89="","",'Model inputs'!U89)</f>
        <v>1.2196778790980267</v>
      </c>
      <c r="V161" s="8">
        <f>IF('Model inputs'!V89="","",'Model inputs'!V89)</f>
        <v>1.4114491758402756</v>
      </c>
      <c r="W161" s="8">
        <f>IF('Model inputs'!W89="","",'Model inputs'!W89)</f>
        <v>1.6134390223399573</v>
      </c>
      <c r="X161" s="8">
        <f>IF('Model inputs'!X89="","",'Model inputs'!X89)</f>
        <v>1.8268340318695697</v>
      </c>
      <c r="Y161" s="8">
        <f>IF('Model inputs'!Y89="","",'Model inputs'!Y89)</f>
        <v>2.0400098731409044</v>
      </c>
      <c r="Z161" s="8">
        <f>IF('Model inputs'!Z89="","",'Model inputs'!Z89)</f>
        <v>2.2535015079062166</v>
      </c>
      <c r="AA161" s="8">
        <f>IF('Model inputs'!AA89="","",'Model inputs'!AA89)</f>
        <v>2.467830412305536</v>
      </c>
      <c r="AB161" s="8">
        <f>IF('Model inputs'!AB89="","",'Model inputs'!AB89)</f>
        <v>2.683506316427823</v>
      </c>
      <c r="AC161" s="8">
        <f>IF('Model inputs'!AC89="","",'Model inputs'!AC89)</f>
        <v>2.9010288631150405</v>
      </c>
      <c r="AD161" s="8">
        <f>IF('Model inputs'!AD89="","",'Model inputs'!AD89)</f>
        <v>3.12088919274707</v>
      </c>
      <c r="AE161" s="8">
        <f>IF('Model inputs'!AE89="","",'Model inputs'!AE89)</f>
        <v>3.3435714603522264</v>
      </c>
      <c r="AF161" s="8">
        <f>IF('Model inputs'!AF89="","",'Model inputs'!AF89)</f>
        <v>3.569554291023361</v>
      </c>
    </row>
    <row r="162" outlineLevel="1">
      <c r="A162" t="inlineStr" s="21">
        <is>
          <t xml:space="preserve">Upgrades in &gt; Indie</t>
        </is>
      </c>
      <c r="B162" s="10">
        <f>IF(EXACT("Indie","Team"),IF('Model inputs'!B166="","",'Model inputs'!B166),IF(EXACT("Indie","Launch"),IF('Model inputs'!B168="","",'Model inputs'!B168),0))</f>
        <v>0</v>
      </c>
      <c r="C162" s="10">
        <f>IF(EXACT("Indie","Team"),IF('Model inputs'!C166="","",'Model inputs'!C166),IF(EXACT("Indie","Launch"),IF('Model inputs'!C168="","",'Model inputs'!C168),0))</f>
        <v>0</v>
      </c>
      <c r="D162" s="10">
        <f>IF(EXACT("Indie","Team"),IF('Model inputs'!D166="","",'Model inputs'!D166),IF(EXACT("Indie","Launch"),IF('Model inputs'!D168="","",'Model inputs'!D168),0))</f>
        <v>0</v>
      </c>
      <c r="E162" s="10">
        <f>IF(EXACT("Indie","Team"),IF('Model inputs'!E166="","",'Model inputs'!E166),IF(EXACT("Indie","Launch"),IF('Model inputs'!E168="","",'Model inputs'!E168),0))</f>
        <v>0</v>
      </c>
      <c r="F162" s="10">
        <f>IF(EXACT("Indie","Team"),IF('Model inputs'!F166="","",'Model inputs'!F166),IF(EXACT("Indie","Launch"),IF('Model inputs'!F168="","",'Model inputs'!F168),0))</f>
        <v>0</v>
      </c>
      <c r="G162" s="10">
        <f>IF(EXACT("Indie","Team"),IF('Model inputs'!G166="","",'Model inputs'!G166),IF(EXACT("Indie","Launch"),IF('Model inputs'!G168="","",'Model inputs'!G168),0))</f>
        <v>0</v>
      </c>
      <c r="H162" s="10">
        <f>IF(EXACT("Indie","Team"),IF('Model inputs'!H166="","",'Model inputs'!H166),IF(EXACT("Indie","Launch"),IF('Model inputs'!H168="","",'Model inputs'!H168),0))</f>
        <v>0</v>
      </c>
      <c r="I162" s="10">
        <f>IF(EXACT("Indie","Team"),IF('Model inputs'!I166="","",'Model inputs'!I166),IF(EXACT("Indie","Launch"),IF('Model inputs'!I168="","",'Model inputs'!I168),0))</f>
        <v>0</v>
      </c>
      <c r="J162" s="10">
        <f>IF(EXACT("Indie","Team"),IF('Model inputs'!J166="","",'Model inputs'!J166),IF(EXACT("Indie","Launch"),IF('Model inputs'!J168="","",'Model inputs'!J168),0))</f>
        <v>0</v>
      </c>
      <c r="K162" s="10">
        <f>IF(EXACT("Indie","Team"),IF('Model inputs'!K166="","",'Model inputs'!K166),IF(EXACT("Indie","Launch"),IF('Model inputs'!K168="","",'Model inputs'!K168),0))</f>
        <v>0</v>
      </c>
      <c r="L162" s="10">
        <f>IF('Model inputs'!L90="","",'Model inputs'!L90)</f>
        <v>0</v>
      </c>
      <c r="M162" s="10">
        <f>IF('Model inputs'!M90="","",'Model inputs'!M90)</f>
        <v>0</v>
      </c>
      <c r="N162" s="10">
        <f>IF('Model inputs'!N90="","",'Model inputs'!N90)</f>
        <v>0</v>
      </c>
      <c r="O162" s="10">
        <f>IF('Model inputs'!O90="","",'Model inputs'!O90)</f>
        <v>0</v>
      </c>
      <c r="P162" s="10">
        <f>IF('Model inputs'!P90="","",'Model inputs'!P90)</f>
        <v>0</v>
      </c>
      <c r="Q162" s="10">
        <f>IF('Model inputs'!Q90="","",'Model inputs'!Q90)</f>
        <v>0</v>
      </c>
      <c r="R162" s="10">
        <f>IF('Model inputs'!R90="","",'Model inputs'!R90)</f>
        <v>0</v>
      </c>
      <c r="S162" s="10">
        <f>IF('Model inputs'!S90="","",'Model inputs'!S90)</f>
        <v>0</v>
      </c>
      <c r="T162" s="10">
        <f>IF('Model inputs'!T90="","",'Model inputs'!T90)</f>
        <v>0</v>
      </c>
      <c r="U162" s="10">
        <f>IF('Model inputs'!U90="","",'Model inputs'!U90)</f>
        <v>0</v>
      </c>
      <c r="V162" s="10">
        <f>IF('Model inputs'!V90="","",'Model inputs'!V90)</f>
        <v>0</v>
      </c>
      <c r="W162" s="10">
        <f>IF('Model inputs'!W90="","",'Model inputs'!W90)</f>
        <v>0</v>
      </c>
      <c r="X162" s="10">
        <f>IF('Model inputs'!X90="","",'Model inputs'!X90)</f>
        <v>0</v>
      </c>
      <c r="Y162" s="10">
        <f>IF('Model inputs'!Y90="","",'Model inputs'!Y90)</f>
        <v>0</v>
      </c>
      <c r="Z162" s="10">
        <f>IF('Model inputs'!Z90="","",'Model inputs'!Z90)</f>
        <v>0</v>
      </c>
      <c r="AA162" s="10">
        <f>IF('Model inputs'!AA90="","",'Model inputs'!AA90)</f>
        <v>0</v>
      </c>
      <c r="AB162" s="10">
        <f>IF('Model inputs'!AB90="","",'Model inputs'!AB90)</f>
        <v>0</v>
      </c>
      <c r="AC162" s="10">
        <f>IF('Model inputs'!AC90="","",'Model inputs'!AC90)</f>
        <v>0</v>
      </c>
      <c r="AD162" s="10">
        <f>IF('Model inputs'!AD90="","",'Model inputs'!AD90)</f>
        <v>0</v>
      </c>
      <c r="AE162" s="10">
        <f>IF('Model inputs'!AE90="","",'Model inputs'!AE90)</f>
        <v>0</v>
      </c>
      <c r="AF162" s="10">
        <f>IF('Model inputs'!AF90="","",'Model inputs'!AF90)</f>
        <v>0</v>
      </c>
    </row>
    <row r="163" outlineLevel="1">
      <c r="A163" t="inlineStr" s="21">
        <is>
          <t xml:space="preserve">Upgrades in &gt; Launch</t>
        </is>
      </c>
      <c r="B163" s="10">
        <f>IF(EXACT("Launch","Team"),IF('Model inputs'!B166="","",'Model inputs'!B166),IF(EXACT("Launch","Launch"),IF('Model inputs'!B168="","",'Model inputs'!B168),0))</f>
        <v>0</v>
      </c>
      <c r="C163" s="10">
        <f>IF(EXACT("Launch","Team"),IF('Model inputs'!C166="","",'Model inputs'!C166),IF(EXACT("Launch","Launch"),IF('Model inputs'!C168="","",'Model inputs'!C168),0))</f>
        <v>0</v>
      </c>
      <c r="D163" s="10">
        <f>IF(EXACT("Launch","Team"),IF('Model inputs'!D166="","",'Model inputs'!D166),IF(EXACT("Launch","Launch"),IF('Model inputs'!D168="","",'Model inputs'!D168),0))</f>
        <v>0</v>
      </c>
      <c r="E163" s="10">
        <f>IF(EXACT("Launch","Team"),IF('Model inputs'!E166="","",'Model inputs'!E166),IF(EXACT("Launch","Launch"),IF('Model inputs'!E168="","",'Model inputs'!E168),0))</f>
        <v>0</v>
      </c>
      <c r="F163" s="10">
        <f>IF(EXACT("Launch","Team"),IF('Model inputs'!F166="","",'Model inputs'!F166),IF(EXACT("Launch","Launch"),IF('Model inputs'!F168="","",'Model inputs'!F168),0))</f>
        <v>0</v>
      </c>
      <c r="G163" s="10">
        <f>IF(EXACT("Launch","Team"),IF('Model inputs'!G166="","",'Model inputs'!G166),IF(EXACT("Launch","Launch"),IF('Model inputs'!G168="","",'Model inputs'!G168),0))</f>
        <v>0</v>
      </c>
      <c r="H163" s="10">
        <f>IF(EXACT("Launch","Team"),IF('Model inputs'!H166="","",'Model inputs'!H166),IF(EXACT("Launch","Launch"),IF('Model inputs'!H168="","",'Model inputs'!H168),0))</f>
        <v>0</v>
      </c>
      <c r="I163" s="10">
        <f>IF(EXACT("Launch","Team"),IF('Model inputs'!I166="","",'Model inputs'!I166),IF(EXACT("Launch","Launch"),IF('Model inputs'!I168="","",'Model inputs'!I168),0))</f>
        <v>0</v>
      </c>
      <c r="J163" s="10">
        <f>IF(EXACT("Launch","Team"),IF('Model inputs'!J166="","",'Model inputs'!J166),IF(EXACT("Launch","Launch"),IF('Model inputs'!J168="","",'Model inputs'!J168),0))</f>
        <v>0</v>
      </c>
      <c r="K163" s="10">
        <f>IF(EXACT("Launch","Team"),IF('Model inputs'!K166="","",'Model inputs'!K166),IF(EXACT("Launch","Launch"),IF('Model inputs'!K168="","",'Model inputs'!K168),0))</f>
        <v>0</v>
      </c>
      <c r="L163" s="10">
        <f>IF('Model inputs'!L91="","",'Model inputs'!L91)</f>
        <v>0</v>
      </c>
      <c r="M163" s="10">
        <f>IF('Model inputs'!M91="","",'Model inputs'!M91)</f>
        <v>0</v>
      </c>
      <c r="N163" s="10">
        <f>IF('Model inputs'!N91="","",'Model inputs'!N91)</f>
        <v>0</v>
      </c>
      <c r="O163" s="10">
        <f>IF('Model inputs'!O91="","",'Model inputs'!O91)</f>
        <v>0</v>
      </c>
      <c r="P163" s="10">
        <f>IF('Model inputs'!P91="","",'Model inputs'!P91)</f>
        <v>0.025</v>
      </c>
      <c r="Q163" s="10">
        <f>IF('Model inputs'!Q91="","",'Model inputs'!Q91)</f>
        <v>0.03775694444444445</v>
      </c>
      <c r="R163" s="10">
        <f>IF('Model inputs'!R91="","",'Model inputs'!R91)</f>
        <v>0.05228173032407408</v>
      </c>
      <c r="S163" s="10">
        <f>IF('Model inputs'!S91="","",'Model inputs'!S91)</f>
        <v>0.06829759836516204</v>
      </c>
      <c r="T163" s="10">
        <f>IF('Model inputs'!T91="","",'Model inputs'!T91)</f>
        <v>0.08591028021525769</v>
      </c>
      <c r="U163" s="10">
        <f>IF('Model inputs'!U91="","",'Model inputs'!U91)</f>
        <v>0.10523916656030362</v>
      </c>
      <c r="V163" s="10">
        <f>IF('Model inputs'!V91="","",'Model inputs'!V91)</f>
        <v>0.12641836467173376</v>
      </c>
      <c r="W163" s="10">
        <f>IF('Model inputs'!W91="","",'Model inputs'!W91)</f>
        <v>0.1495978780919851</v>
      </c>
      <c r="X163" s="10">
        <f>IF('Model inputs'!X91="","",'Model inputs'!X91)</f>
        <v>0.17494491910820884</v>
      </c>
      <c r="Y163" s="10">
        <f>IF('Model inputs'!Y91="","",'Model inputs'!Y91)</f>
        <v>0.20118382797518408</v>
      </c>
      <c r="Z163" s="10">
        <f>IF('Model inputs'!Z91="","",'Model inputs'!Z91)</f>
        <v>0.22831847756622248</v>
      </c>
      <c r="AA163" s="10">
        <f>IF('Model inputs'!AA91="","",'Model inputs'!AA91)</f>
        <v>0.2563563802754732</v>
      </c>
      <c r="AB163" s="10">
        <f>IF('Model inputs'!AB91="","",'Model inputs'!AB91)</f>
        <v>0.28530855467185373</v>
      </c>
      <c r="AC163" s="10">
        <f>IF('Model inputs'!AC91="","",'Model inputs'!AC91)</f>
        <v>0.3151894070071091</v>
      </c>
      <c r="AD163" s="10">
        <f>IF('Model inputs'!AD91="","",'Model inputs'!AD91)</f>
        <v>0.34601662677187894</v>
      </c>
      <c r="AE163" s="10">
        <f>IF('Model inputs'!AE91="","",'Model inputs'!AE91)</f>
        <v>0.3778110955566152</v>
      </c>
      <c r="AF163" s="10">
        <f>IF('Model inputs'!AF91="","",'Model inputs'!AF91)</f>
        <v>0.41059680853327324</v>
      </c>
    </row>
    <row r="164" outlineLevel="1">
      <c r="A164" t="inlineStr" s="21">
        <is>
          <t xml:space="preserve">Upgrades in &gt; Team</t>
        </is>
      </c>
      <c r="B164" s="10">
        <f>IF(EXACT("Team","Team"),IF('Model inputs'!B166="","",'Model inputs'!B166),IF(EXACT("Team","Launch"),IF('Model inputs'!B168="","",'Model inputs'!B168),0))</f>
        <v>0</v>
      </c>
      <c r="C164" s="10">
        <f>IF(EXACT("Team","Team"),IF('Model inputs'!C166="","",'Model inputs'!C166),IF(EXACT("Team","Launch"),IF('Model inputs'!C168="","",'Model inputs'!C168),0))</f>
        <v>0</v>
      </c>
      <c r="D164" s="10">
        <f>IF(EXACT("Team","Team"),IF('Model inputs'!D166="","",'Model inputs'!D166),IF(EXACT("Team","Launch"),IF('Model inputs'!D168="","",'Model inputs'!D168),0))</f>
        <v>0</v>
      </c>
      <c r="E164" s="10">
        <f>IF(EXACT("Team","Team"),IF('Model inputs'!E166="","",'Model inputs'!E166),IF(EXACT("Team","Launch"),IF('Model inputs'!E168="","",'Model inputs'!E168),0))</f>
        <v>0</v>
      </c>
      <c r="F164" s="10">
        <f>IF(EXACT("Team","Team"),IF('Model inputs'!F166="","",'Model inputs'!F166),IF(EXACT("Team","Launch"),IF('Model inputs'!F168="","",'Model inputs'!F168),0))</f>
        <v>0</v>
      </c>
      <c r="G164" s="10">
        <f>IF(EXACT("Team","Team"),IF('Model inputs'!G166="","",'Model inputs'!G166),IF(EXACT("Team","Launch"),IF('Model inputs'!G168="","",'Model inputs'!G168),0))</f>
        <v>0</v>
      </c>
      <c r="H164" s="10">
        <f>IF(EXACT("Team","Team"),IF('Model inputs'!H166="","",'Model inputs'!H166),IF(EXACT("Team","Launch"),IF('Model inputs'!H168="","",'Model inputs'!H168),0))</f>
        <v>0</v>
      </c>
      <c r="I164" s="10">
        <f>IF(EXACT("Team","Team"),IF('Model inputs'!I166="","",'Model inputs'!I166),IF(EXACT("Team","Launch"),IF('Model inputs'!I168="","",'Model inputs'!I168),0))</f>
        <v>0</v>
      </c>
      <c r="J164" s="10">
        <f>IF(EXACT("Team","Team"),IF('Model inputs'!J166="","",'Model inputs'!J166),IF(EXACT("Team","Launch"),IF('Model inputs'!J168="","",'Model inputs'!J168),0))</f>
        <v>0</v>
      </c>
      <c r="K164" s="10">
        <f>IF(EXACT("Team","Team"),IF('Model inputs'!K166="","",'Model inputs'!K166),IF(EXACT("Team","Launch"),IF('Model inputs'!K168="","",'Model inputs'!K168),0))</f>
        <v>0</v>
      </c>
      <c r="L164" s="10">
        <f>IF('Model inputs'!L92="","",'Model inputs'!L92)</f>
        <v>0</v>
      </c>
      <c r="M164" s="10">
        <f>IF('Model inputs'!M92="","",'Model inputs'!M92)</f>
        <v>0</v>
      </c>
      <c r="N164" s="10">
        <f>IF('Model inputs'!N92="","",'Model inputs'!N92)</f>
        <v>0</v>
      </c>
      <c r="O164" s="10">
        <f>IF('Model inputs'!O92="","",'Model inputs'!O92)</f>
        <v>0</v>
      </c>
      <c r="P164" s="10">
        <f>IF('Model inputs'!P92="","",'Model inputs'!P92)</f>
        <v>0.26666666666666666</v>
      </c>
      <c r="Q164" s="10">
        <f>IF('Model inputs'!Q92="","",'Model inputs'!Q92)</f>
        <v>0.4955555555555555</v>
      </c>
      <c r="R164" s="10">
        <f>IF('Model inputs'!R92="","",'Model inputs'!R92)</f>
        <v>0.6425185185185186</v>
      </c>
      <c r="S164" s="10">
        <f>IF('Model inputs'!S92="","",'Model inputs'!S92)</f>
        <v>0.7940839506172841</v>
      </c>
      <c r="T164" s="10">
        <f>IF('Model inputs'!T92="","",'Model inputs'!T92)</f>
        <v>0.9510970205761318</v>
      </c>
      <c r="U164" s="10">
        <f>IF('Model inputs'!U92="","",'Model inputs'!U92)</f>
        <v>1.114438712537723</v>
      </c>
      <c r="V164" s="10">
        <f>IF('Model inputs'!V92="","",'Model inputs'!V92)</f>
        <v>1.2850308111685418</v>
      </c>
      <c r="W164" s="10">
        <f>IF('Model inputs'!W92="","",'Model inputs'!W92)</f>
        <v>1.4638411442479722</v>
      </c>
      <c r="X164" s="10">
        <f>IF('Model inputs'!X92="","",'Model inputs'!X92)</f>
        <v>1.6518891127613609</v>
      </c>
      <c r="Y164" s="10">
        <f>IF('Model inputs'!Y92="","",'Model inputs'!Y92)</f>
        <v>1.8388260451657203</v>
      </c>
      <c r="Z164" s="10">
        <f>IF('Model inputs'!Z92="","",'Model inputs'!Z92)</f>
        <v>2.0251830303399943</v>
      </c>
      <c r="AA164" s="10">
        <f>IF('Model inputs'!AA92="","",'Model inputs'!AA92)</f>
        <v>2.211474032030063</v>
      </c>
      <c r="AB164" s="10">
        <f>IF('Model inputs'!AB92="","",'Model inputs'!AB92)</f>
        <v>2.398197761755969</v>
      </c>
      <c r="AC164" s="10">
        <f>IF('Model inputs'!AC92="","",'Model inputs'!AC92)</f>
        <v>2.5858394561079314</v>
      </c>
      <c r="AD164" s="10">
        <f>IF('Model inputs'!AD92="","",'Model inputs'!AD92)</f>
        <v>2.774872565975191</v>
      </c>
      <c r="AE164" s="10">
        <f>IF('Model inputs'!AE92="","",'Model inputs'!AE92)</f>
        <v>2.9657603647956114</v>
      </c>
      <c r="AF164" s="10">
        <f>IF('Model inputs'!AF92="","",'Model inputs'!AF92)</f>
        <v>3.158957482490088</v>
      </c>
    </row>
    <row r="165">
      <c r="A165" t="inlineStr" s="20">
        <is>
          <t xml:space="preserve">Upgrades out</t>
        </is>
      </c>
      <c r="B165" s="8">
        <f>SUM('Model inputs'!B166,'Model inputs'!B167,'Model inputs'!B168)</f>
        <v>0</v>
      </c>
      <c r="C165" s="8">
        <f>SUM('Model inputs'!C166,'Model inputs'!C167,'Model inputs'!C168)</f>
        <v>0</v>
      </c>
      <c r="D165" s="8">
        <f>SUM('Model inputs'!D166,'Model inputs'!D167,'Model inputs'!D168)</f>
        <v>0</v>
      </c>
      <c r="E165" s="8">
        <f>SUM('Model inputs'!E166,'Model inputs'!E167,'Model inputs'!E168)</f>
        <v>0</v>
      </c>
      <c r="F165" s="8">
        <f>SUM('Model inputs'!F166,'Model inputs'!F167,'Model inputs'!F168)</f>
        <v>0</v>
      </c>
      <c r="G165" s="8">
        <f>SUM('Model inputs'!G166,'Model inputs'!G167,'Model inputs'!G168)</f>
        <v>0</v>
      </c>
      <c r="H165" s="8">
        <f>SUM('Model inputs'!H166,'Model inputs'!H167,'Model inputs'!H168)</f>
        <v>0</v>
      </c>
      <c r="I165" s="8">
        <f>SUM('Model inputs'!I166,'Model inputs'!I167,'Model inputs'!I168)</f>
        <v>0</v>
      </c>
      <c r="J165" s="8">
        <f>SUM('Model inputs'!J166,'Model inputs'!J167,'Model inputs'!J168)</f>
        <v>0</v>
      </c>
      <c r="K165" s="8">
        <f>SUM('Model inputs'!K166,'Model inputs'!K167,'Model inputs'!K168)</f>
        <v>0</v>
      </c>
      <c r="L165" s="8">
        <f>IF('Model inputs'!L93="","",'Model inputs'!L93)</f>
        <v>0</v>
      </c>
      <c r="M165" s="8">
        <f>IF('Model inputs'!M93="","",'Model inputs'!M93)</f>
        <v>0</v>
      </c>
      <c r="N165" s="8">
        <f>IF('Model inputs'!N93="","",'Model inputs'!N93)</f>
        <v>0</v>
      </c>
      <c r="O165" s="8">
        <f>IF('Model inputs'!O93="","",'Model inputs'!O93)</f>
        <v>0</v>
      </c>
      <c r="P165" s="8">
        <f>IF('Model inputs'!P93="","",'Model inputs'!P93)</f>
        <v>0.2916666666666667</v>
      </c>
      <c r="Q165" s="8">
        <f>IF('Model inputs'!Q93="","",'Model inputs'!Q93)</f>
        <v>0.5333125</v>
      </c>
      <c r="R165" s="8">
        <f>IF('Model inputs'!R93="","",'Model inputs'!R93)</f>
        <v>0.6948002488425927</v>
      </c>
      <c r="S165" s="8">
        <f>IF('Model inputs'!S93="","",'Model inputs'!S93)</f>
        <v>0.8623815489824461</v>
      </c>
      <c r="T165" s="8">
        <f>IF('Model inputs'!T93="","",'Model inputs'!T93)</f>
        <v>1.0370073007913894</v>
      </c>
      <c r="U165" s="8">
        <f>IF('Model inputs'!U93="","",'Model inputs'!U93)</f>
        <v>1.2196778790980267</v>
      </c>
      <c r="V165" s="8">
        <f>IF('Model inputs'!V93="","",'Model inputs'!V93)</f>
        <v>1.4114491758402756</v>
      </c>
      <c r="W165" s="8">
        <f>IF('Model inputs'!W93="","",'Model inputs'!W93)</f>
        <v>1.6134390223399573</v>
      </c>
      <c r="X165" s="8">
        <f>IF('Model inputs'!X93="","",'Model inputs'!X93)</f>
        <v>1.8268340318695697</v>
      </c>
      <c r="Y165" s="8">
        <f>IF('Model inputs'!Y93="","",'Model inputs'!Y93)</f>
        <v>2.0400098731409044</v>
      </c>
      <c r="Z165" s="8">
        <f>IF('Model inputs'!Z93="","",'Model inputs'!Z93)</f>
        <v>2.2535015079062166</v>
      </c>
      <c r="AA165" s="8">
        <f>IF('Model inputs'!AA93="","",'Model inputs'!AA93)</f>
        <v>2.467830412305536</v>
      </c>
      <c r="AB165" s="8">
        <f>IF('Model inputs'!AB93="","",'Model inputs'!AB93)</f>
        <v>2.683506316427823</v>
      </c>
      <c r="AC165" s="8">
        <f>IF('Model inputs'!AC93="","",'Model inputs'!AC93)</f>
        <v>2.9010288631150405</v>
      </c>
      <c r="AD165" s="8">
        <f>IF('Model inputs'!AD93="","",'Model inputs'!AD93)</f>
        <v>3.12088919274707</v>
      </c>
      <c r="AE165" s="8">
        <f>IF('Model inputs'!AE93="","",'Model inputs'!AE93)</f>
        <v>3.3435714603522264</v>
      </c>
      <c r="AF165" s="8">
        <f>IF('Model inputs'!AF93="","",'Model inputs'!AF93)</f>
        <v>3.569554291023361</v>
      </c>
    </row>
    <row r="166" outlineLevel="1">
      <c r="A166" t="inlineStr" s="21">
        <is>
          <t xml:space="preserve">Upgrades out &gt; Indie</t>
        </is>
      </c>
      <c r="B166" s="10">
        <f>IF(IF(IF(ISERROR('Model inputs'!B55&lt;1),'Model inputs'!B55&lt;1,IF('Model inputs'!B55="","",'Model inputs'!B55&lt;1))="",FALSE,IF(ISERROR('Model inputs'!B55&lt;1),'Model inputs'!B55&lt;1,IF('Model inputs'!B55="","",'Model inputs'!B55&lt;1))),0,IF('Model inputs'!B73="",0,'Model inputs'!B73)*'Model inputs'!AG19/12)</f>
        <v>0</v>
      </c>
      <c r="C166" s="10">
        <f>IF(IF(IF(ISERROR('Model inputs'!C55&lt;1),'Model inputs'!C55&lt;1,IF('Model inputs'!C55="","",'Model inputs'!C55&lt;1))="",FALSE,IF(ISERROR('Model inputs'!C55&lt;1),'Model inputs'!C55&lt;1,IF('Model inputs'!C55="","",'Model inputs'!C55&lt;1))),0,'Model inputs'!C73*'Model inputs'!AG19/12)</f>
        <v>0</v>
      </c>
      <c r="D166" s="10">
        <f>IF(IF(IF(ISERROR('Model inputs'!D55&lt;1),'Model inputs'!D55&lt;1,IF('Model inputs'!D55="","",'Model inputs'!D55&lt;1))="",FALSE,IF(ISERROR('Model inputs'!D55&lt;1),'Model inputs'!D55&lt;1,IF('Model inputs'!D55="","",'Model inputs'!D55&lt;1))),0,'Model inputs'!D73*'Model inputs'!AG19/12)</f>
        <v>0</v>
      </c>
      <c r="E166" s="10">
        <f>IF(IF(IF(ISERROR('Model inputs'!E55&lt;1),'Model inputs'!E55&lt;1,IF('Model inputs'!E55="","",'Model inputs'!E55&lt;1))="",FALSE,IF(ISERROR('Model inputs'!E55&lt;1),'Model inputs'!E55&lt;1,IF('Model inputs'!E55="","",'Model inputs'!E55&lt;1))),0,'Model inputs'!E73*'Model inputs'!AG19/12)</f>
        <v>0</v>
      </c>
      <c r="F166" s="10">
        <f>IF(IF(IF(ISERROR('Model inputs'!F55&lt;1),'Model inputs'!F55&lt;1,IF('Model inputs'!F55="","",'Model inputs'!F55&lt;1))="",FALSE,IF(ISERROR('Model inputs'!F55&lt;1),'Model inputs'!F55&lt;1,IF('Model inputs'!F55="","",'Model inputs'!F55&lt;1))),0,'Model inputs'!F73*'Model inputs'!AG19/12)</f>
        <v>0</v>
      </c>
      <c r="G166" s="10">
        <f>IF(IF(IF(ISERROR('Model inputs'!G55&lt;1),'Model inputs'!G55&lt;1,IF('Model inputs'!G55="","",'Model inputs'!G55&lt;1))="",FALSE,IF(ISERROR('Model inputs'!G55&lt;1),'Model inputs'!G55&lt;1,IF('Model inputs'!G55="","",'Model inputs'!G55&lt;1))),0,'Model inputs'!G73*'Model inputs'!AG19/12)</f>
        <v>0</v>
      </c>
      <c r="H166" s="10">
        <f>IF(IF(IF(ISERROR('Model inputs'!H55&lt;1),'Model inputs'!H55&lt;1,IF('Model inputs'!H55="","",'Model inputs'!H55&lt;1))="",FALSE,IF(ISERROR('Model inputs'!H55&lt;1),'Model inputs'!H55&lt;1,IF('Model inputs'!H55="","",'Model inputs'!H55&lt;1))),0,'Model inputs'!H73*'Model inputs'!AG19/12)</f>
        <v>0</v>
      </c>
      <c r="I166" s="10">
        <f>IF(IF(IF(ISERROR('Model inputs'!I55&lt;1),'Model inputs'!I55&lt;1,IF('Model inputs'!I55="","",'Model inputs'!I55&lt;1))="",FALSE,IF(ISERROR('Model inputs'!I55&lt;1),'Model inputs'!I55&lt;1,IF('Model inputs'!I55="","",'Model inputs'!I55&lt;1))),0,'Model inputs'!I73*'Model inputs'!AG19/12)</f>
        <v>0</v>
      </c>
      <c r="J166" s="10">
        <f>IF(IF(IF(ISERROR('Model inputs'!J55&lt;1),'Model inputs'!J55&lt;1,IF('Model inputs'!J55="","",'Model inputs'!J55&lt;1))="",FALSE,IF(ISERROR('Model inputs'!J55&lt;1),'Model inputs'!J55&lt;1,IF('Model inputs'!J55="","",'Model inputs'!J55&lt;1))),0,'Model inputs'!J73*'Model inputs'!AG19/12)</f>
        <v>0</v>
      </c>
      <c r="K166" s="10">
        <f>IF(IF(IF(ISERROR('Model inputs'!K55&lt;1),'Model inputs'!K55&lt;1,IF('Model inputs'!K55="","",'Model inputs'!K55&lt;1))="",FALSE,IF(ISERROR('Model inputs'!K55&lt;1),'Model inputs'!K55&lt;1,IF('Model inputs'!K55="","",'Model inputs'!K55&lt;1))),0,'Model inputs'!K73*'Model inputs'!AG19/12)</f>
        <v>0</v>
      </c>
      <c r="L166" s="10">
        <f>IF('Model inputs'!L94="","",'Model inputs'!L94)</f>
        <v>0</v>
      </c>
      <c r="M166" s="10">
        <f>IF('Model inputs'!M94="","",'Model inputs'!M94)</f>
        <v>0</v>
      </c>
      <c r="N166" s="10">
        <f>IF('Model inputs'!N94="","",'Model inputs'!N94)</f>
        <v>0</v>
      </c>
      <c r="O166" s="10">
        <f>IF('Model inputs'!O94="","",'Model inputs'!O94)</f>
        <v>0</v>
      </c>
      <c r="P166" s="10">
        <f>IF('Model inputs'!P94="","",'Model inputs'!P94)</f>
        <v>0.26666666666666666</v>
      </c>
      <c r="Q166" s="10">
        <f>IF('Model inputs'!Q94="","",'Model inputs'!Q94)</f>
        <v>0.4955555555555555</v>
      </c>
      <c r="R166" s="10">
        <f>IF('Model inputs'!R94="","",'Model inputs'!R94)</f>
        <v>0.6425185185185186</v>
      </c>
      <c r="S166" s="10">
        <f>IF('Model inputs'!S94="","",'Model inputs'!S94)</f>
        <v>0.7940839506172841</v>
      </c>
      <c r="T166" s="10">
        <f>IF('Model inputs'!T94="","",'Model inputs'!T94)</f>
        <v>0.9510970205761318</v>
      </c>
      <c r="U166" s="10">
        <f>IF('Model inputs'!U94="","",'Model inputs'!U94)</f>
        <v>1.114438712537723</v>
      </c>
      <c r="V166" s="10">
        <f>IF('Model inputs'!V94="","",'Model inputs'!V94)</f>
        <v>1.2850308111685418</v>
      </c>
      <c r="W166" s="10">
        <f>IF('Model inputs'!W94="","",'Model inputs'!W94)</f>
        <v>1.4638411442479722</v>
      </c>
      <c r="X166" s="10">
        <f>IF('Model inputs'!X94="","",'Model inputs'!X94)</f>
        <v>1.6518891127613609</v>
      </c>
      <c r="Y166" s="10">
        <f>IF('Model inputs'!Y94="","",'Model inputs'!Y94)</f>
        <v>1.8388260451657203</v>
      </c>
      <c r="Z166" s="10">
        <f>IF('Model inputs'!Z94="","",'Model inputs'!Z94)</f>
        <v>2.0251830303399943</v>
      </c>
      <c r="AA166" s="10">
        <f>IF('Model inputs'!AA94="","",'Model inputs'!AA94)</f>
        <v>2.211474032030063</v>
      </c>
      <c r="AB166" s="10">
        <f>IF('Model inputs'!AB94="","",'Model inputs'!AB94)</f>
        <v>2.398197761755969</v>
      </c>
      <c r="AC166" s="10">
        <f>IF('Model inputs'!AC94="","",'Model inputs'!AC94)</f>
        <v>2.5858394561079314</v>
      </c>
      <c r="AD166" s="10">
        <f>IF('Model inputs'!AD94="","",'Model inputs'!AD94)</f>
        <v>2.774872565975191</v>
      </c>
      <c r="AE166" s="10">
        <f>IF('Model inputs'!AE94="","",'Model inputs'!AE94)</f>
        <v>2.9657603647956114</v>
      </c>
      <c r="AF166" s="10">
        <f>IF('Model inputs'!AF94="","",'Model inputs'!AF94)</f>
        <v>3.158957482490088</v>
      </c>
    </row>
    <row r="167" outlineLevel="1">
      <c r="A167" t="inlineStr" s="21">
        <is>
          <t xml:space="preserve">Upgrades out &gt; Launch</t>
        </is>
      </c>
      <c r="B167" s="10">
        <f>IF(IF(IF(ISERROR('Model inputs'!B55&lt;1),'Model inputs'!B55&lt;1,IF('Model inputs'!B55="","",'Model inputs'!B55&lt;1))="",FALSE,IF(ISERROR('Model inputs'!B55&lt;1),'Model inputs'!B55&lt;1,IF('Model inputs'!B55="","",'Model inputs'!B55&lt;1))),0,IF('Model inputs'!B74="",0,'Model inputs'!B74)*'Model inputs'!AG20/12)</f>
        <v>0</v>
      </c>
      <c r="C167" s="10">
        <f>IF(IF(IF(ISERROR('Model inputs'!C55&lt;1),'Model inputs'!C55&lt;1,IF('Model inputs'!C55="","",'Model inputs'!C55&lt;1))="",FALSE,IF(ISERROR('Model inputs'!C55&lt;1),'Model inputs'!C55&lt;1,IF('Model inputs'!C55="","",'Model inputs'!C55&lt;1))),0,'Model inputs'!C74*'Model inputs'!AG20/12)</f>
        <v>0</v>
      </c>
      <c r="D167" s="10">
        <f>IF(IF(IF(ISERROR('Model inputs'!D55&lt;1),'Model inputs'!D55&lt;1,IF('Model inputs'!D55="","",'Model inputs'!D55&lt;1))="",FALSE,IF(ISERROR('Model inputs'!D55&lt;1),'Model inputs'!D55&lt;1,IF('Model inputs'!D55="","",'Model inputs'!D55&lt;1))),0,'Model inputs'!D74*'Model inputs'!AG20/12)</f>
        <v>0</v>
      </c>
      <c r="E167" s="10">
        <f>IF(IF(IF(ISERROR('Model inputs'!E55&lt;1),'Model inputs'!E55&lt;1,IF('Model inputs'!E55="","",'Model inputs'!E55&lt;1))="",FALSE,IF(ISERROR('Model inputs'!E55&lt;1),'Model inputs'!E55&lt;1,IF('Model inputs'!E55="","",'Model inputs'!E55&lt;1))),0,'Model inputs'!E74*'Model inputs'!AG20/12)</f>
        <v>0</v>
      </c>
      <c r="F167" s="10">
        <f>IF(IF(IF(ISERROR('Model inputs'!F55&lt;1),'Model inputs'!F55&lt;1,IF('Model inputs'!F55="","",'Model inputs'!F55&lt;1))="",FALSE,IF(ISERROR('Model inputs'!F55&lt;1),'Model inputs'!F55&lt;1,IF('Model inputs'!F55="","",'Model inputs'!F55&lt;1))),0,'Model inputs'!F74*'Model inputs'!AG20/12)</f>
        <v>0</v>
      </c>
      <c r="G167" s="10">
        <f>IF(IF(IF(ISERROR('Model inputs'!G55&lt;1),'Model inputs'!G55&lt;1,IF('Model inputs'!G55="","",'Model inputs'!G55&lt;1))="",FALSE,IF(ISERROR('Model inputs'!G55&lt;1),'Model inputs'!G55&lt;1,IF('Model inputs'!G55="","",'Model inputs'!G55&lt;1))),0,'Model inputs'!G74*'Model inputs'!AG20/12)</f>
        <v>0</v>
      </c>
      <c r="H167" s="10">
        <f>IF(IF(IF(ISERROR('Model inputs'!H55&lt;1),'Model inputs'!H55&lt;1,IF('Model inputs'!H55="","",'Model inputs'!H55&lt;1))="",FALSE,IF(ISERROR('Model inputs'!H55&lt;1),'Model inputs'!H55&lt;1,IF('Model inputs'!H55="","",'Model inputs'!H55&lt;1))),0,'Model inputs'!H74*'Model inputs'!AG20/12)</f>
        <v>0</v>
      </c>
      <c r="I167" s="10">
        <f>IF(IF(IF(ISERROR('Model inputs'!I55&lt;1),'Model inputs'!I55&lt;1,IF('Model inputs'!I55="","",'Model inputs'!I55&lt;1))="",FALSE,IF(ISERROR('Model inputs'!I55&lt;1),'Model inputs'!I55&lt;1,IF('Model inputs'!I55="","",'Model inputs'!I55&lt;1))),0,'Model inputs'!I74*'Model inputs'!AG20/12)</f>
        <v>0</v>
      </c>
      <c r="J167" s="10">
        <f>IF(IF(IF(ISERROR('Model inputs'!J55&lt;1),'Model inputs'!J55&lt;1,IF('Model inputs'!J55="","",'Model inputs'!J55&lt;1))="",FALSE,IF(ISERROR('Model inputs'!J55&lt;1),'Model inputs'!J55&lt;1,IF('Model inputs'!J55="","",'Model inputs'!J55&lt;1))),0,'Model inputs'!J74*'Model inputs'!AG20/12)</f>
        <v>0</v>
      </c>
      <c r="K167" s="10">
        <f>IF(IF(IF(ISERROR('Model inputs'!K55&lt;1),'Model inputs'!K55&lt;1,IF('Model inputs'!K55="","",'Model inputs'!K55&lt;1))="",FALSE,IF(ISERROR('Model inputs'!K55&lt;1),'Model inputs'!K55&lt;1,IF('Model inputs'!K55="","",'Model inputs'!K55&lt;1))),0,'Model inputs'!K74*'Model inputs'!AG20/12)</f>
        <v>0</v>
      </c>
      <c r="L167" s="10">
        <f>IF('Model inputs'!L95="","",'Model inputs'!L95)</f>
        <v>0</v>
      </c>
      <c r="M167" s="10">
        <f>IF('Model inputs'!M95="","",'Model inputs'!M95)</f>
        <v>0</v>
      </c>
      <c r="N167" s="10">
        <f>IF('Model inputs'!N95="","",'Model inputs'!N95)</f>
        <v>0</v>
      </c>
      <c r="O167" s="10">
        <f>IF('Model inputs'!O95="","",'Model inputs'!O95)</f>
        <v>0</v>
      </c>
      <c r="P167" s="10">
        <f>IF('Model inputs'!P95="","",'Model inputs'!P95)</f>
        <v>0</v>
      </c>
      <c r="Q167" s="10">
        <f>IF('Model inputs'!Q95="","",'Model inputs'!Q95)</f>
        <v>0</v>
      </c>
      <c r="R167" s="10">
        <f>IF('Model inputs'!R95="","",'Model inputs'!R95)</f>
        <v>0</v>
      </c>
      <c r="S167" s="10">
        <f>IF('Model inputs'!S95="","",'Model inputs'!S95)</f>
        <v>0</v>
      </c>
      <c r="T167" s="10">
        <f>IF('Model inputs'!T95="","",'Model inputs'!T95)</f>
        <v>0</v>
      </c>
      <c r="U167" s="10">
        <f>IF('Model inputs'!U95="","",'Model inputs'!U95)</f>
        <v>0</v>
      </c>
      <c r="V167" s="10">
        <f>IF('Model inputs'!V95="","",'Model inputs'!V95)</f>
        <v>0</v>
      </c>
      <c r="W167" s="10">
        <f>IF('Model inputs'!W95="","",'Model inputs'!W95)</f>
        <v>0</v>
      </c>
      <c r="X167" s="10">
        <f>IF('Model inputs'!X95="","",'Model inputs'!X95)</f>
        <v>0</v>
      </c>
      <c r="Y167" s="10">
        <f>IF('Model inputs'!Y95="","",'Model inputs'!Y95)</f>
        <v>0</v>
      </c>
      <c r="Z167" s="10">
        <f>IF('Model inputs'!Z95="","",'Model inputs'!Z95)</f>
        <v>0</v>
      </c>
      <c r="AA167" s="10">
        <f>IF('Model inputs'!AA95="","",'Model inputs'!AA95)</f>
        <v>0</v>
      </c>
      <c r="AB167" s="10">
        <f>IF('Model inputs'!AB95="","",'Model inputs'!AB95)</f>
        <v>0</v>
      </c>
      <c r="AC167" s="10">
        <f>IF('Model inputs'!AC95="","",'Model inputs'!AC95)</f>
        <v>0</v>
      </c>
      <c r="AD167" s="10">
        <f>IF('Model inputs'!AD95="","",'Model inputs'!AD95)</f>
        <v>0</v>
      </c>
      <c r="AE167" s="10">
        <f>IF('Model inputs'!AE95="","",'Model inputs'!AE95)</f>
        <v>0</v>
      </c>
      <c r="AF167" s="10">
        <f>IF('Model inputs'!AF95="","",'Model inputs'!AF95)</f>
        <v>0</v>
      </c>
    </row>
    <row r="168" outlineLevel="1">
      <c r="A168" t="inlineStr" s="21">
        <is>
          <t xml:space="preserve">Upgrades out &gt; Team</t>
        </is>
      </c>
      <c r="B168" s="10">
        <f>IF(IF(IF(ISERROR('Model inputs'!B55&lt;1),'Model inputs'!B55&lt;1,IF('Model inputs'!B55="","",'Model inputs'!B55&lt;1))="",FALSE,IF(ISERROR('Model inputs'!B55&lt;1),'Model inputs'!B55&lt;1,IF('Model inputs'!B55="","",'Model inputs'!B55&lt;1))),0,IF('Model inputs'!B75="",0,'Model inputs'!B75)*'Model inputs'!AG21/12)</f>
        <v>0</v>
      </c>
      <c r="C168" s="10">
        <f>IF(IF(IF(ISERROR('Model inputs'!C55&lt;1),'Model inputs'!C55&lt;1,IF('Model inputs'!C55="","",'Model inputs'!C55&lt;1))="",FALSE,IF(ISERROR('Model inputs'!C55&lt;1),'Model inputs'!C55&lt;1,IF('Model inputs'!C55="","",'Model inputs'!C55&lt;1))),0,'Model inputs'!C75*'Model inputs'!AG21/12)</f>
        <v>0</v>
      </c>
      <c r="D168" s="10">
        <f>IF(IF(IF(ISERROR('Model inputs'!D55&lt;1),'Model inputs'!D55&lt;1,IF('Model inputs'!D55="","",'Model inputs'!D55&lt;1))="",FALSE,IF(ISERROR('Model inputs'!D55&lt;1),'Model inputs'!D55&lt;1,IF('Model inputs'!D55="","",'Model inputs'!D55&lt;1))),0,'Model inputs'!D75*'Model inputs'!AG21/12)</f>
        <v>0</v>
      </c>
      <c r="E168" s="10">
        <f>IF(IF(IF(ISERROR('Model inputs'!E55&lt;1),'Model inputs'!E55&lt;1,IF('Model inputs'!E55="","",'Model inputs'!E55&lt;1))="",FALSE,IF(ISERROR('Model inputs'!E55&lt;1),'Model inputs'!E55&lt;1,IF('Model inputs'!E55="","",'Model inputs'!E55&lt;1))),0,'Model inputs'!E75*'Model inputs'!AG21/12)</f>
        <v>0</v>
      </c>
      <c r="F168" s="10">
        <f>IF(IF(IF(ISERROR('Model inputs'!F55&lt;1),'Model inputs'!F55&lt;1,IF('Model inputs'!F55="","",'Model inputs'!F55&lt;1))="",FALSE,IF(ISERROR('Model inputs'!F55&lt;1),'Model inputs'!F55&lt;1,IF('Model inputs'!F55="","",'Model inputs'!F55&lt;1))),0,'Model inputs'!F75*'Model inputs'!AG21/12)</f>
        <v>0</v>
      </c>
      <c r="G168" s="10">
        <f>IF(IF(IF(ISERROR('Model inputs'!G55&lt;1),'Model inputs'!G55&lt;1,IF('Model inputs'!G55="","",'Model inputs'!G55&lt;1))="",FALSE,IF(ISERROR('Model inputs'!G55&lt;1),'Model inputs'!G55&lt;1,IF('Model inputs'!G55="","",'Model inputs'!G55&lt;1))),0,'Model inputs'!G75*'Model inputs'!AG21/12)</f>
        <v>0</v>
      </c>
      <c r="H168" s="10">
        <f>IF(IF(IF(ISERROR('Model inputs'!H55&lt;1),'Model inputs'!H55&lt;1,IF('Model inputs'!H55="","",'Model inputs'!H55&lt;1))="",FALSE,IF(ISERROR('Model inputs'!H55&lt;1),'Model inputs'!H55&lt;1,IF('Model inputs'!H55="","",'Model inputs'!H55&lt;1))),0,'Model inputs'!H75*'Model inputs'!AG21/12)</f>
        <v>0</v>
      </c>
      <c r="I168" s="10">
        <f>IF(IF(IF(ISERROR('Model inputs'!I55&lt;1),'Model inputs'!I55&lt;1,IF('Model inputs'!I55="","",'Model inputs'!I55&lt;1))="",FALSE,IF(ISERROR('Model inputs'!I55&lt;1),'Model inputs'!I55&lt;1,IF('Model inputs'!I55="","",'Model inputs'!I55&lt;1))),0,'Model inputs'!I75*'Model inputs'!AG21/12)</f>
        <v>0</v>
      </c>
      <c r="J168" s="10">
        <f>IF(IF(IF(ISERROR('Model inputs'!J55&lt;1),'Model inputs'!J55&lt;1,IF('Model inputs'!J55="","",'Model inputs'!J55&lt;1))="",FALSE,IF(ISERROR('Model inputs'!J55&lt;1),'Model inputs'!J55&lt;1,IF('Model inputs'!J55="","",'Model inputs'!J55&lt;1))),0,'Model inputs'!J75*'Model inputs'!AG21/12)</f>
        <v>0</v>
      </c>
      <c r="K168" s="10">
        <f>IF(IF(IF(ISERROR('Model inputs'!K55&lt;1),'Model inputs'!K55&lt;1,IF('Model inputs'!K55="","",'Model inputs'!K55&lt;1))="",FALSE,IF(ISERROR('Model inputs'!K55&lt;1),'Model inputs'!K55&lt;1,IF('Model inputs'!K55="","",'Model inputs'!K55&lt;1))),0,'Model inputs'!K75*'Model inputs'!AG21/12)</f>
        <v>0</v>
      </c>
      <c r="L168" s="10">
        <f>IF('Model inputs'!L96="","",'Model inputs'!L96)</f>
        <v>0</v>
      </c>
      <c r="M168" s="10">
        <f>IF('Model inputs'!M96="","",'Model inputs'!M96)</f>
        <v>0</v>
      </c>
      <c r="N168" s="10">
        <f>IF('Model inputs'!N96="","",'Model inputs'!N96)</f>
        <v>0</v>
      </c>
      <c r="O168" s="10">
        <f>IF('Model inputs'!O96="","",'Model inputs'!O96)</f>
        <v>0</v>
      </c>
      <c r="P168" s="10">
        <f>IF('Model inputs'!P96="","",'Model inputs'!P96)</f>
        <v>0.025</v>
      </c>
      <c r="Q168" s="10">
        <f>IF('Model inputs'!Q96="","",'Model inputs'!Q96)</f>
        <v>0.03775694444444445</v>
      </c>
      <c r="R168" s="10">
        <f>IF('Model inputs'!R96="","",'Model inputs'!R96)</f>
        <v>0.05228173032407408</v>
      </c>
      <c r="S168" s="10">
        <f>IF('Model inputs'!S96="","",'Model inputs'!S96)</f>
        <v>0.06829759836516204</v>
      </c>
      <c r="T168" s="10">
        <f>IF('Model inputs'!T96="","",'Model inputs'!T96)</f>
        <v>0.08591028021525769</v>
      </c>
      <c r="U168" s="10">
        <f>IF('Model inputs'!U96="","",'Model inputs'!U96)</f>
        <v>0.10523916656030362</v>
      </c>
      <c r="V168" s="10">
        <f>IF('Model inputs'!V96="","",'Model inputs'!V96)</f>
        <v>0.12641836467173376</v>
      </c>
      <c r="W168" s="10">
        <f>IF('Model inputs'!W96="","",'Model inputs'!W96)</f>
        <v>0.1495978780919851</v>
      </c>
      <c r="X168" s="10">
        <f>IF('Model inputs'!X96="","",'Model inputs'!X96)</f>
        <v>0.17494491910820884</v>
      </c>
      <c r="Y168" s="10">
        <f>IF('Model inputs'!Y96="","",'Model inputs'!Y96)</f>
        <v>0.20118382797518408</v>
      </c>
      <c r="Z168" s="10">
        <f>IF('Model inputs'!Z96="","",'Model inputs'!Z96)</f>
        <v>0.22831847756622248</v>
      </c>
      <c r="AA168" s="10">
        <f>IF('Model inputs'!AA96="","",'Model inputs'!AA96)</f>
        <v>0.2563563802754732</v>
      </c>
      <c r="AB168" s="10">
        <f>IF('Model inputs'!AB96="","",'Model inputs'!AB96)</f>
        <v>0.28530855467185373</v>
      </c>
      <c r="AC168" s="10">
        <f>IF('Model inputs'!AC96="","",'Model inputs'!AC96)</f>
        <v>0.3151894070071091</v>
      </c>
      <c r="AD168" s="10">
        <f>IF('Model inputs'!AD96="","",'Model inputs'!AD96)</f>
        <v>0.34601662677187894</v>
      </c>
      <c r="AE168" s="10">
        <f>IF('Model inputs'!AE96="","",'Model inputs'!AE96)</f>
        <v>0.3778110955566152</v>
      </c>
      <c r="AF168" s="10">
        <f>IF('Model inputs'!AF96="","",'Model inputs'!AF96)</f>
        <v>0.41059680853327324</v>
      </c>
    </row>
    <row r="169">
      <c r="A169" t="inlineStr" s="20">
        <is>
          <t xml:space="preserve">Waitlist new logos</t>
        </is>
      </c>
      <c r="B169" s="8">
        <f>SUM('Model inputs'!B170,'Model inputs'!B171,'Model inputs'!B172)</f>
        <v>0</v>
      </c>
      <c r="C169" s="8">
        <f>SUM('Model inputs'!C170,'Model inputs'!C171,'Model inputs'!C172)</f>
        <v>0</v>
      </c>
      <c r="D169" s="8">
        <f>SUM('Model inputs'!D170,'Model inputs'!D171,'Model inputs'!D172)</f>
        <v>0</v>
      </c>
      <c r="E169" s="8">
        <f>SUM('Model inputs'!E170,'Model inputs'!E171,'Model inputs'!E172)</f>
        <v>0</v>
      </c>
      <c r="F169" s="8">
        <f>SUM('Model inputs'!F170,'Model inputs'!F171,'Model inputs'!F172)</f>
        <v>0</v>
      </c>
      <c r="G169" s="8">
        <f>SUM('Model inputs'!G170,'Model inputs'!G171,'Model inputs'!G172)</f>
        <v>0</v>
      </c>
      <c r="H169" s="8">
        <f>SUM('Model inputs'!H170,'Model inputs'!H171,'Model inputs'!H172)</f>
        <v>0</v>
      </c>
      <c r="I169" s="8">
        <f>SUM('Model inputs'!I170,'Model inputs'!I171,'Model inputs'!I172)</f>
        <v>0</v>
      </c>
      <c r="J169" s="8">
        <f>SUM('Model inputs'!J170,'Model inputs'!J171,'Model inputs'!J172)</f>
        <v>0</v>
      </c>
      <c r="K169" s="8">
        <f>SUM('Model inputs'!K170,'Model inputs'!K171,'Model inputs'!K172)</f>
        <v>0</v>
      </c>
      <c r="L169" s="8">
        <f>IF('Model inputs'!L101="","",'Model inputs'!L101)</f>
        <v>0</v>
      </c>
      <c r="M169" s="8">
        <f>IF('Model inputs'!M101="","",'Model inputs'!M101)</f>
        <v>0</v>
      </c>
      <c r="N169" s="8">
        <f>IF('Model inputs'!N101="","",'Model inputs'!N101)</f>
        <v>0</v>
      </c>
      <c r="O169" s="8">
        <f>IF('Model inputs'!O101="","",'Model inputs'!O101)</f>
        <v>0</v>
      </c>
      <c r="P169" s="8">
        <f>IF('Model inputs'!P101="","",'Model inputs'!P101)</f>
        <v>12</v>
      </c>
      <c r="Q169" s="8">
        <f>IF('Model inputs'!Q101="","",'Model inputs'!Q101)</f>
        <v>0</v>
      </c>
      <c r="R169" s="8">
        <f>IF('Model inputs'!R101="","",'Model inputs'!R101)</f>
        <v>0</v>
      </c>
      <c r="S169" s="8">
        <f>IF('Model inputs'!S101="","",'Model inputs'!S101)</f>
        <v>0</v>
      </c>
      <c r="T169" s="8">
        <f>IF('Model inputs'!T101="","",'Model inputs'!T101)</f>
        <v>0</v>
      </c>
      <c r="U169" s="8">
        <f>IF('Model inputs'!U101="","",'Model inputs'!U101)</f>
        <v>0</v>
      </c>
      <c r="V169" s="8">
        <f>IF('Model inputs'!V101="","",'Model inputs'!V101)</f>
        <v>0</v>
      </c>
      <c r="W169" s="8">
        <f>IF('Model inputs'!W101="","",'Model inputs'!W101)</f>
        <v>0</v>
      </c>
      <c r="X169" s="8">
        <f>IF('Model inputs'!X101="","",'Model inputs'!X101)</f>
        <v>0</v>
      </c>
      <c r="Y169" s="8">
        <f>IF('Model inputs'!Y101="","",'Model inputs'!Y101)</f>
        <v>0</v>
      </c>
      <c r="Z169" s="8">
        <f>IF('Model inputs'!Z101="","",'Model inputs'!Z101)</f>
        <v>0</v>
      </c>
      <c r="AA169" s="8">
        <f>IF('Model inputs'!AA101="","",'Model inputs'!AA101)</f>
        <v>0</v>
      </c>
      <c r="AB169" s="8">
        <f>IF('Model inputs'!AB101="","",'Model inputs'!AB101)</f>
        <v>0</v>
      </c>
      <c r="AC169" s="8">
        <f>IF('Model inputs'!AC101="","",'Model inputs'!AC101)</f>
        <v>0</v>
      </c>
      <c r="AD169" s="8">
        <f>IF('Model inputs'!AD101="","",'Model inputs'!AD101)</f>
        <v>0</v>
      </c>
      <c r="AE169" s="8">
        <f>IF('Model inputs'!AE101="","",'Model inputs'!AE101)</f>
        <v>0</v>
      </c>
      <c r="AF169" s="8">
        <f>IF('Model inputs'!AF101="","",'Model inputs'!AF101)</f>
        <v>0</v>
      </c>
    </row>
    <row r="170" outlineLevel="1">
      <c r="A170" t="inlineStr" s="21">
        <is>
          <t xml:space="preserve">Waitlist new logos &gt; Indie</t>
        </is>
      </c>
      <c r="B170" s="10">
        <f>IF(IF(IF(ISERROR('Model inputs'!B55=1),'Model inputs'!B55=1,IF('Model inputs'!B55="","",'Model inputs'!B55=1))="",FALSE,IF(ISERROR('Model inputs'!B55=1),'Model inputs'!B55=1,IF('Model inputs'!B55="","",'Model inputs'!B55=1))),IF('Model inputs'!AG98="","",'Model inputs'!AG98),0)</f>
        <v>0</v>
      </c>
      <c r="C170" s="10">
        <f>IF(IF(IF(ISERROR('Model inputs'!C55=1),'Model inputs'!C55=1,IF('Model inputs'!C55="","",'Model inputs'!C55=1))="",FALSE,IF(ISERROR('Model inputs'!C55=1),'Model inputs'!C55=1,IF('Model inputs'!C55="","",'Model inputs'!C55=1))),IF('Model inputs'!AG98="","",'Model inputs'!AG98),0)</f>
        <v>0</v>
      </c>
      <c r="D170" s="10">
        <f>IF(IF(IF(ISERROR('Model inputs'!D55=1),'Model inputs'!D55=1,IF('Model inputs'!D55="","",'Model inputs'!D55=1))="",FALSE,IF(ISERROR('Model inputs'!D55=1),'Model inputs'!D55=1,IF('Model inputs'!D55="","",'Model inputs'!D55=1))),IF('Model inputs'!AG98="","",'Model inputs'!AG98),0)</f>
        <v>0</v>
      </c>
      <c r="E170" s="10">
        <f>IF(IF(IF(ISERROR('Model inputs'!E55=1),'Model inputs'!E55=1,IF('Model inputs'!E55="","",'Model inputs'!E55=1))="",FALSE,IF(ISERROR('Model inputs'!E55=1),'Model inputs'!E55=1,IF('Model inputs'!E55="","",'Model inputs'!E55=1))),IF('Model inputs'!AG98="","",'Model inputs'!AG98),0)</f>
        <v>0</v>
      </c>
      <c r="F170" s="10">
        <f>IF(IF(IF(ISERROR('Model inputs'!F55=1),'Model inputs'!F55=1,IF('Model inputs'!F55="","",'Model inputs'!F55=1))="",FALSE,IF(ISERROR('Model inputs'!F55=1),'Model inputs'!F55=1,IF('Model inputs'!F55="","",'Model inputs'!F55=1))),IF('Model inputs'!AG98="","",'Model inputs'!AG98),0)</f>
        <v>0</v>
      </c>
      <c r="G170" s="10">
        <f>IF(IF(IF(ISERROR('Model inputs'!G55=1),'Model inputs'!G55=1,IF('Model inputs'!G55="","",'Model inputs'!G55=1))="",FALSE,IF(ISERROR('Model inputs'!G55=1),'Model inputs'!G55=1,IF('Model inputs'!G55="","",'Model inputs'!G55=1))),IF('Model inputs'!AG98="","",'Model inputs'!AG98),0)</f>
        <v>0</v>
      </c>
      <c r="H170" s="10">
        <f>IF(IF(IF(ISERROR('Model inputs'!H55=1),'Model inputs'!H55=1,IF('Model inputs'!H55="","",'Model inputs'!H55=1))="",FALSE,IF(ISERROR('Model inputs'!H55=1),'Model inputs'!H55=1,IF('Model inputs'!H55="","",'Model inputs'!H55=1))),IF('Model inputs'!AG98="","",'Model inputs'!AG98),0)</f>
        <v>0</v>
      </c>
      <c r="I170" s="10">
        <f>IF(IF(IF(ISERROR('Model inputs'!I55=1),'Model inputs'!I55=1,IF('Model inputs'!I55="","",'Model inputs'!I55=1))="",FALSE,IF(ISERROR('Model inputs'!I55=1),'Model inputs'!I55=1,IF('Model inputs'!I55="","",'Model inputs'!I55=1))),IF('Model inputs'!AG98="","",'Model inputs'!AG98),0)</f>
        <v>0</v>
      </c>
      <c r="J170" s="10">
        <f>IF(IF(IF(ISERROR('Model inputs'!J55=1),'Model inputs'!J55=1,IF('Model inputs'!J55="","",'Model inputs'!J55=1))="",FALSE,IF(ISERROR('Model inputs'!J55=1),'Model inputs'!J55=1,IF('Model inputs'!J55="","",'Model inputs'!J55=1))),IF('Model inputs'!AG98="","",'Model inputs'!AG98),0)</f>
        <v>0</v>
      </c>
      <c r="K170" s="10">
        <f>IF(IF(IF(ISERROR('Model inputs'!K55=1),'Model inputs'!K55=1,IF('Model inputs'!K55="","",'Model inputs'!K55=1))="",FALSE,IF(ISERROR('Model inputs'!K55=1),'Model inputs'!K55=1,IF('Model inputs'!K55="","",'Model inputs'!K55=1))),IF('Model inputs'!AG98="","",'Model inputs'!AG98),0)</f>
        <v>0</v>
      </c>
      <c r="L170" s="10">
        <f>IF('Model inputs'!L102="","",'Model inputs'!L102)</f>
        <v>0</v>
      </c>
      <c r="M170" s="10">
        <f>IF('Model inputs'!M102="","",'Model inputs'!M102)</f>
        <v>0</v>
      </c>
      <c r="N170" s="10">
        <f>IF('Model inputs'!N102="","",'Model inputs'!N102)</f>
        <v>0</v>
      </c>
      <c r="O170" s="10">
        <f>IF('Model inputs'!O102="","",'Model inputs'!O102)</f>
        <v>0</v>
      </c>
      <c r="P170" s="10">
        <f>IF('Model inputs'!P102="","",'Model inputs'!P102)</f>
        <v>12</v>
      </c>
      <c r="Q170" s="10">
        <f>IF('Model inputs'!Q102="","",'Model inputs'!Q102)</f>
        <v>0</v>
      </c>
      <c r="R170" s="10">
        <f>IF('Model inputs'!R102="","",'Model inputs'!R102)</f>
        <v>0</v>
      </c>
      <c r="S170" s="10">
        <f>IF('Model inputs'!S102="","",'Model inputs'!S102)</f>
        <v>0</v>
      </c>
      <c r="T170" s="10">
        <f>IF('Model inputs'!T102="","",'Model inputs'!T102)</f>
        <v>0</v>
      </c>
      <c r="U170" s="10">
        <f>IF('Model inputs'!U102="","",'Model inputs'!U102)</f>
        <v>0</v>
      </c>
      <c r="V170" s="10">
        <f>IF('Model inputs'!V102="","",'Model inputs'!V102)</f>
        <v>0</v>
      </c>
      <c r="W170" s="10">
        <f>IF('Model inputs'!W102="","",'Model inputs'!W102)</f>
        <v>0</v>
      </c>
      <c r="X170" s="10">
        <f>IF('Model inputs'!X102="","",'Model inputs'!X102)</f>
        <v>0</v>
      </c>
      <c r="Y170" s="10">
        <f>IF('Model inputs'!Y102="","",'Model inputs'!Y102)</f>
        <v>0</v>
      </c>
      <c r="Z170" s="10">
        <f>IF('Model inputs'!Z102="","",'Model inputs'!Z102)</f>
        <v>0</v>
      </c>
      <c r="AA170" s="10">
        <f>IF('Model inputs'!AA102="","",'Model inputs'!AA102)</f>
        <v>0</v>
      </c>
      <c r="AB170" s="10">
        <f>IF('Model inputs'!AB102="","",'Model inputs'!AB102)</f>
        <v>0</v>
      </c>
      <c r="AC170" s="10">
        <f>IF('Model inputs'!AC102="","",'Model inputs'!AC102)</f>
        <v>0</v>
      </c>
      <c r="AD170" s="10">
        <f>IF('Model inputs'!AD102="","",'Model inputs'!AD102)</f>
        <v>0</v>
      </c>
      <c r="AE170" s="10">
        <f>IF('Model inputs'!AE102="","",'Model inputs'!AE102)</f>
        <v>0</v>
      </c>
      <c r="AF170" s="10">
        <f>IF('Model inputs'!AF102="","",'Model inputs'!AF102)</f>
        <v>0</v>
      </c>
    </row>
    <row r="171" outlineLevel="1">
      <c r="A171" t="inlineStr" s="21">
        <is>
          <t xml:space="preserve">Waitlist new logos &gt; Launch</t>
        </is>
      </c>
      <c r="B171" s="10">
        <f>IF(IF(IF(ISERROR('Model inputs'!B55=1),'Model inputs'!B55=1,IF('Model inputs'!B55="","",'Model inputs'!B55=1))="",FALSE,IF(ISERROR('Model inputs'!B55=1),'Model inputs'!B55=1,IF('Model inputs'!B55="","",'Model inputs'!B55=1))),IF('Model inputs'!AG99="","",'Model inputs'!AG99),0)</f>
        <v>0</v>
      </c>
      <c r="C171" s="10">
        <f>IF(IF(IF(ISERROR('Model inputs'!C55=1),'Model inputs'!C55=1,IF('Model inputs'!C55="","",'Model inputs'!C55=1))="",FALSE,IF(ISERROR('Model inputs'!C55=1),'Model inputs'!C55=1,IF('Model inputs'!C55="","",'Model inputs'!C55=1))),IF('Model inputs'!AG99="","",'Model inputs'!AG99),0)</f>
        <v>0</v>
      </c>
      <c r="D171" s="10">
        <f>IF(IF(IF(ISERROR('Model inputs'!D55=1),'Model inputs'!D55=1,IF('Model inputs'!D55="","",'Model inputs'!D55=1))="",FALSE,IF(ISERROR('Model inputs'!D55=1),'Model inputs'!D55=1,IF('Model inputs'!D55="","",'Model inputs'!D55=1))),IF('Model inputs'!AG99="","",'Model inputs'!AG99),0)</f>
        <v>0</v>
      </c>
      <c r="E171" s="10">
        <f>IF(IF(IF(ISERROR('Model inputs'!E55=1),'Model inputs'!E55=1,IF('Model inputs'!E55="","",'Model inputs'!E55=1))="",FALSE,IF(ISERROR('Model inputs'!E55=1),'Model inputs'!E55=1,IF('Model inputs'!E55="","",'Model inputs'!E55=1))),IF('Model inputs'!AG99="","",'Model inputs'!AG99),0)</f>
        <v>0</v>
      </c>
      <c r="F171" s="10">
        <f>IF(IF(IF(ISERROR('Model inputs'!F55=1),'Model inputs'!F55=1,IF('Model inputs'!F55="","",'Model inputs'!F55=1))="",FALSE,IF(ISERROR('Model inputs'!F55=1),'Model inputs'!F55=1,IF('Model inputs'!F55="","",'Model inputs'!F55=1))),IF('Model inputs'!AG99="","",'Model inputs'!AG99),0)</f>
        <v>0</v>
      </c>
      <c r="G171" s="10">
        <f>IF(IF(IF(ISERROR('Model inputs'!G55=1),'Model inputs'!G55=1,IF('Model inputs'!G55="","",'Model inputs'!G55=1))="",FALSE,IF(ISERROR('Model inputs'!G55=1),'Model inputs'!G55=1,IF('Model inputs'!G55="","",'Model inputs'!G55=1))),IF('Model inputs'!AG99="","",'Model inputs'!AG99),0)</f>
        <v>0</v>
      </c>
      <c r="H171" s="10">
        <f>IF(IF(IF(ISERROR('Model inputs'!H55=1),'Model inputs'!H55=1,IF('Model inputs'!H55="","",'Model inputs'!H55=1))="",FALSE,IF(ISERROR('Model inputs'!H55=1),'Model inputs'!H55=1,IF('Model inputs'!H55="","",'Model inputs'!H55=1))),IF('Model inputs'!AG99="","",'Model inputs'!AG99),0)</f>
        <v>0</v>
      </c>
      <c r="I171" s="10">
        <f>IF(IF(IF(ISERROR('Model inputs'!I55=1),'Model inputs'!I55=1,IF('Model inputs'!I55="","",'Model inputs'!I55=1))="",FALSE,IF(ISERROR('Model inputs'!I55=1),'Model inputs'!I55=1,IF('Model inputs'!I55="","",'Model inputs'!I55=1))),IF('Model inputs'!AG99="","",'Model inputs'!AG99),0)</f>
        <v>0</v>
      </c>
      <c r="J171" s="10">
        <f>IF(IF(IF(ISERROR('Model inputs'!J55=1),'Model inputs'!J55=1,IF('Model inputs'!J55="","",'Model inputs'!J55=1))="",FALSE,IF(ISERROR('Model inputs'!J55=1),'Model inputs'!J55=1,IF('Model inputs'!J55="","",'Model inputs'!J55=1))),IF('Model inputs'!AG99="","",'Model inputs'!AG99),0)</f>
        <v>0</v>
      </c>
      <c r="K171" s="10">
        <f>IF(IF(IF(ISERROR('Model inputs'!K55=1),'Model inputs'!K55=1,IF('Model inputs'!K55="","",'Model inputs'!K55=1))="",FALSE,IF(ISERROR('Model inputs'!K55=1),'Model inputs'!K55=1,IF('Model inputs'!K55="","",'Model inputs'!K55=1))),IF('Model inputs'!AG99="","",'Model inputs'!AG99),0)</f>
        <v>0</v>
      </c>
      <c r="L171" s="10">
        <f>IF('Model inputs'!L103="","",'Model inputs'!L103)</f>
        <v>0</v>
      </c>
      <c r="M171" s="10">
        <f>IF('Model inputs'!M103="","",'Model inputs'!M103)</f>
        <v>0</v>
      </c>
      <c r="N171" s="10">
        <f>IF('Model inputs'!N103="","",'Model inputs'!N103)</f>
        <v>0</v>
      </c>
      <c r="O171" s="10">
        <f>IF('Model inputs'!O103="","",'Model inputs'!O103)</f>
        <v>0</v>
      </c>
      <c r="P171" s="10">
        <f>IF('Model inputs'!P103="","",'Model inputs'!P103)</f>
        <v>0</v>
      </c>
      <c r="Q171" s="10">
        <f>IF('Model inputs'!Q103="","",'Model inputs'!Q103)</f>
        <v>0</v>
      </c>
      <c r="R171" s="10">
        <f>IF('Model inputs'!R103="","",'Model inputs'!R103)</f>
        <v>0</v>
      </c>
      <c r="S171" s="10">
        <f>IF('Model inputs'!S103="","",'Model inputs'!S103)</f>
        <v>0</v>
      </c>
      <c r="T171" s="10">
        <f>IF('Model inputs'!T103="","",'Model inputs'!T103)</f>
        <v>0</v>
      </c>
      <c r="U171" s="10">
        <f>IF('Model inputs'!U103="","",'Model inputs'!U103)</f>
        <v>0</v>
      </c>
      <c r="V171" s="10">
        <f>IF('Model inputs'!V103="","",'Model inputs'!V103)</f>
        <v>0</v>
      </c>
      <c r="W171" s="10">
        <f>IF('Model inputs'!W103="","",'Model inputs'!W103)</f>
        <v>0</v>
      </c>
      <c r="X171" s="10">
        <f>IF('Model inputs'!X103="","",'Model inputs'!X103)</f>
        <v>0</v>
      </c>
      <c r="Y171" s="10">
        <f>IF('Model inputs'!Y103="","",'Model inputs'!Y103)</f>
        <v>0</v>
      </c>
      <c r="Z171" s="10">
        <f>IF('Model inputs'!Z103="","",'Model inputs'!Z103)</f>
        <v>0</v>
      </c>
      <c r="AA171" s="10">
        <f>IF('Model inputs'!AA103="","",'Model inputs'!AA103)</f>
        <v>0</v>
      </c>
      <c r="AB171" s="10">
        <f>IF('Model inputs'!AB103="","",'Model inputs'!AB103)</f>
        <v>0</v>
      </c>
      <c r="AC171" s="10">
        <f>IF('Model inputs'!AC103="","",'Model inputs'!AC103)</f>
        <v>0</v>
      </c>
      <c r="AD171" s="10">
        <f>IF('Model inputs'!AD103="","",'Model inputs'!AD103)</f>
        <v>0</v>
      </c>
      <c r="AE171" s="10">
        <f>IF('Model inputs'!AE103="","",'Model inputs'!AE103)</f>
        <v>0</v>
      </c>
      <c r="AF171" s="10">
        <f>IF('Model inputs'!AF103="","",'Model inputs'!AF103)</f>
        <v>0</v>
      </c>
    </row>
    <row r="172" outlineLevel="1">
      <c r="A172" t="inlineStr" s="21">
        <is>
          <t xml:space="preserve">Waitlist new logos &gt; Team</t>
        </is>
      </c>
      <c r="B172" s="10">
        <f>IF(IF(IF(ISERROR('Model inputs'!B55=1),'Model inputs'!B55=1,IF('Model inputs'!B55="","",'Model inputs'!B55=1))="",FALSE,IF(ISERROR('Model inputs'!B55=1),'Model inputs'!B55=1,IF('Model inputs'!B55="","",'Model inputs'!B55=1))),IF('Model inputs'!AG100="","",'Model inputs'!AG100),0)</f>
        <v>0</v>
      </c>
      <c r="C172" s="10">
        <f>IF(IF(IF(ISERROR('Model inputs'!C55=1),'Model inputs'!C55=1,IF('Model inputs'!C55="","",'Model inputs'!C55=1))="",FALSE,IF(ISERROR('Model inputs'!C55=1),'Model inputs'!C55=1,IF('Model inputs'!C55="","",'Model inputs'!C55=1))),IF('Model inputs'!AG100="","",'Model inputs'!AG100),0)</f>
        <v>0</v>
      </c>
      <c r="D172" s="10">
        <f>IF(IF(IF(ISERROR('Model inputs'!D55=1),'Model inputs'!D55=1,IF('Model inputs'!D55="","",'Model inputs'!D55=1))="",FALSE,IF(ISERROR('Model inputs'!D55=1),'Model inputs'!D55=1,IF('Model inputs'!D55="","",'Model inputs'!D55=1))),IF('Model inputs'!AG100="","",'Model inputs'!AG100),0)</f>
        <v>0</v>
      </c>
      <c r="E172" s="10">
        <f>IF(IF(IF(ISERROR('Model inputs'!E55=1),'Model inputs'!E55=1,IF('Model inputs'!E55="","",'Model inputs'!E55=1))="",FALSE,IF(ISERROR('Model inputs'!E55=1),'Model inputs'!E55=1,IF('Model inputs'!E55="","",'Model inputs'!E55=1))),IF('Model inputs'!AG100="","",'Model inputs'!AG100),0)</f>
        <v>0</v>
      </c>
      <c r="F172" s="10">
        <f>IF(IF(IF(ISERROR('Model inputs'!F55=1),'Model inputs'!F55=1,IF('Model inputs'!F55="","",'Model inputs'!F55=1))="",FALSE,IF(ISERROR('Model inputs'!F55=1),'Model inputs'!F55=1,IF('Model inputs'!F55="","",'Model inputs'!F55=1))),IF('Model inputs'!AG100="","",'Model inputs'!AG100),0)</f>
        <v>0</v>
      </c>
      <c r="G172" s="10">
        <f>IF(IF(IF(ISERROR('Model inputs'!G55=1),'Model inputs'!G55=1,IF('Model inputs'!G55="","",'Model inputs'!G55=1))="",FALSE,IF(ISERROR('Model inputs'!G55=1),'Model inputs'!G55=1,IF('Model inputs'!G55="","",'Model inputs'!G55=1))),IF('Model inputs'!AG100="","",'Model inputs'!AG100),0)</f>
        <v>0</v>
      </c>
      <c r="H172" s="10">
        <f>IF(IF(IF(ISERROR('Model inputs'!H55=1),'Model inputs'!H55=1,IF('Model inputs'!H55="","",'Model inputs'!H55=1))="",FALSE,IF(ISERROR('Model inputs'!H55=1),'Model inputs'!H55=1,IF('Model inputs'!H55="","",'Model inputs'!H55=1))),IF('Model inputs'!AG100="","",'Model inputs'!AG100),0)</f>
        <v>0</v>
      </c>
      <c r="I172" s="10">
        <f>IF(IF(IF(ISERROR('Model inputs'!I55=1),'Model inputs'!I55=1,IF('Model inputs'!I55="","",'Model inputs'!I55=1))="",FALSE,IF(ISERROR('Model inputs'!I55=1),'Model inputs'!I55=1,IF('Model inputs'!I55="","",'Model inputs'!I55=1))),IF('Model inputs'!AG100="","",'Model inputs'!AG100),0)</f>
        <v>0</v>
      </c>
      <c r="J172" s="10">
        <f>IF(IF(IF(ISERROR('Model inputs'!J55=1),'Model inputs'!J55=1,IF('Model inputs'!J55="","",'Model inputs'!J55=1))="",FALSE,IF(ISERROR('Model inputs'!J55=1),'Model inputs'!J55=1,IF('Model inputs'!J55="","",'Model inputs'!J55=1))),IF('Model inputs'!AG100="","",'Model inputs'!AG100),0)</f>
        <v>0</v>
      </c>
      <c r="K172" s="10">
        <f>IF(IF(IF(ISERROR('Model inputs'!K55=1),'Model inputs'!K55=1,IF('Model inputs'!K55="","",'Model inputs'!K55=1))="",FALSE,IF(ISERROR('Model inputs'!K55=1),'Model inputs'!K55=1,IF('Model inputs'!K55="","",'Model inputs'!K55=1))),IF('Model inputs'!AG100="","",'Model inputs'!AG100),0)</f>
        <v>0</v>
      </c>
      <c r="L172" s="10">
        <f>IF('Model inputs'!L104="","",'Model inputs'!L104)</f>
        <v>0</v>
      </c>
      <c r="M172" s="10">
        <f>IF('Model inputs'!M104="","",'Model inputs'!M104)</f>
        <v>0</v>
      </c>
      <c r="N172" s="10">
        <f>IF('Model inputs'!N104="","",'Model inputs'!N104)</f>
        <v>0</v>
      </c>
      <c r="O172" s="10">
        <f>IF('Model inputs'!O104="","",'Model inputs'!O104)</f>
        <v>0</v>
      </c>
      <c r="P172" s="10">
        <f>IF('Model inputs'!P104="","",'Model inputs'!P104)</f>
        <v>0</v>
      </c>
      <c r="Q172" s="10">
        <f>IF('Model inputs'!Q104="","",'Model inputs'!Q104)</f>
        <v>0</v>
      </c>
      <c r="R172" s="10">
        <f>IF('Model inputs'!R104="","",'Model inputs'!R104)</f>
        <v>0</v>
      </c>
      <c r="S172" s="10">
        <f>IF('Model inputs'!S104="","",'Model inputs'!S104)</f>
        <v>0</v>
      </c>
      <c r="T172" s="10">
        <f>IF('Model inputs'!T104="","",'Model inputs'!T104)</f>
        <v>0</v>
      </c>
      <c r="U172" s="10">
        <f>IF('Model inputs'!U104="","",'Model inputs'!U104)</f>
        <v>0</v>
      </c>
      <c r="V172" s="10">
        <f>IF('Model inputs'!V104="","",'Model inputs'!V104)</f>
        <v>0</v>
      </c>
      <c r="W172" s="10">
        <f>IF('Model inputs'!W104="","",'Model inputs'!W104)</f>
        <v>0</v>
      </c>
      <c r="X172" s="10">
        <f>IF('Model inputs'!X104="","",'Model inputs'!X104)</f>
        <v>0</v>
      </c>
      <c r="Y172" s="10">
        <f>IF('Model inputs'!Y104="","",'Model inputs'!Y104)</f>
        <v>0</v>
      </c>
      <c r="Z172" s="10">
        <f>IF('Model inputs'!Z104="","",'Model inputs'!Z104)</f>
        <v>0</v>
      </c>
      <c r="AA172" s="10">
        <f>IF('Model inputs'!AA104="","",'Model inputs'!AA104)</f>
        <v>0</v>
      </c>
      <c r="AB172" s="10">
        <f>IF('Model inputs'!AB104="","",'Model inputs'!AB104)</f>
        <v>0</v>
      </c>
      <c r="AC172" s="10">
        <f>IF('Model inputs'!AC104="","",'Model inputs'!AC104)</f>
        <v>0</v>
      </c>
      <c r="AD172" s="10">
        <f>IF('Model inputs'!AD104="","",'Model inputs'!AD104)</f>
        <v>0</v>
      </c>
      <c r="AE172" s="10">
        <f>IF('Model inputs'!AE104="","",'Model inputs'!AE104)</f>
        <v>0</v>
      </c>
      <c r="AF172" s="10">
        <f>IF('Model inputs'!AF104="","",'Model inputs'!AF104)</f>
        <v>0</v>
      </c>
    </row>
    <row r="174">
      <c r="A174" t="inlineStr" s="19">
        <is>
          <t xml:space="preserve">Dimensions</t>
        </is>
      </c>
    </row>
    <row r="175">
      <c r="A175" t="inlineStr" s="20">
        <is>
          <t xml:space="preserve">Subscription plan</t>
        </is>
      </c>
      <c r="B175" t="inlineStr" s="25">
        <is>
          <t xml:space="preserve">Indie</t>
        </is>
      </c>
      <c r="C175" t="inlineStr" s="25">
        <is>
          <t xml:space="preserve">Launch</t>
        </is>
      </c>
      <c r="D175" t="inlineStr" s="25">
        <is>
          <t xml:space="preserve">Team</t>
        </is>
      </c>
    </row>
  </sheetData>
  <mergeCells count="2">
    <mergeCell ref="A1:AG1"/>
    <mergeCell ref="A2:AG2"/>
  </mergeCells>
</worksheet>
</file>