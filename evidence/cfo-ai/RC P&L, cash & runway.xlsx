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C P&amp;L, cash &amp; runway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&quot;$&quot;#,##0;(&quot;$&quot;#,##0)"/>
    <numFmt numFmtId="165" formatCode="0.0%"/>
    <numFmt numFmtId="166" formatCode="#,##0.0;(#,##0.0)"/>
    <numFmt numFmtId="167" formatCode="#,##0;(#,##0)"/>
    <numFmt numFmtId="168" formatCode="&quot;$&quot;#,##0.00;(&quot;$&quot;#,##0.00)"/>
    <numFmt numFmtId="169" formatCode="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0" borderId="0" xfId="0" applyFont="1" applyAlignment="1">
      <alignment vertical="center" horizontal="left"/>
    </xf>
    <xf numFmtId="164" fontId="3" fillId="0" borderId="0" xfId="0" applyNumberFormat="1" applyFon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7" fontId="0" fillId="0" borderId="0" xfId="0" applyNumberFormat="1" applyAlignment="1">
      <alignment vertical="center" horizontal="right"/>
    </xf>
    <xf numFmtId="0" fontId="0" fillId="6" borderId="0" xfId="0" applyFill="1" applyAlignment="1">
      <alignment vertical="center" horizontal="left" indent="1"/>
    </xf>
    <xf numFmtId="166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9" fontId="3" fillId="5" borderId="1" xfId="0" applyNumberFormat="1" applyFill="1" applyFont="1" applyBorder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S2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RC P&amp;L, cash &amp; runway</t>
        </is>
      </c>
    </row>
    <row r="2" ht="20" customHeight="1">
      <c r="A2" t="inlineStr" s="2">
        <is>
          <t xml:space="preserve">RC P&amp;L, cash &amp; runway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</row>
    <row r="5">
      <c r="A5" t="inlineStr" s="6">
        <is>
          <t xml:space="preserve">Subscription revenue</t>
        </is>
      </c>
      <c r="B5" s="7">
        <f>SUM('Model inputs'!E69,'Model inputs'!E70,'Model inputs'!E71)</f>
        <v>2553</v>
      </c>
      <c r="C5" s="7">
        <f>SUM('Model inputs'!F69,'Model inputs'!F70,'Model inputs'!F71)</f>
        <v>4238.892571759259</v>
      </c>
      <c r="D5" s="7">
        <f>SUM('Model inputs'!G69,'Model inputs'!G70,'Model inputs'!G71)</f>
        <v>5619.07620474537</v>
      </c>
      <c r="E5" s="7">
        <f>SUM('Model inputs'!H69,'Model inputs'!H70,'Model inputs'!H71)</f>
        <v>7059.242292681289</v>
      </c>
      <c r="F5" s="7">
        <f>SUM('Model inputs'!I69,'Model inputs'!I70,'Model inputs'!I71)</f>
        <v>8565.713314360173</v>
      </c>
      <c r="G5" s="7">
        <f>SUM('Model inputs'!J69,'Model inputs'!J70,'Model inputs'!J71)</f>
        <v>10145.298558292714</v>
      </c>
      <c r="H5" s="7">
        <f>SUM('Model inputs'!K69,'Model inputs'!K70,'Model inputs'!K71)</f>
        <v>11805.331436398072</v>
      </c>
      <c r="I5" s="7">
        <f>SUM('Model inputs'!L69,'Model inputs'!L70,'Model inputs'!L71)</f>
        <v>13628.675558675464</v>
      </c>
      <c r="J5" s="7">
        <f>SUM('Model inputs'!M69,'Model inputs'!M70,'Model inputs'!M71)</f>
        <v>15572.109995973886</v>
      </c>
      <c r="K5" s="7">
        <f>SUM('Model inputs'!N69,'Model inputs'!N70,'Model inputs'!N71)</f>
        <v>17548.576204826146</v>
      </c>
      <c r="L5" s="7">
        <f>SUM('Model inputs'!O69,'Model inputs'!O70,'Model inputs'!O71)</f>
        <v>19560.816437953057</v>
      </c>
      <c r="M5" s="7">
        <f>SUM('Model inputs'!P69,'Model inputs'!P70,'Model inputs'!P71)</f>
        <v>21611.61830678775</v>
      </c>
      <c r="N5" s="7">
        <f>SUM('Model inputs'!Q69,'Model inputs'!Q70,'Model inputs'!Q71)</f>
        <v>23703.820189069855</v>
      </c>
      <c r="O5" s="7">
        <f>SUM('Model inputs'!R69,'Model inputs'!R70,'Model inputs'!R71)</f>
        <v>25840.31663180946</v>
      </c>
      <c r="P5" s="7">
        <f>SUM('Model inputs'!S69,'Model inputs'!S70,'Model inputs'!S71)</f>
        <v>28024.063763605744</v>
      </c>
      <c r="Q5" s="7">
        <f>SUM('Model inputs'!T69,'Model inputs'!T70,'Model inputs'!T71)</f>
        <v>30258.08472993787</v>
      </c>
      <c r="R5" s="7">
        <f>SUM('Model inputs'!U69,'Model inputs'!U70,'Model inputs'!U71)</f>
        <v>32545.475164724863</v>
      </c>
      <c r="S5" s="7">
        <f>SUM('Model inputs'!V69,'Model inputs'!V70,'Model inputs'!V71)</f>
        <v>34889.40871117456</v>
      </c>
    </row>
    <row r="6">
      <c r="A6" t="inlineStr" s="8">
        <is>
          <t xml:space="preserve">Overage revenue</t>
        </is>
      </c>
      <c r="B6" s="9">
        <f>SUM('Model inputs'!E59,'Model inputs'!E60,'Model inputs'!E61)</f>
        <v>95</v>
      </c>
      <c r="C6" s="9">
        <f>SUM('Model inputs'!F59,'Model inputs'!F60,'Model inputs'!F61)</f>
        <v>160.875</v>
      </c>
      <c r="D6" s="9">
        <f>SUM('Model inputs'!G59,'Model inputs'!G60,'Model inputs'!G61)</f>
        <v>213.58690277777777</v>
      </c>
      <c r="E6" s="9">
        <f>SUM('Model inputs'!H59,'Model inputs'!H60,'Model inputs'!H61)</f>
        <v>269.05303983796296</v>
      </c>
      <c r="F6" s="9">
        <f>SUM('Model inputs'!I59,'Model inputs'!I60,'Model inputs'!I61)</f>
        <v>327.5795949349537</v>
      </c>
      <c r="G6" s="9">
        <f>SUM('Model inputs'!J59,'Model inputs'!J60,'Model inputs'!J61)</f>
        <v>389.4971314852568</v>
      </c>
      <c r="H6" s="9">
        <f>SUM('Model inputs'!K59,'Model inputs'!K60,'Model inputs'!K61)</f>
        <v>455.1629821154749</v>
      </c>
      <c r="I6" s="9">
        <f>SUM('Model inputs'!L59,'Model inputs'!L60,'Model inputs'!L61)</f>
        <v>524.9638461310163</v>
      </c>
      <c r="J6" s="9">
        <f>SUM('Model inputs'!M59,'Model inputs'!M60,'Model inputs'!M61)</f>
        <v>599.3186149500129</v>
      </c>
      <c r="K6" s="9">
        <f>SUM('Model inputs'!N59,'Model inputs'!N60,'Model inputs'!N61)</f>
        <v>674.7853216521627</v>
      </c>
      <c r="L6" s="9">
        <f>SUM('Model inputs'!O59,'Model inputs'!O60,'Model inputs'!O61)</f>
        <v>751.4778206320123</v>
      </c>
      <c r="M6" s="9">
        <f>SUM('Model inputs'!P59,'Model inputs'!P60,'Model inputs'!P61)</f>
        <v>829.5110364230375</v>
      </c>
      <c r="N6" s="9">
        <f>SUM('Model inputs'!Q59,'Model inputs'!Q60,'Model inputs'!Q61)</f>
        <v>909.001210740131</v>
      </c>
      <c r="O6" s="9">
        <f>SUM('Model inputs'!R59,'Model inputs'!R60,'Model inputs'!R61)</f>
        <v>990.0661465814385</v>
      </c>
      <c r="P6" s="9">
        <f>SUM('Model inputs'!S59,'Model inputs'!S60,'Model inputs'!S61)</f>
        <v>1072.82545010209</v>
      </c>
      <c r="Q6" s="9">
        <f>SUM('Model inputs'!T59,'Model inputs'!T60,'Model inputs'!T61)</f>
        <v>1157.400770946348</v>
      </c>
      <c r="R6" s="9">
        <f>SUM('Model inputs'!U59,'Model inputs'!U60,'Model inputs'!U61)</f>
        <v>1243.916041701213</v>
      </c>
      <c r="S6" s="9">
        <f>SUM('Model inputs'!V59,'Model inputs'!V60,'Model inputs'!V61)</f>
        <v>1332.497717113488</v>
      </c>
    </row>
    <row r="7">
      <c r="A7" t="inlineStr" s="8">
        <is>
          <t xml:space="preserve">Long-trailer revenue</t>
        </is>
      </c>
      <c r="B7" s="9">
        <f>SUM('Model inputs'!E29,'Model inputs'!E30,'Model inputs'!E31)</f>
        <v>49.68</v>
      </c>
      <c r="C7" s="9">
        <f>SUM('Model inputs'!F29,'Model inputs'!F30,'Model inputs'!F31)</f>
        <v>82.1275</v>
      </c>
      <c r="D7" s="9">
        <f>SUM('Model inputs'!G29,'Model inputs'!G30,'Model inputs'!G31)</f>
        <v>109.56726358333333</v>
      </c>
      <c r="E7" s="9">
        <f>SUM('Model inputs'!H29,'Model inputs'!H30,'Model inputs'!H31)</f>
        <v>138.45230598840277</v>
      </c>
      <c r="F7" s="9">
        <f>SUM('Model inputs'!I29,'Model inputs'!I30,'Model inputs'!I31)</f>
        <v>168.9360111943032</v>
      </c>
      <c r="G7" s="9">
        <f>SUM('Model inputs'!J29,'Model inputs'!J30,'Model inputs'!J31)</f>
        <v>201.18479679909444</v>
      </c>
      <c r="H7" s="9">
        <f>SUM('Model inputs'!K29,'Model inputs'!K30,'Model inputs'!K31)</f>
        <v>235.37936421442416</v>
      </c>
      <c r="I7" s="9">
        <f>SUM('Model inputs'!L29,'Model inputs'!L30,'Model inputs'!L31)</f>
        <v>271.71606199591633</v>
      </c>
      <c r="J7" s="9">
        <f>SUM('Model inputs'!M29,'Model inputs'!M30,'Model inputs'!M31)</f>
        <v>310.4083731616633</v>
      </c>
      <c r="K7" s="9">
        <f>SUM('Model inputs'!N29,'Model inputs'!N30,'Model inputs'!N31)</f>
        <v>349.8253191901984</v>
      </c>
      <c r="L7" s="9">
        <f>SUM('Model inputs'!O29,'Model inputs'!O30,'Model inputs'!O31)</f>
        <v>390.0180828335972</v>
      </c>
      <c r="M7" s="9">
        <f>SUM('Model inputs'!P29,'Model inputs'!P30,'Model inputs'!P31)</f>
        <v>431.0389288682903</v>
      </c>
      <c r="N7" s="9">
        <f>SUM('Model inputs'!Q29,'Model inputs'!Q30,'Model inputs'!Q31)</f>
        <v>472.9413031752841</v>
      </c>
      <c r="O7" s="9">
        <f>SUM('Model inputs'!R29,'Model inputs'!R30,'Model inputs'!R31)</f>
        <v>515.7799322204686</v>
      </c>
      <c r="P7" s="9">
        <f>SUM('Model inputs'!S29,'Model inputs'!S30,'Model inputs'!S31)</f>
        <v>559.610923185231</v>
      </c>
      <c r="Q7" s="9">
        <f>SUM('Model inputs'!T29,'Model inputs'!T30,'Model inputs'!T31)</f>
        <v>604.4918649920692</v>
      </c>
      <c r="R7" s="9">
        <f>SUM('Model inputs'!U29,'Model inputs'!U30,'Model inputs'!U31)</f>
        <v>650.4819304651912</v>
      </c>
      <c r="S7" s="9">
        <f>SUM('Model inputs'!V29,'Model inputs'!V30,'Model inputs'!V31)</f>
        <v>697.6419798621504</v>
      </c>
    </row>
    <row r="8">
      <c r="A8" t="inlineStr" s="10">
        <is>
          <t xml:space="preserve">Total revenue</t>
        </is>
      </c>
      <c r="B8" s="11">
        <f>SUM('Model inputs'!E73,'Model inputs'!E74,'Model inputs'!E75)</f>
        <v>2697.6800000000003</v>
      </c>
      <c r="C8" s="11">
        <f>SUM('Model inputs'!F73,'Model inputs'!F74,'Model inputs'!F75)</f>
        <v>4481.89507175926</v>
      </c>
      <c r="D8" s="11">
        <f>SUM('Model inputs'!G73,'Model inputs'!G74,'Model inputs'!G75)</f>
        <v>5942.2303711064815</v>
      </c>
      <c r="E8" s="11">
        <f>SUM('Model inputs'!H73,'Model inputs'!H74,'Model inputs'!H75)</f>
        <v>7466.747638507654</v>
      </c>
      <c r="F8" s="11">
        <f>SUM('Model inputs'!I73,'Model inputs'!I74,'Model inputs'!I75)</f>
        <v>9062.22892048943</v>
      </c>
      <c r="G8" s="11">
        <f>SUM('Model inputs'!J73,'Model inputs'!J74,'Model inputs'!J75)</f>
        <v>10735.980486577066</v>
      </c>
      <c r="H8" s="11">
        <f>SUM('Model inputs'!K73,'Model inputs'!K74,'Model inputs'!K75)</f>
        <v>12495.873782727971</v>
      </c>
      <c r="I8" s="11">
        <f>SUM('Model inputs'!L73,'Model inputs'!L74,'Model inputs'!L75)</f>
        <v>14425.355466802397</v>
      </c>
      <c r="J8" s="11">
        <f>SUM('Model inputs'!M73,'Model inputs'!M74,'Model inputs'!M75)</f>
        <v>16481.836984085563</v>
      </c>
      <c r="K8" s="11">
        <f>SUM('Model inputs'!N73,'Model inputs'!N74,'Model inputs'!N75)</f>
        <v>18573.18684566851</v>
      </c>
      <c r="L8" s="11">
        <f>SUM('Model inputs'!O73,'Model inputs'!O74,'Model inputs'!O75)</f>
        <v>20702.312341418667</v>
      </c>
      <c r="M8" s="11">
        <f>SUM('Model inputs'!P73,'Model inputs'!P74,'Model inputs'!P75)</f>
        <v>22872.168272079078</v>
      </c>
      <c r="N8" s="11">
        <f>SUM('Model inputs'!Q73,'Model inputs'!Q74,'Model inputs'!Q75)</f>
        <v>25085.762702985274</v>
      </c>
      <c r="O8" s="11">
        <f>SUM('Model inputs'!R73,'Model inputs'!R74,'Model inputs'!R75)</f>
        <v>27346.162710611366</v>
      </c>
      <c r="P8" s="11">
        <f>SUM('Model inputs'!S73,'Model inputs'!S74,'Model inputs'!S75)</f>
        <v>29656.50013689306</v>
      </c>
      <c r="Q8" s="11">
        <f>SUM('Model inputs'!T73,'Model inputs'!T74,'Model inputs'!T75)</f>
        <v>32019.977365876286</v>
      </c>
      <c r="R8" s="11">
        <f>SUM('Model inputs'!U73,'Model inputs'!U74,'Model inputs'!U75)</f>
        <v>34439.87313689126</v>
      </c>
      <c r="S8" s="11">
        <f>SUM('Model inputs'!V73,'Model inputs'!V74,'Model inputs'!V75)</f>
        <v>36919.5484081502</v>
      </c>
    </row>
    <row r="9">
      <c r="A9" t="inlineStr" s="8">
        <is>
          <t xml:space="preserve">Kit COGS</t>
        </is>
      </c>
      <c r="B9" s="9">
        <f>SUM('Model inputs'!E25,'Model inputs'!E26,'Model inputs'!E27)</f>
        <v>198.71999999999997</v>
      </c>
      <c r="C9" s="9">
        <f>SUM('Model inputs'!F25,'Model inputs'!F26,'Model inputs'!F27)</f>
        <v>328.51</v>
      </c>
      <c r="D9" s="9">
        <f>SUM('Model inputs'!G25,'Model inputs'!G26,'Model inputs'!G27)</f>
        <v>438.2690543333333</v>
      </c>
      <c r="E9" s="9">
        <f>SUM('Model inputs'!H25,'Model inputs'!H26,'Model inputs'!H27)</f>
        <v>553.8092239536111</v>
      </c>
      <c r="F9" s="9">
        <f>SUM('Model inputs'!I25,'Model inputs'!I26,'Model inputs'!I27)</f>
        <v>675.7440447772127</v>
      </c>
      <c r="G9" s="9">
        <f>SUM('Model inputs'!J25,'Model inputs'!J26,'Model inputs'!J27)</f>
        <v>804.7391871963778</v>
      </c>
      <c r="H9" s="9">
        <f>SUM('Model inputs'!K25,'Model inputs'!K26,'Model inputs'!K27)</f>
        <v>941.5174568576965</v>
      </c>
      <c r="I9" s="9">
        <f>SUM('Model inputs'!L25,'Model inputs'!L26,'Model inputs'!L27)</f>
        <v>1086.8642479836653</v>
      </c>
      <c r="J9" s="9">
        <f>SUM('Model inputs'!M25,'Model inputs'!M26,'Model inputs'!M27)</f>
        <v>1241.6334926466532</v>
      </c>
      <c r="K9" s="9">
        <f>SUM('Model inputs'!N25,'Model inputs'!N26,'Model inputs'!N27)</f>
        <v>1399.3012767607936</v>
      </c>
      <c r="L9" s="9">
        <f>SUM('Model inputs'!O25,'Model inputs'!O26,'Model inputs'!O27)</f>
        <v>1560.0723313343888</v>
      </c>
      <c r="M9" s="9">
        <f>SUM('Model inputs'!P25,'Model inputs'!P26,'Model inputs'!P27)</f>
        <v>1724.155715473161</v>
      </c>
      <c r="N9" s="9">
        <f>SUM('Model inputs'!Q25,'Model inputs'!Q26,'Model inputs'!Q27)</f>
        <v>1891.765212701136</v>
      </c>
      <c r="O9" s="9">
        <f>SUM('Model inputs'!R25,'Model inputs'!R26,'Model inputs'!R27)</f>
        <v>2063.119728881874</v>
      </c>
      <c r="P9" s="9">
        <f>SUM('Model inputs'!S25,'Model inputs'!S26,'Model inputs'!S27)</f>
        <v>2238.443692740924</v>
      </c>
      <c r="Q9" s="9">
        <f>SUM('Model inputs'!T25,'Model inputs'!T26,'Model inputs'!T27)</f>
        <v>2417.9674599682767</v>
      </c>
      <c r="R9" s="9">
        <f>SUM('Model inputs'!U25,'Model inputs'!U26,'Model inputs'!U27)</f>
        <v>2601.927721860765</v>
      </c>
      <c r="S9" s="9">
        <f>SUM('Model inputs'!V25,'Model inputs'!V26,'Model inputs'!V27)</f>
        <v>2790.5679194486015</v>
      </c>
    </row>
    <row r="10">
      <c r="A10" t="inlineStr" s="10">
        <is>
          <t xml:space="preserve">Kit gross profit</t>
        </is>
      </c>
      <c r="B10" s="11">
        <f>'RC P&amp;L, cash &amp; runway'!B8-'RC P&amp;L, cash &amp; runway'!B9</f>
        <v>2498.9600000000005</v>
      </c>
      <c r="C10" s="11">
        <f>'RC P&amp;L, cash &amp; runway'!C8-'RC P&amp;L, cash &amp; runway'!C9</f>
        <v>4153.3850717592595</v>
      </c>
      <c r="D10" s="11">
        <f>'RC P&amp;L, cash &amp; runway'!D8-'RC P&amp;L, cash &amp; runway'!D9</f>
        <v>5503.961316773148</v>
      </c>
      <c r="E10" s="11">
        <f>'RC P&amp;L, cash &amp; runway'!E8-'RC P&amp;L, cash &amp; runway'!E9</f>
        <v>6912.938414554043</v>
      </c>
      <c r="F10" s="11">
        <f>'RC P&amp;L, cash &amp; runway'!F8-'RC P&amp;L, cash &amp; runway'!F9</f>
        <v>8386.484875712216</v>
      </c>
      <c r="G10" s="11">
        <f>'RC P&amp;L, cash &amp; runway'!G8-'RC P&amp;L, cash &amp; runway'!G9</f>
        <v>9931.241299380688</v>
      </c>
      <c r="H10" s="11">
        <f>'RC P&amp;L, cash &amp; runway'!H8-'RC P&amp;L, cash &amp; runway'!H9</f>
        <v>11554.356325870274</v>
      </c>
      <c r="I10" s="11">
        <f>'RC P&amp;L, cash &amp; runway'!I8-'RC P&amp;L, cash &amp; runway'!I9</f>
        <v>13338.491218818732</v>
      </c>
      <c r="J10" s="11">
        <f>'RC P&amp;L, cash &amp; runway'!J8-'RC P&amp;L, cash &amp; runway'!J9</f>
        <v>15240.20349143891</v>
      </c>
      <c r="K10" s="11">
        <f>'RC P&amp;L, cash &amp; runway'!K8-'RC P&amp;L, cash &amp; runway'!K9</f>
        <v>17173.885568907717</v>
      </c>
      <c r="L10" s="11">
        <f>'RC P&amp;L, cash &amp; runway'!L8-'RC P&amp;L, cash &amp; runway'!L9</f>
        <v>19142.24001008428</v>
      </c>
      <c r="M10" s="11">
        <f>'RC P&amp;L, cash &amp; runway'!M8-'RC P&amp;L, cash &amp; runway'!M9</f>
        <v>21148.012556605918</v>
      </c>
      <c r="N10" s="11">
        <f>'RC P&amp;L, cash &amp; runway'!N8-'RC P&amp;L, cash &amp; runway'!N9</f>
        <v>23193.99749028414</v>
      </c>
      <c r="O10" s="11">
        <f>'RC P&amp;L, cash &amp; runway'!O8-'RC P&amp;L, cash &amp; runway'!O9</f>
        <v>25283.042981729493</v>
      </c>
      <c r="P10" s="11">
        <f>'RC P&amp;L, cash &amp; runway'!P8-'RC P&amp;L, cash &amp; runway'!P9</f>
        <v>27418.05644415214</v>
      </c>
      <c r="Q10" s="11">
        <f>'RC P&amp;L, cash &amp; runway'!Q8-'RC P&amp;L, cash &amp; runway'!Q9</f>
        <v>29602.00990590801</v>
      </c>
      <c r="R10" s="11">
        <f>'RC P&amp;L, cash &amp; runway'!R8-'RC P&amp;L, cash &amp; runway'!R9</f>
        <v>31837.9454150305</v>
      </c>
      <c r="S10" s="11">
        <f>'RC P&amp;L, cash &amp; runway'!S8-'RC P&amp;L, cash &amp; runway'!S9</f>
        <v>34128.9804887016</v>
      </c>
    </row>
    <row r="11">
      <c r="A11" t="inlineStr" s="8">
        <is>
          <t xml:space="preserve">Gross margin %</t>
        </is>
      </c>
      <c r="B11" s="12">
        <f>IFERROR('RC P&amp;L, cash &amp; runway'!B10/'RC P&amp;L, cash &amp; runway'!B8,"")</f>
        <v>0.926336704130957</v>
      </c>
      <c r="C11" s="12">
        <f>IFERROR('RC P&amp;L, cash &amp; runway'!C10/'RC P&amp;L, cash &amp; runway'!C8,"")</f>
        <v>0.9267028802012869</v>
      </c>
      <c r="D11" s="12">
        <f>IFERROR('RC P&amp;L, cash &amp; runway'!D10/'RC P&amp;L, cash &amp; runway'!D8,"")</f>
        <v>0.9262450246856173</v>
      </c>
      <c r="E11" s="12">
        <f>IFERROR('RC P&amp;L, cash &amp; runway'!E10/'RC P&amp;L, cash &amp; runway'!E8,"")</f>
        <v>0.9258299261250648</v>
      </c>
      <c r="F11" s="12">
        <f>IFERROR('RC P&amp;L, cash &amp; runway'!F10/'RC P&amp;L, cash &amp; runway'!F8,"")</f>
        <v>0.9254329094192957</v>
      </c>
      <c r="G11" s="12">
        <f>IFERROR('RC P&amp;L, cash &amp; runway'!G10/'RC P&amp;L, cash &amp; runway'!G8,"")</f>
        <v>0.925042785966077</v>
      </c>
      <c r="H11" s="12">
        <f>IFERROR('RC P&amp;L, cash &amp; runway'!H10/'RC P&amp;L, cash &amp; runway'!H8,"")</f>
        <v>0.9246537318455409</v>
      </c>
      <c r="I11" s="12">
        <f>IFERROR('RC P&amp;L, cash &amp; runway'!I10/'RC P&amp;L, cash &amp; runway'!I8,"")</f>
        <v>0.924655981581535</v>
      </c>
      <c r="J11" s="12">
        <f>IFERROR('RC P&amp;L, cash &amp; runway'!J10/'RC P&amp;L, cash &amp; runway'!J8,"")</f>
        <v>0.9246665590828533</v>
      </c>
      <c r="K11" s="12">
        <f>IFERROR('RC P&amp;L, cash &amp; runway'!K10/'RC P&amp;L, cash &amp; runway'!K8,"")</f>
        <v>0.9246601410738983</v>
      </c>
      <c r="L11" s="12">
        <f>IFERROR('RC P&amp;L, cash &amp; runway'!L10/'RC P&amp;L, cash &amp; runway'!L8,"")</f>
        <v>0.9246426048643279</v>
      </c>
      <c r="M11" s="12">
        <f>IFERROR('RC P&amp;L, cash &amp; runway'!M10/'RC P&amp;L, cash &amp; runway'!M8,"")</f>
        <v>0.9246177408733958</v>
      </c>
      <c r="N11" s="12">
        <f>IFERROR('RC P&amp;L, cash &amp; runway'!N10/'RC P&amp;L, cash &amp; runway'!N8,"")</f>
        <v>0.9245880926524107</v>
      </c>
      <c r="O11" s="12">
        <f>IFERROR('RC P&amp;L, cash &amp; runway'!O10/'RC P&amp;L, cash &amp; runway'!O8,"")</f>
        <v>0.9245554211494067</v>
      </c>
      <c r="P11" s="12">
        <f>IFERROR('RC P&amp;L, cash &amp; runway'!P10/'RC P&amp;L, cash &amp; runway'!P8,"")</f>
        <v>0.9245209757588263</v>
      </c>
      <c r="Q11" s="12">
        <f>IFERROR('RC P&amp;L, cash &amp; runway'!Q10/'RC P&amp;L, cash &amp; runway'!Q8,"")</f>
        <v>0.924485659926009</v>
      </c>
      <c r="R11" s="12">
        <f>IFERROR('RC P&amp;L, cash &amp; runway'!R10/'RC P&amp;L, cash &amp; runway'!R8,"")</f>
        <v>0.9244501362848043</v>
      </c>
      <c r="S11" s="12">
        <f>IFERROR('RC P&amp;L, cash &amp; runway'!S10/'RC P&amp;L, cash &amp; runway'!S8,"")</f>
        <v>0.9244148956374405</v>
      </c>
    </row>
    <row r="12">
      <c r="A12" t="inlineStr" s="8">
        <is>
          <t xml:space="preserve">Payment fees</t>
        </is>
      </c>
      <c r="B12" s="9">
        <f>SUM('Model inputs'!E63,'Model inputs'!E64,'Model inputs'!E65)</f>
        <v>92.33272000000001</v>
      </c>
      <c r="C12" s="9">
        <f>SUM('Model inputs'!F63,'Model inputs'!F64,'Model inputs'!F65)</f>
        <v>188.068080125</v>
      </c>
      <c r="D12" s="9">
        <f>SUM('Model inputs'!G63,'Model inputs'!G64,'Model inputs'!G65)</f>
        <v>260.0429898737778</v>
      </c>
      <c r="E12" s="9">
        <f>SUM('Model inputs'!H63,'Model inputs'!H64,'Model inputs'!H65)</f>
        <v>335.1664347990748</v>
      </c>
      <c r="F12" s="9">
        <f>SUM('Model inputs'!I63,'Model inputs'!I64,'Model inputs'!I65)</f>
        <v>413.78401436942465</v>
      </c>
      <c r="G12" s="9">
        <f>SUM('Model inputs'!J63,'Model inputs'!J64,'Model inputs'!J65)</f>
        <v>496.2816383447089</v>
      </c>
      <c r="H12" s="9">
        <f>SUM('Model inputs'!K63,'Model inputs'!K64,'Model inputs'!K65)</f>
        <v>583.088378449062</v>
      </c>
      <c r="I12" s="9">
        <f>SUM('Model inputs'!L63,'Model inputs'!L64,'Model inputs'!L65)</f>
        <v>557.2833486659224</v>
      </c>
      <c r="J12" s="9">
        <f>SUM('Model inputs'!M63,'Model inputs'!M64,'Model inputs'!M65)</f>
        <v>628.2135614513089</v>
      </c>
      <c r="K12" s="9">
        <f>SUM('Model inputs'!N63,'Model inputs'!N64,'Model inputs'!N65)</f>
        <v>695.4951727272281</v>
      </c>
      <c r="L12" s="9">
        <f>SUM('Model inputs'!O63,'Model inputs'!O64,'Model inputs'!O65)</f>
        <v>763.7046916431891</v>
      </c>
      <c r="M12" s="9">
        <f>SUM('Model inputs'!P63,'Model inputs'!P64,'Model inputs'!P65)</f>
        <v>832.9603774238383</v>
      </c>
      <c r="N12" s="9">
        <f>SUM('Model inputs'!Q63,'Model inputs'!Q64,'Model inputs'!Q65)</f>
        <v>903.3805557774197</v>
      </c>
      <c r="O12" s="9">
        <f>SUM('Model inputs'!R63,'Model inputs'!R64,'Model inputs'!R65)</f>
        <v>1001.6961166493504</v>
      </c>
      <c r="P12" s="9">
        <f>SUM('Model inputs'!S63,'Model inputs'!S64,'Model inputs'!S65)</f>
        <v>1094.9873007989427</v>
      </c>
      <c r="Q12" s="9">
        <f>SUM('Model inputs'!T63,'Model inputs'!T64,'Model inputs'!T65)</f>
        <v>1192.3131472022542</v>
      </c>
      <c r="R12" s="9">
        <f>SUM('Model inputs'!U63,'Model inputs'!U64,'Model inputs'!U65)</f>
        <v>1294.0719669015866</v>
      </c>
      <c r="S12" s="9">
        <f>SUM('Model inputs'!V63,'Model inputs'!V64,'Model inputs'!V65)</f>
        <v>1400.701363105876</v>
      </c>
    </row>
    <row r="13">
      <c r="A13" t="inlineStr" s="10">
        <is>
          <t xml:space="preserve">Contribution</t>
        </is>
      </c>
      <c r="B13" s="11">
        <f>SUM('Model inputs'!E16,'Model inputs'!E17,'Model inputs'!E18)</f>
        <v>2406.6272800000006</v>
      </c>
      <c r="C13" s="11">
        <f>SUM('Model inputs'!F16,'Model inputs'!F17,'Model inputs'!F18)</f>
        <v>3965.3169916342595</v>
      </c>
      <c r="D13" s="11">
        <f>SUM('Model inputs'!G16,'Model inputs'!G17,'Model inputs'!G18)</f>
        <v>5243.918326899371</v>
      </c>
      <c r="E13" s="11">
        <f>SUM('Model inputs'!H16,'Model inputs'!H17,'Model inputs'!H18)</f>
        <v>6577.771979754969</v>
      </c>
      <c r="F13" s="11">
        <f>SUM('Model inputs'!I16,'Model inputs'!I17,'Model inputs'!I18)</f>
        <v>7972.700861342793</v>
      </c>
      <c r="G13" s="11">
        <f>SUM('Model inputs'!J16,'Model inputs'!J17,'Model inputs'!J18)</f>
        <v>9434.959661035979</v>
      </c>
      <c r="H13" s="11">
        <f>SUM('Model inputs'!K16,'Model inputs'!K17,'Model inputs'!K18)</f>
        <v>10971.267947421213</v>
      </c>
      <c r="I13" s="11">
        <f>SUM('Model inputs'!L16,'Model inputs'!L17,'Model inputs'!L18)</f>
        <v>12781.20787015281</v>
      </c>
      <c r="J13" s="11">
        <f>SUM('Model inputs'!M16,'Model inputs'!M17,'Model inputs'!M18)</f>
        <v>14611.989929987601</v>
      </c>
      <c r="K13" s="11">
        <f>SUM('Model inputs'!N16,'Model inputs'!N17,'Model inputs'!N18)</f>
        <v>16478.39039618049</v>
      </c>
      <c r="L13" s="11">
        <f>SUM('Model inputs'!O16,'Model inputs'!O17,'Model inputs'!O18)</f>
        <v>18378.53531844109</v>
      </c>
      <c r="M13" s="11">
        <f>SUM('Model inputs'!P16,'Model inputs'!P17,'Model inputs'!P18)</f>
        <v>20315.052179182076</v>
      </c>
      <c r="N13" s="11">
        <f>SUM('Model inputs'!Q16,'Model inputs'!Q17,'Model inputs'!Q18)</f>
        <v>22290.616934506717</v>
      </c>
      <c r="O13" s="11">
        <f>SUM('Model inputs'!R16,'Model inputs'!R17,'Model inputs'!R18)</f>
        <v>24281.346865080144</v>
      </c>
      <c r="P13" s="11">
        <f>SUM('Model inputs'!S16,'Model inputs'!S17,'Model inputs'!S18)</f>
        <v>26323.069143353197</v>
      </c>
      <c r="Q13" s="11">
        <f>SUM('Model inputs'!T16,'Model inputs'!T17,'Model inputs'!T18)</f>
        <v>28409.696758705755</v>
      </c>
      <c r="R13" s="11">
        <f>SUM('Model inputs'!U16,'Model inputs'!U17,'Model inputs'!U18)</f>
        <v>30543.873448128914</v>
      </c>
      <c r="S13" s="11">
        <f>SUM('Model inputs'!V16,'Model inputs'!V17,'Model inputs'!V18)</f>
        <v>32728.27912559572</v>
      </c>
    </row>
    <row r="14">
      <c r="A14" t="inlineStr" s="8">
        <is>
          <t xml:space="preserve">Contribution margin %</t>
        </is>
      </c>
      <c r="B14" s="12">
        <f>IFERROR('RC P&amp;L, cash &amp; runway'!B13/'RC P&amp;L, cash &amp; runway'!B8,"")</f>
        <v>0.8921099908069157</v>
      </c>
      <c r="C14" s="12">
        <f>IFERROR('RC P&amp;L, cash &amp; runway'!C13/'RC P&amp;L, cash &amp; runway'!C8,"")</f>
        <v>0.8847411481406614</v>
      </c>
      <c r="D14" s="12">
        <f>IFERROR('RC P&amp;L, cash &amp; runway'!D13/'RC P&amp;L, cash &amp; runway'!D8,"")</f>
        <v>0.88248317540791</v>
      </c>
      <c r="E14" s="12">
        <f>IFERROR('RC P&amp;L, cash &amp; runway'!E13/'RC P&amp;L, cash &amp; runway'!E8,"")</f>
        <v>0.8809420511056189</v>
      </c>
      <c r="F14" s="12">
        <f>IFERROR('RC P&amp;L, cash &amp; runway'!F13/'RC P&amp;L, cash &amp; runway'!F8,"")</f>
        <v>0.879772617895003</v>
      </c>
      <c r="G14" s="12">
        <f>IFERROR('RC P&amp;L, cash &amp; runway'!G13/'RC P&amp;L, cash &amp; runway'!G8,"")</f>
        <v>0.8788167669298839</v>
      </c>
      <c r="H14" s="12">
        <f>IFERROR('RC P&amp;L, cash &amp; runway'!H13/'RC P&amp;L, cash &amp; runway'!H8,"")</f>
        <v>0.8779912584093081</v>
      </c>
      <c r="I14" s="12">
        <f>IFERROR('RC P&amp;L, cash &amp; runway'!I13/'RC P&amp;L, cash &amp; runway'!I8,"")</f>
        <v>0.886023772486347</v>
      </c>
      <c r="J14" s="12">
        <f>IFERROR('RC P&amp;L, cash &amp; runway'!J13/'RC P&amp;L, cash &amp; runway'!J8,"")</f>
        <v>0.8865510527798911</v>
      </c>
      <c r="K14" s="12">
        <f>IFERROR('RC P&amp;L, cash &amp; runway'!K13/'RC P&amp;L, cash &amp; runway'!K8,"")</f>
        <v>0.8872139462713393</v>
      </c>
      <c r="L14" s="12">
        <f>IFERROR('RC P&amp;L, cash &amp; runway'!L13/'RC P&amp;L, cash &amp; runway'!L8,"")</f>
        <v>0.8877527792714996</v>
      </c>
      <c r="M14" s="12">
        <f>IFERROR('RC P&amp;L, cash &amp; runway'!M13/'RC P&amp;L, cash &amp; runway'!M8,"")</f>
        <v>0.8881996642172937</v>
      </c>
      <c r="N14" s="12">
        <f>IFERROR('RC P&amp;L, cash &amp; runway'!N13/'RC P&amp;L, cash &amp; runway'!N8,"")</f>
        <v>0.8885764087951799</v>
      </c>
      <c r="O14" s="12">
        <f>IFERROR('RC P&amp;L, cash &amp; runway'!O13/'RC P&amp;L, cash &amp; runway'!O8,"")</f>
        <v>0.887925195283726</v>
      </c>
      <c r="P14" s="12">
        <f>IFERROR('RC P&amp;L, cash &amp; runway'!P13/'RC P&amp;L, cash &amp; runway'!P8,"")</f>
        <v>0.8875986384720753</v>
      </c>
      <c r="Q14" s="12">
        <f>IFERROR('RC P&amp;L, cash &amp; runway'!Q13/'RC P&amp;L, cash &amp; runway'!Q8,"")</f>
        <v>0.8872491205750193</v>
      </c>
      <c r="R14" s="12">
        <f>IFERROR('RC P&amp;L, cash &amp; runway'!R13/'RC P&amp;L, cash &amp; runway'!R8,"")</f>
        <v>0.8868753182313834</v>
      </c>
      <c r="S14" s="12">
        <f>IFERROR('RC P&amp;L, cash &amp; runway'!S13/'RC P&amp;L, cash &amp; runway'!S8,"")</f>
        <v>0.8864756080919659</v>
      </c>
    </row>
    <row r="15">
      <c r="A15" t="inlineStr" s="8">
        <is>
          <t xml:space="preserve">Opex</t>
        </is>
      </c>
      <c r="B15" s="9">
        <f>SUM('Model inputs'!E35,'Model inputs'!E36,'Model inputs'!E37,'Model inputs'!E38,'Model inputs'!E39,'Model inputs'!E40,'Model inputs'!E41,'Model inputs'!E42,'Model inputs'!E43,'Model inputs'!E44,'Model inputs'!E45)</f>
        <v>5245</v>
      </c>
      <c r="C15" s="9">
        <f>SUM('Model inputs'!F35,'Model inputs'!F36,'Model inputs'!F37,'Model inputs'!F38,'Model inputs'!F39,'Model inputs'!F40,'Model inputs'!F41,'Model inputs'!F42,'Model inputs'!F43,'Model inputs'!F44,'Model inputs'!F45)</f>
        <v>5595</v>
      </c>
      <c r="D15" s="9">
        <f>SUM('Model inputs'!G35,'Model inputs'!G36,'Model inputs'!G37,'Model inputs'!G38,'Model inputs'!G39,'Model inputs'!G40,'Model inputs'!G41,'Model inputs'!G42,'Model inputs'!G43,'Model inputs'!G44,'Model inputs'!G45)</f>
        <v>5595</v>
      </c>
      <c r="E15" s="9">
        <f>SUM('Model inputs'!H35,'Model inputs'!H36,'Model inputs'!H37,'Model inputs'!H38,'Model inputs'!H39,'Model inputs'!H40,'Model inputs'!H41,'Model inputs'!H42,'Model inputs'!H43,'Model inputs'!H44,'Model inputs'!H45)</f>
        <v>7245</v>
      </c>
      <c r="F15" s="9">
        <f>SUM('Model inputs'!I35,'Model inputs'!I36,'Model inputs'!I37,'Model inputs'!I38,'Model inputs'!I39,'Model inputs'!I40,'Model inputs'!I41,'Model inputs'!I42,'Model inputs'!I43,'Model inputs'!I44,'Model inputs'!I45)</f>
        <v>7445</v>
      </c>
      <c r="G15" s="9">
        <f>SUM('Model inputs'!J35,'Model inputs'!J36,'Model inputs'!J37,'Model inputs'!J38,'Model inputs'!J39,'Model inputs'!J40,'Model inputs'!J41,'Model inputs'!J42,'Model inputs'!J43,'Model inputs'!J44,'Model inputs'!J45)</f>
        <v>7445</v>
      </c>
      <c r="H15" s="9">
        <f>SUM('Model inputs'!K35,'Model inputs'!K36,'Model inputs'!K37,'Model inputs'!K38,'Model inputs'!K39,'Model inputs'!K40,'Model inputs'!K41,'Model inputs'!K42,'Model inputs'!K43,'Model inputs'!K44,'Model inputs'!K45)</f>
        <v>11445</v>
      </c>
      <c r="I15" s="9">
        <f>SUM('Model inputs'!L35,'Model inputs'!L36,'Model inputs'!L37,'Model inputs'!L38,'Model inputs'!L39,'Model inputs'!L40,'Model inputs'!L41,'Model inputs'!L42,'Model inputs'!L43,'Model inputs'!L44,'Model inputs'!L45)</f>
        <v>11445</v>
      </c>
      <c r="J15" s="9">
        <f>SUM('Model inputs'!M35,'Model inputs'!M36,'Model inputs'!M37,'Model inputs'!M38,'Model inputs'!M39,'Model inputs'!M40,'Model inputs'!M41,'Model inputs'!M42,'Model inputs'!M43,'Model inputs'!M44,'Model inputs'!M45)</f>
        <v>11445</v>
      </c>
      <c r="K15" s="9">
        <f>SUM('Model inputs'!N35,'Model inputs'!N36,'Model inputs'!N37,'Model inputs'!N38,'Model inputs'!N39,'Model inputs'!N40,'Model inputs'!N41,'Model inputs'!N42,'Model inputs'!N43,'Model inputs'!N44,'Model inputs'!N45)</f>
        <v>11445</v>
      </c>
      <c r="L15" s="9">
        <f>SUM('Model inputs'!O35,'Model inputs'!O36,'Model inputs'!O37,'Model inputs'!O38,'Model inputs'!O39,'Model inputs'!O40,'Model inputs'!O41,'Model inputs'!O42,'Model inputs'!O43,'Model inputs'!O44,'Model inputs'!O45)</f>
        <v>11445</v>
      </c>
      <c r="M15" s="9">
        <f>SUM('Model inputs'!P35,'Model inputs'!P36,'Model inputs'!P37,'Model inputs'!P38,'Model inputs'!P39,'Model inputs'!P40,'Model inputs'!P41,'Model inputs'!P42,'Model inputs'!P43,'Model inputs'!P44,'Model inputs'!P45)</f>
        <v>11445</v>
      </c>
      <c r="N15" s="9">
        <f>SUM('Model inputs'!Q35,'Model inputs'!Q36,'Model inputs'!Q37,'Model inputs'!Q38,'Model inputs'!Q39,'Model inputs'!Q40,'Model inputs'!Q41,'Model inputs'!Q42,'Model inputs'!Q43,'Model inputs'!Q44,'Model inputs'!Q45)</f>
        <v>11445</v>
      </c>
      <c r="O15" s="9">
        <f>SUM('Model inputs'!R35,'Model inputs'!R36,'Model inputs'!R37,'Model inputs'!R38,'Model inputs'!R39,'Model inputs'!R40,'Model inputs'!R41,'Model inputs'!R42,'Model inputs'!R43,'Model inputs'!R44,'Model inputs'!R45)</f>
        <v>11445</v>
      </c>
      <c r="P15" s="9">
        <f>SUM('Model inputs'!S35,'Model inputs'!S36,'Model inputs'!S37,'Model inputs'!S38,'Model inputs'!S39,'Model inputs'!S40,'Model inputs'!S41,'Model inputs'!S42,'Model inputs'!S43,'Model inputs'!S44,'Model inputs'!S45)</f>
        <v>11445</v>
      </c>
      <c r="Q15" s="9">
        <f>SUM('Model inputs'!T35,'Model inputs'!T36,'Model inputs'!T37,'Model inputs'!T38,'Model inputs'!T39,'Model inputs'!T40,'Model inputs'!T41,'Model inputs'!T42,'Model inputs'!T43,'Model inputs'!T44,'Model inputs'!T45)</f>
        <v>11445</v>
      </c>
      <c r="R15" s="9">
        <f>SUM('Model inputs'!U35,'Model inputs'!U36,'Model inputs'!U37,'Model inputs'!U38,'Model inputs'!U39,'Model inputs'!U40,'Model inputs'!U41,'Model inputs'!U42,'Model inputs'!U43,'Model inputs'!U44,'Model inputs'!U45)</f>
        <v>11445</v>
      </c>
      <c r="S15" s="9">
        <f>SUM('Model inputs'!V35,'Model inputs'!V36,'Model inputs'!V37,'Model inputs'!V38,'Model inputs'!V39,'Model inputs'!V40,'Model inputs'!V41,'Model inputs'!V42,'Model inputs'!V43,'Model inputs'!V44,'Model inputs'!V45)</f>
        <v>11445</v>
      </c>
    </row>
    <row r="16">
      <c r="A16" t="inlineStr" s="10">
        <is>
          <t xml:space="preserve">Net income</t>
        </is>
      </c>
      <c r="B16" s="11">
        <f>'RC P&amp;L, cash &amp; runway'!B13-'RC P&amp;L, cash &amp; runway'!B15</f>
        <v>-2838.3727199999994</v>
      </c>
      <c r="C16" s="11">
        <f>'RC P&amp;L, cash &amp; runway'!C13-'RC P&amp;L, cash &amp; runway'!C15</f>
        <v>-1629.6830083657405</v>
      </c>
      <c r="D16" s="11">
        <f>'RC P&amp;L, cash &amp; runway'!D13-'RC P&amp;L, cash &amp; runway'!D15</f>
        <v>-351.0816731006289</v>
      </c>
      <c r="E16" s="11">
        <f>'RC P&amp;L, cash &amp; runway'!E13-'RC P&amp;L, cash &amp; runway'!E15</f>
        <v>-667.2280202450311</v>
      </c>
      <c r="F16" s="11">
        <f>'RC P&amp;L, cash &amp; runway'!F13-'RC P&amp;L, cash &amp; runway'!F15</f>
        <v>527.7008613427934</v>
      </c>
      <c r="G16" s="11">
        <f>'RC P&amp;L, cash &amp; runway'!G13-'RC P&amp;L, cash &amp; runway'!G15</f>
        <v>1989.9596610359786</v>
      </c>
      <c r="H16" s="11">
        <f>'RC P&amp;L, cash &amp; runway'!H13-'RC P&amp;L, cash &amp; runway'!H15</f>
        <v>-473.73205257878726</v>
      </c>
      <c r="I16" s="11">
        <f>'RC P&amp;L, cash &amp; runway'!I13-'RC P&amp;L, cash &amp; runway'!I15</f>
        <v>1336.2078701528098</v>
      </c>
      <c r="J16" s="11">
        <f>'RC P&amp;L, cash &amp; runway'!J13-'RC P&amp;L, cash &amp; runway'!J15</f>
        <v>3166.9899299876015</v>
      </c>
      <c r="K16" s="11">
        <f>'RC P&amp;L, cash &amp; runway'!K13-'RC P&amp;L, cash &amp; runway'!K15</f>
        <v>5033.39039618049</v>
      </c>
      <c r="L16" s="11">
        <f>'RC P&amp;L, cash &amp; runway'!L13-'RC P&amp;L, cash &amp; runway'!L15</f>
        <v>6933.535318441089</v>
      </c>
      <c r="M16" s="11">
        <f>'RC P&amp;L, cash &amp; runway'!M13-'RC P&amp;L, cash &amp; runway'!M15</f>
        <v>8870.052179182076</v>
      </c>
      <c r="N16" s="11">
        <f>'RC P&amp;L, cash &amp; runway'!N13-'RC P&amp;L, cash &amp; runway'!N15</f>
        <v>10845.616934506717</v>
      </c>
      <c r="O16" s="11">
        <f>'RC P&amp;L, cash &amp; runway'!O13-'RC P&amp;L, cash &amp; runway'!O15</f>
        <v>12836.346865080144</v>
      </c>
      <c r="P16" s="11">
        <f>'RC P&amp;L, cash &amp; runway'!P13-'RC P&amp;L, cash &amp; runway'!P15</f>
        <v>14878.069143353197</v>
      </c>
      <c r="Q16" s="11">
        <f>'RC P&amp;L, cash &amp; runway'!Q13-'RC P&amp;L, cash &amp; runway'!Q15</f>
        <v>16964.696758705755</v>
      </c>
      <c r="R16" s="11">
        <f>'RC P&amp;L, cash &amp; runway'!R13-'RC P&amp;L, cash &amp; runway'!R15</f>
        <v>19098.873448128914</v>
      </c>
      <c r="S16" s="11">
        <f>'RC P&amp;L, cash &amp; runway'!S13-'RC P&amp;L, cash &amp; runway'!S15</f>
        <v>21283.27912559572</v>
      </c>
    </row>
    <row r="17"/>
    <row r="18">
      <c r="A18" t="inlineStr" s="8">
        <is>
          <t xml:space="preserve">Cash collected</t>
        </is>
      </c>
      <c r="B18" s="9">
        <f>SUM('Model inputs'!E10,'Model inputs'!E11,'Model inputs'!E12)</f>
        <v>2697.6800000000003</v>
      </c>
      <c r="C18" s="9">
        <f>SUM('Model inputs'!F10,'Model inputs'!F11,'Model inputs'!F12)</f>
        <v>5606.778625</v>
      </c>
      <c r="D18" s="9">
        <f>SUM('Model inputs'!G10,'Model inputs'!G11,'Model inputs'!G12)</f>
        <v>7825.437596222222</v>
      </c>
      <c r="E18" s="9">
        <f>SUM('Model inputs'!H10,'Model inputs'!H11,'Model inputs'!H12)</f>
        <v>10146.445979945347</v>
      </c>
      <c r="F18" s="9">
        <f>SUM('Model inputs'!I10,'Model inputs'!I11,'Model inputs'!I12)</f>
        <v>12580.773190708544</v>
      </c>
      <c r="G18" s="9">
        <f>SUM('Model inputs'!J10,'Model inputs'!J11,'Model inputs'!J12)</f>
        <v>15140.751003750247</v>
      </c>
      <c r="H18" s="9">
        <f>SUM('Model inputs'!K10,'Model inputs'!K11,'Model inputs'!K12)</f>
        <v>17840.17124589042</v>
      </c>
      <c r="I18" s="9">
        <f>SUM('Model inputs'!L10,'Model inputs'!L11,'Model inputs'!L12)</f>
        <v>16646.246766121458</v>
      </c>
      <c r="J18" s="9">
        <f>SUM('Model inputs'!M10,'Model inputs'!M11,'Model inputs'!M12)</f>
        <v>18752.950290076937</v>
      </c>
      <c r="K18" s="9">
        <f>SUM('Model inputs'!N10,'Model inputs'!N11,'Model inputs'!N12)</f>
        <v>20735.056775405457</v>
      </c>
      <c r="L18" s="9">
        <f>SUM('Model inputs'!O10,'Model inputs'!O11,'Model inputs'!O12)</f>
        <v>22748.46821725793</v>
      </c>
      <c r="M18" s="9">
        <f>SUM('Model inputs'!P10,'Model inputs'!P11,'Model inputs'!P12)</f>
        <v>24796.445311724372</v>
      </c>
      <c r="N18" s="9">
        <f>SUM('Model inputs'!Q10,'Model inputs'!Q11,'Model inputs'!Q12)</f>
        <v>26882.269077899713</v>
      </c>
      <c r="O18" s="9">
        <f>SUM('Model inputs'!R10,'Model inputs'!R11,'Model inputs'!R12)</f>
        <v>29922.356426534036</v>
      </c>
      <c r="P18" s="9">
        <f>SUM('Model inputs'!S10,'Model inputs'!S11,'Model inputs'!S12)</f>
        <v>32786.31787579432</v>
      </c>
      <c r="Q18" s="9">
        <f>SUM('Model inputs'!T10,'Model inputs'!T11,'Model inputs'!T12)</f>
        <v>35784.22746472322</v>
      </c>
      <c r="R18" s="9">
        <f>SUM('Model inputs'!U10,'Model inputs'!U11,'Model inputs'!U12)</f>
        <v>38929.0091771567</v>
      </c>
      <c r="S18" s="9">
        <f>SUM('Model inputs'!V10,'Model inputs'!V11,'Model inputs'!V12)</f>
        <v>42234.939596773154</v>
      </c>
    </row>
    <row r="19">
      <c r="A19" t="inlineStr" s="8">
        <is>
          <t xml:space="preserve">Opex cash paid</t>
        </is>
      </c>
      <c r="B19" s="9">
        <f>SUM('Model inputs'!E47,'Model inputs'!E48,'Model inputs'!E49,'Model inputs'!E50,'Model inputs'!E51,'Model inputs'!E52,'Model inputs'!E53,'Model inputs'!E54,'Model inputs'!E55,'Model inputs'!E56,'Model inputs'!E57)</f>
        <v>9370</v>
      </c>
      <c r="C19" s="9">
        <f>SUM('Model inputs'!F47,'Model inputs'!F48,'Model inputs'!F49,'Model inputs'!F50,'Model inputs'!F51,'Model inputs'!F52,'Model inputs'!F53,'Model inputs'!F54,'Model inputs'!F55,'Model inputs'!F56,'Model inputs'!F57)</f>
        <v>5220</v>
      </c>
      <c r="D19" s="9">
        <f>SUM('Model inputs'!G47,'Model inputs'!G48,'Model inputs'!G49,'Model inputs'!G50,'Model inputs'!G51,'Model inputs'!G52,'Model inputs'!G53,'Model inputs'!G54,'Model inputs'!G55,'Model inputs'!G56,'Model inputs'!G57)</f>
        <v>5220</v>
      </c>
      <c r="E19" s="9">
        <f>SUM('Model inputs'!H47,'Model inputs'!H48,'Model inputs'!H49,'Model inputs'!H50,'Model inputs'!H51,'Model inputs'!H52,'Model inputs'!H53,'Model inputs'!H54,'Model inputs'!H55,'Model inputs'!H56,'Model inputs'!H57)</f>
        <v>6870</v>
      </c>
      <c r="F19" s="9">
        <f>SUM('Model inputs'!I47,'Model inputs'!I48,'Model inputs'!I49,'Model inputs'!I50,'Model inputs'!I51,'Model inputs'!I52,'Model inputs'!I53,'Model inputs'!I54,'Model inputs'!I55,'Model inputs'!I56,'Model inputs'!I57)</f>
        <v>7070</v>
      </c>
      <c r="G19" s="9">
        <f>SUM('Model inputs'!J47,'Model inputs'!J48,'Model inputs'!J49,'Model inputs'!J50,'Model inputs'!J51,'Model inputs'!J52,'Model inputs'!J53,'Model inputs'!J54,'Model inputs'!J55,'Model inputs'!J56,'Model inputs'!J57)</f>
        <v>7070</v>
      </c>
      <c r="H19" s="9">
        <f>SUM('Model inputs'!K47,'Model inputs'!K48,'Model inputs'!K49,'Model inputs'!K50,'Model inputs'!K51,'Model inputs'!K52,'Model inputs'!K53,'Model inputs'!K54,'Model inputs'!K55,'Model inputs'!K56,'Model inputs'!K57)</f>
        <v>11070</v>
      </c>
      <c r="I19" s="9">
        <f>SUM('Model inputs'!L47,'Model inputs'!L48,'Model inputs'!L49,'Model inputs'!L50,'Model inputs'!L51,'Model inputs'!L52,'Model inputs'!L53,'Model inputs'!L54,'Model inputs'!L55,'Model inputs'!L56,'Model inputs'!L57)</f>
        <v>11070</v>
      </c>
      <c r="J19" s="9">
        <f>SUM('Model inputs'!M47,'Model inputs'!M48,'Model inputs'!M49,'Model inputs'!M50,'Model inputs'!M51,'Model inputs'!M52,'Model inputs'!M53,'Model inputs'!M54,'Model inputs'!M55,'Model inputs'!M56,'Model inputs'!M57)</f>
        <v>11070</v>
      </c>
      <c r="K19" s="9">
        <f>SUM('Model inputs'!N47,'Model inputs'!N48,'Model inputs'!N49,'Model inputs'!N50,'Model inputs'!N51,'Model inputs'!N52,'Model inputs'!N53,'Model inputs'!N54,'Model inputs'!N55,'Model inputs'!N56,'Model inputs'!N57)</f>
        <v>11070</v>
      </c>
      <c r="L19" s="9">
        <f>SUM('Model inputs'!O47,'Model inputs'!O48,'Model inputs'!O49,'Model inputs'!O50,'Model inputs'!O51,'Model inputs'!O52,'Model inputs'!O53,'Model inputs'!O54,'Model inputs'!O55,'Model inputs'!O56,'Model inputs'!O57)</f>
        <v>11070</v>
      </c>
      <c r="M19" s="9">
        <f>SUM('Model inputs'!P47,'Model inputs'!P48,'Model inputs'!P49,'Model inputs'!P50,'Model inputs'!P51,'Model inputs'!P52,'Model inputs'!P53,'Model inputs'!P54,'Model inputs'!P55,'Model inputs'!P56,'Model inputs'!P57)</f>
        <v>11070</v>
      </c>
      <c r="N19" s="9">
        <f>SUM('Model inputs'!Q47,'Model inputs'!Q48,'Model inputs'!Q49,'Model inputs'!Q50,'Model inputs'!Q51,'Model inputs'!Q52,'Model inputs'!Q53,'Model inputs'!Q54,'Model inputs'!Q55,'Model inputs'!Q56,'Model inputs'!Q57)</f>
        <v>15570</v>
      </c>
      <c r="O19" s="9">
        <f>SUM('Model inputs'!R47,'Model inputs'!R48,'Model inputs'!R49,'Model inputs'!R50,'Model inputs'!R51,'Model inputs'!R52,'Model inputs'!R53,'Model inputs'!R54,'Model inputs'!R55,'Model inputs'!R56,'Model inputs'!R57)</f>
        <v>11070</v>
      </c>
      <c r="P19" s="9">
        <f>SUM('Model inputs'!S47,'Model inputs'!S48,'Model inputs'!S49,'Model inputs'!S50,'Model inputs'!S51,'Model inputs'!S52,'Model inputs'!S53,'Model inputs'!S54,'Model inputs'!S55,'Model inputs'!S56,'Model inputs'!S57)</f>
        <v>11070</v>
      </c>
      <c r="Q19" s="9">
        <f>SUM('Model inputs'!T47,'Model inputs'!T48,'Model inputs'!T49,'Model inputs'!T50,'Model inputs'!T51,'Model inputs'!T52,'Model inputs'!T53,'Model inputs'!T54,'Model inputs'!T55,'Model inputs'!T56,'Model inputs'!T57)</f>
        <v>11070</v>
      </c>
      <c r="R19" s="9">
        <f>SUM('Model inputs'!U47,'Model inputs'!U48,'Model inputs'!U49,'Model inputs'!U50,'Model inputs'!U51,'Model inputs'!U52,'Model inputs'!U53,'Model inputs'!U54,'Model inputs'!U55,'Model inputs'!U56,'Model inputs'!U57)</f>
        <v>11070</v>
      </c>
      <c r="S19" s="9">
        <f>SUM('Model inputs'!V47,'Model inputs'!V48,'Model inputs'!V49,'Model inputs'!V50,'Model inputs'!V51,'Model inputs'!V52,'Model inputs'!V53,'Model inputs'!V54,'Model inputs'!V55,'Model inputs'!V56,'Model inputs'!V57)</f>
        <v>11070</v>
      </c>
    </row>
    <row r="20">
      <c r="A20" t="inlineStr" s="8">
        <is>
          <t xml:space="preserve">Equity raised</t>
        </is>
      </c>
      <c r="B20" s="9">
        <f>IF(IF(IF(IFERROR(IF(ISERROR('Model inputs'!B8=1),'Model inputs'!B8=1,IF('Model inputs'!B8="","",'Model inputs'!B8=1))=FALSE,FALSE),FALSE,IF(IFERROR('Model inputs'!B358=FALSE,FALSE),FALSE,IF(IFERROR('Model inputs'!B359=FALSE,FALSE),FALSE,IF(OR(IF(ISERROR('Model inputs'!B8=1),'Model inputs'!B8=1,IF('Model inputs'!B8="","",'Model inputs'!B8=1))="",'Model inputs'!B358="",'Model inputs'!B359=""),"",AND(IF(ISERROR('Model inputs'!B8=1),'Model inputs'!B8=1,IF('Model inputs'!B8="","",'Model inputs'!B8=1)),'Model inputs'!B358,'Model inputs'!B359)))))="",FALSE,IF(IFERROR(IF(ISERROR('Model inputs'!B8=1),'Model inputs'!B8=1,IF('Model inputs'!B8="","",'Model inputs'!B8=1))=FALSE,FALSE),FALSE,IF(IFERROR('Model inputs'!B358=FALSE,FALSE),FALSE,IF(IFERROR('Model inputs'!B359=FALSE,FALSE),FALSE,IF(OR(IF(ISERROR('Model inputs'!B8=1),'Model inputs'!B8=1,IF('Model inputs'!B8="","",'Model inputs'!B8=1))="",'Model inputs'!B358="",'Model inputs'!B359=""),"",AND(IF(ISERROR('Model inputs'!B8=1),'Model inputs'!B8=1,IF('Model inputs'!B8="","",'Model inputs'!B8=1)),'Model inputs'!B358,'Model inputs'!B359)))))),IF('Model inputs'!B6="","",'Model inputs'!B6),0)</f>
        <v>0</v>
      </c>
      <c r="C20" s="9">
        <f>IF(IF(IF(IFERROR(IF(ISERROR('Model inputs'!B8=1),'Model inputs'!B8=1,IF('Model inputs'!B8="","",'Model inputs'!B8=1))=FALSE,FALSE),FALSE,IF(IFERROR('Model inputs'!B360=FALSE,FALSE),FALSE,IF(IFERROR('Model inputs'!B361=FALSE,FALSE),FALSE,IF(OR(IF(ISERROR('Model inputs'!B8=1),'Model inputs'!B8=1,IF('Model inputs'!B8="","",'Model inputs'!B8=1))="",'Model inputs'!B360="",'Model inputs'!B361=""),"",AND(IF(ISERROR('Model inputs'!B8=1),'Model inputs'!B8=1,IF('Model inputs'!B8="","",'Model inputs'!B8=1)),'Model inputs'!B360,'Model inputs'!B361)))))="",FALSE,IF(IFERROR(IF(ISERROR('Model inputs'!B8=1),'Model inputs'!B8=1,IF('Model inputs'!B8="","",'Model inputs'!B8=1))=FALSE,FALSE),FALSE,IF(IFERROR('Model inputs'!B360=FALSE,FALSE),FALSE,IF(IFERROR('Model inputs'!B361=FALSE,FALSE),FALSE,IF(OR(IF(ISERROR('Model inputs'!B8=1),'Model inputs'!B8=1,IF('Model inputs'!B8="","",'Model inputs'!B8=1))="",'Model inputs'!B360="",'Model inputs'!B361=""),"",AND(IF(ISERROR('Model inputs'!B8=1),'Model inputs'!B8=1,IF('Model inputs'!B8="","",'Model inputs'!B8=1)),'Model inputs'!B360,'Model inputs'!B361)))))),IF('Model inputs'!B6="","",'Model inputs'!B6),0)</f>
        <v>0</v>
      </c>
      <c r="D20" s="9">
        <f>IF(IF(IF(IFERROR(IF(ISERROR('Model inputs'!B8=1),'Model inputs'!B8=1,IF('Model inputs'!B8="","",'Model inputs'!B8=1))=FALSE,FALSE),FALSE,IF(IFERROR('Model inputs'!B362=FALSE,FALSE),FALSE,IF(IFERROR('Model inputs'!B363=FALSE,FALSE),FALSE,IF(OR(IF(ISERROR('Model inputs'!B8=1),'Model inputs'!B8=1,IF('Model inputs'!B8="","",'Model inputs'!B8=1))="",'Model inputs'!B362="",'Model inputs'!B363=""),"",AND(IF(ISERROR('Model inputs'!B8=1),'Model inputs'!B8=1,IF('Model inputs'!B8="","",'Model inputs'!B8=1)),'Model inputs'!B362,'Model inputs'!B363)))))="",FALSE,IF(IFERROR(IF(ISERROR('Model inputs'!B8=1),'Model inputs'!B8=1,IF('Model inputs'!B8="","",'Model inputs'!B8=1))=FALSE,FALSE),FALSE,IF(IFERROR('Model inputs'!B362=FALSE,FALSE),FALSE,IF(IFERROR('Model inputs'!B363=FALSE,FALSE),FALSE,IF(OR(IF(ISERROR('Model inputs'!B8=1),'Model inputs'!B8=1,IF('Model inputs'!B8="","",'Model inputs'!B8=1))="",'Model inputs'!B362="",'Model inputs'!B363=""),"",AND(IF(ISERROR('Model inputs'!B8=1),'Model inputs'!B8=1,IF('Model inputs'!B8="","",'Model inputs'!B8=1)),'Model inputs'!B362,'Model inputs'!B363)))))),IF('Model inputs'!B6="","",'Model inputs'!B6),0)</f>
        <v>0</v>
      </c>
      <c r="E20" s="9">
        <f>IF(IF(IF(IFERROR(IF(ISERROR('Model inputs'!B8=1),'Model inputs'!B8=1,IF('Model inputs'!B8="","",'Model inputs'!B8=1))=FALSE,FALSE),FALSE,IF(IFERROR('Model inputs'!B364=FALSE,FALSE),FALSE,IF(IFERROR('Model inputs'!B365=FALSE,FALSE),FALSE,IF(OR(IF(ISERROR('Model inputs'!B8=1),'Model inputs'!B8=1,IF('Model inputs'!B8="","",'Model inputs'!B8=1))="",'Model inputs'!B364="",'Model inputs'!B365=""),"",AND(IF(ISERROR('Model inputs'!B8=1),'Model inputs'!B8=1,IF('Model inputs'!B8="","",'Model inputs'!B8=1)),'Model inputs'!B364,'Model inputs'!B365)))))="",FALSE,IF(IFERROR(IF(ISERROR('Model inputs'!B8=1),'Model inputs'!B8=1,IF('Model inputs'!B8="","",'Model inputs'!B8=1))=FALSE,FALSE),FALSE,IF(IFERROR('Model inputs'!B364=FALSE,FALSE),FALSE,IF(IFERROR('Model inputs'!B365=FALSE,FALSE),FALSE,IF(OR(IF(ISERROR('Model inputs'!B8=1),'Model inputs'!B8=1,IF('Model inputs'!B8="","",'Model inputs'!B8=1))="",'Model inputs'!B364="",'Model inputs'!B365=""),"",AND(IF(ISERROR('Model inputs'!B8=1),'Model inputs'!B8=1,IF('Model inputs'!B8="","",'Model inputs'!B8=1)),'Model inputs'!B364,'Model inputs'!B365)))))),IF('Model inputs'!B6="","",'Model inputs'!B6),0)</f>
        <v>0</v>
      </c>
      <c r="F20" s="9">
        <f>IF(IF(IF(IFERROR(IF(ISERROR('Model inputs'!B8=1),'Model inputs'!B8=1,IF('Model inputs'!B8="","",'Model inputs'!B8=1))=FALSE,FALSE),FALSE,IF(IFERROR('Model inputs'!B366=FALSE,FALSE),FALSE,IF(IFERROR('Model inputs'!B367=FALSE,FALSE),FALSE,IF(OR(IF(ISERROR('Model inputs'!B8=1),'Model inputs'!B8=1,IF('Model inputs'!B8="","",'Model inputs'!B8=1))="",'Model inputs'!B366="",'Model inputs'!B367=""),"",AND(IF(ISERROR('Model inputs'!B8=1),'Model inputs'!B8=1,IF('Model inputs'!B8="","",'Model inputs'!B8=1)),'Model inputs'!B366,'Model inputs'!B367)))))="",FALSE,IF(IFERROR(IF(ISERROR('Model inputs'!B8=1),'Model inputs'!B8=1,IF('Model inputs'!B8="","",'Model inputs'!B8=1))=FALSE,FALSE),FALSE,IF(IFERROR('Model inputs'!B366=FALSE,FALSE),FALSE,IF(IFERROR('Model inputs'!B367=FALSE,FALSE),FALSE,IF(OR(IF(ISERROR('Model inputs'!B8=1),'Model inputs'!B8=1,IF('Model inputs'!B8="","",'Model inputs'!B8=1))="",'Model inputs'!B366="",'Model inputs'!B367=""),"",AND(IF(ISERROR('Model inputs'!B8=1),'Model inputs'!B8=1,IF('Model inputs'!B8="","",'Model inputs'!B8=1)),'Model inputs'!B366,'Model inputs'!B367)))))),IF('Model inputs'!B6="","",'Model inputs'!B6),0)</f>
        <v>0</v>
      </c>
      <c r="G20" s="9">
        <f>IF(IF(IF(IFERROR(IF(ISERROR('Model inputs'!B8=1),'Model inputs'!B8=1,IF('Model inputs'!B8="","",'Model inputs'!B8=1))=FALSE,FALSE),FALSE,IF(IFERROR('Model inputs'!B368=FALSE,FALSE),FALSE,IF(IFERROR('Model inputs'!B369=FALSE,FALSE),FALSE,IF(OR(IF(ISERROR('Model inputs'!B8=1),'Model inputs'!B8=1,IF('Model inputs'!B8="","",'Model inputs'!B8=1))="",'Model inputs'!B368="",'Model inputs'!B369=""),"",AND(IF(ISERROR('Model inputs'!B8=1),'Model inputs'!B8=1,IF('Model inputs'!B8="","",'Model inputs'!B8=1)),'Model inputs'!B368,'Model inputs'!B369)))))="",FALSE,IF(IFERROR(IF(ISERROR('Model inputs'!B8=1),'Model inputs'!B8=1,IF('Model inputs'!B8="","",'Model inputs'!B8=1))=FALSE,FALSE),FALSE,IF(IFERROR('Model inputs'!B368=FALSE,FALSE),FALSE,IF(IFERROR('Model inputs'!B369=FALSE,FALSE),FALSE,IF(OR(IF(ISERROR('Model inputs'!B8=1),'Model inputs'!B8=1,IF('Model inputs'!B8="","",'Model inputs'!B8=1))="",'Model inputs'!B368="",'Model inputs'!B369=""),"",AND(IF(ISERROR('Model inputs'!B8=1),'Model inputs'!B8=1,IF('Model inputs'!B8="","",'Model inputs'!B8=1)),'Model inputs'!B368,'Model inputs'!B369)))))),IF('Model inputs'!B6="","",'Model inputs'!B6),0)</f>
        <v>0</v>
      </c>
      <c r="H20" s="9">
        <f>IF(IF(IF(IFERROR(IF(ISERROR('Model inputs'!B8=1),'Model inputs'!B8=1,IF('Model inputs'!B8="","",'Model inputs'!B8=1))=FALSE,FALSE),FALSE,IF(IFERROR('Model inputs'!B370=FALSE,FALSE),FALSE,IF(IFERROR('Model inputs'!B371=FALSE,FALSE),FALSE,IF(OR(IF(ISERROR('Model inputs'!B8=1),'Model inputs'!B8=1,IF('Model inputs'!B8="","",'Model inputs'!B8=1))="",'Model inputs'!B370="",'Model inputs'!B371=""),"",AND(IF(ISERROR('Model inputs'!B8=1),'Model inputs'!B8=1,IF('Model inputs'!B8="","",'Model inputs'!B8=1)),'Model inputs'!B370,'Model inputs'!B371)))))="",FALSE,IF(IFERROR(IF(ISERROR('Model inputs'!B8=1),'Model inputs'!B8=1,IF('Model inputs'!B8="","",'Model inputs'!B8=1))=FALSE,FALSE),FALSE,IF(IFERROR('Model inputs'!B370=FALSE,FALSE),FALSE,IF(IFERROR('Model inputs'!B371=FALSE,FALSE),FALSE,IF(OR(IF(ISERROR('Model inputs'!B8=1),'Model inputs'!B8=1,IF('Model inputs'!B8="","",'Model inputs'!B8=1))="",'Model inputs'!B370="",'Model inputs'!B371=""),"",AND(IF(ISERROR('Model inputs'!B8=1),'Model inputs'!B8=1,IF('Model inputs'!B8="","",'Model inputs'!B8=1)),'Model inputs'!B370,'Model inputs'!B371)))))),IF('Model inputs'!B6="","",'Model inputs'!B6),0)</f>
        <v>0</v>
      </c>
      <c r="I20" s="9">
        <f>IF(IF(IF(IFERROR(IF(ISERROR('Model inputs'!B8=1),'Model inputs'!B8=1,IF('Model inputs'!B8="","",'Model inputs'!B8=1))=FALSE,FALSE),FALSE,IF(IFERROR('Model inputs'!B372=FALSE,FALSE),FALSE,IF(IFERROR('Model inputs'!B373=FALSE,FALSE),FALSE,IF(OR(IF(ISERROR('Model inputs'!B8=1),'Model inputs'!B8=1,IF('Model inputs'!B8="","",'Model inputs'!B8=1))="",'Model inputs'!B372="",'Model inputs'!B373=""),"",AND(IF(ISERROR('Model inputs'!B8=1),'Model inputs'!B8=1,IF('Model inputs'!B8="","",'Model inputs'!B8=1)),'Model inputs'!B372,'Model inputs'!B373)))))="",FALSE,IF(IFERROR(IF(ISERROR('Model inputs'!B8=1),'Model inputs'!B8=1,IF('Model inputs'!B8="","",'Model inputs'!B8=1))=FALSE,FALSE),FALSE,IF(IFERROR('Model inputs'!B372=FALSE,FALSE),FALSE,IF(IFERROR('Model inputs'!B373=FALSE,FALSE),FALSE,IF(OR(IF(ISERROR('Model inputs'!B8=1),'Model inputs'!B8=1,IF('Model inputs'!B8="","",'Model inputs'!B8=1))="",'Model inputs'!B372="",'Model inputs'!B373=""),"",AND(IF(ISERROR('Model inputs'!B8=1),'Model inputs'!B8=1,IF('Model inputs'!B8="","",'Model inputs'!B8=1)),'Model inputs'!B372,'Model inputs'!B373)))))),IF('Model inputs'!B6="","",'Model inputs'!B6),0)</f>
        <v>0</v>
      </c>
      <c r="J20" s="9">
        <f>IF(IF(IF(IFERROR(IF(ISERROR('Model inputs'!B8=1),'Model inputs'!B8=1,IF('Model inputs'!B8="","",'Model inputs'!B8=1))=FALSE,FALSE),FALSE,IF(IFERROR('Model inputs'!B374=FALSE,FALSE),FALSE,IF(IFERROR('Model inputs'!B375=FALSE,FALSE),FALSE,IF(OR(IF(ISERROR('Model inputs'!B8=1),'Model inputs'!B8=1,IF('Model inputs'!B8="","",'Model inputs'!B8=1))="",'Model inputs'!B374="",'Model inputs'!B375=""),"",AND(IF(ISERROR('Model inputs'!B8=1),'Model inputs'!B8=1,IF('Model inputs'!B8="","",'Model inputs'!B8=1)),'Model inputs'!B374,'Model inputs'!B375)))))="",FALSE,IF(IFERROR(IF(ISERROR('Model inputs'!B8=1),'Model inputs'!B8=1,IF('Model inputs'!B8="","",'Model inputs'!B8=1))=FALSE,FALSE),FALSE,IF(IFERROR('Model inputs'!B374=FALSE,FALSE),FALSE,IF(IFERROR('Model inputs'!B375=FALSE,FALSE),FALSE,IF(OR(IF(ISERROR('Model inputs'!B8=1),'Model inputs'!B8=1,IF('Model inputs'!B8="","",'Model inputs'!B8=1))="",'Model inputs'!B374="",'Model inputs'!B375=""),"",AND(IF(ISERROR('Model inputs'!B8=1),'Model inputs'!B8=1,IF('Model inputs'!B8="","",'Model inputs'!B8=1)),'Model inputs'!B374,'Model inputs'!B375)))))),IF('Model inputs'!B6="","",'Model inputs'!B6),0)</f>
        <v>0</v>
      </c>
      <c r="K20" s="9">
        <f>IF(IF(IF(IFERROR(IF(ISERROR('Model inputs'!B8=1),'Model inputs'!B8=1,IF('Model inputs'!B8="","",'Model inputs'!B8=1))=FALSE,FALSE),FALSE,IF(IFERROR('Model inputs'!B376=FALSE,FALSE),FALSE,IF(IFERROR('Model inputs'!B377=FALSE,FALSE),FALSE,IF(OR(IF(ISERROR('Model inputs'!B8=1),'Model inputs'!B8=1,IF('Model inputs'!B8="","",'Model inputs'!B8=1))="",'Model inputs'!B376="",'Model inputs'!B377=""),"",AND(IF(ISERROR('Model inputs'!B8=1),'Model inputs'!B8=1,IF('Model inputs'!B8="","",'Model inputs'!B8=1)),'Model inputs'!B376,'Model inputs'!B377)))))="",FALSE,IF(IFERROR(IF(ISERROR('Model inputs'!B8=1),'Model inputs'!B8=1,IF('Model inputs'!B8="","",'Model inputs'!B8=1))=FALSE,FALSE),FALSE,IF(IFERROR('Model inputs'!B376=FALSE,FALSE),FALSE,IF(IFERROR('Model inputs'!B377=FALSE,FALSE),FALSE,IF(OR(IF(ISERROR('Model inputs'!B8=1),'Model inputs'!B8=1,IF('Model inputs'!B8="","",'Model inputs'!B8=1))="",'Model inputs'!B376="",'Model inputs'!B377=""),"",AND(IF(ISERROR('Model inputs'!B8=1),'Model inputs'!B8=1,IF('Model inputs'!B8="","",'Model inputs'!B8=1)),'Model inputs'!B376,'Model inputs'!B377)))))),IF('Model inputs'!B6="","",'Model inputs'!B6),0)</f>
        <v>0</v>
      </c>
      <c r="L20" s="9">
        <f>IF(IF(IF(IFERROR(IF(ISERROR('Model inputs'!B8=1),'Model inputs'!B8=1,IF('Model inputs'!B8="","",'Model inputs'!B8=1))=FALSE,FALSE),FALSE,IF(IFERROR('Model inputs'!B378=FALSE,FALSE),FALSE,IF(IFERROR('Model inputs'!B379=FALSE,FALSE),FALSE,IF(OR(IF(ISERROR('Model inputs'!B8=1),'Model inputs'!B8=1,IF('Model inputs'!B8="","",'Model inputs'!B8=1))="",'Model inputs'!B378="",'Model inputs'!B379=""),"",AND(IF(ISERROR('Model inputs'!B8=1),'Model inputs'!B8=1,IF('Model inputs'!B8="","",'Model inputs'!B8=1)),'Model inputs'!B378,'Model inputs'!B379)))))="",FALSE,IF(IFERROR(IF(ISERROR('Model inputs'!B8=1),'Model inputs'!B8=1,IF('Model inputs'!B8="","",'Model inputs'!B8=1))=FALSE,FALSE),FALSE,IF(IFERROR('Model inputs'!B378=FALSE,FALSE),FALSE,IF(IFERROR('Model inputs'!B379=FALSE,FALSE),FALSE,IF(OR(IF(ISERROR('Model inputs'!B8=1),'Model inputs'!B8=1,IF('Model inputs'!B8="","",'Model inputs'!B8=1))="",'Model inputs'!B378="",'Model inputs'!B379=""),"",AND(IF(ISERROR('Model inputs'!B8=1),'Model inputs'!B8=1,IF('Model inputs'!B8="","",'Model inputs'!B8=1)),'Model inputs'!B378,'Model inputs'!B379)))))),IF('Model inputs'!B6="","",'Model inputs'!B6),0)</f>
        <v>0</v>
      </c>
      <c r="M20" s="9">
        <f>IF(IF(IF(IFERROR(IF(ISERROR('Model inputs'!B8=1),'Model inputs'!B8=1,IF('Model inputs'!B8="","",'Model inputs'!B8=1))=FALSE,FALSE),FALSE,IF(IFERROR('Model inputs'!B380=FALSE,FALSE),FALSE,IF(IFERROR('Model inputs'!B381=FALSE,FALSE),FALSE,IF(OR(IF(ISERROR('Model inputs'!B8=1),'Model inputs'!B8=1,IF('Model inputs'!B8="","",'Model inputs'!B8=1))="",'Model inputs'!B380="",'Model inputs'!B381=""),"",AND(IF(ISERROR('Model inputs'!B8=1),'Model inputs'!B8=1,IF('Model inputs'!B8="","",'Model inputs'!B8=1)),'Model inputs'!B380,'Model inputs'!B381)))))="",FALSE,IF(IFERROR(IF(ISERROR('Model inputs'!B8=1),'Model inputs'!B8=1,IF('Model inputs'!B8="","",'Model inputs'!B8=1))=FALSE,FALSE),FALSE,IF(IFERROR('Model inputs'!B380=FALSE,FALSE),FALSE,IF(IFERROR('Model inputs'!B381=FALSE,FALSE),FALSE,IF(OR(IF(ISERROR('Model inputs'!B8=1),'Model inputs'!B8=1,IF('Model inputs'!B8="","",'Model inputs'!B8=1))="",'Model inputs'!B380="",'Model inputs'!B381=""),"",AND(IF(ISERROR('Model inputs'!B8=1),'Model inputs'!B8=1,IF('Model inputs'!B8="","",'Model inputs'!B8=1)),'Model inputs'!B380,'Model inputs'!B381)))))),IF('Model inputs'!B6="","",'Model inputs'!B6),0)</f>
        <v>0</v>
      </c>
      <c r="N20" s="9">
        <f>IF(IF(IF(IFERROR(IF(ISERROR('Model inputs'!B8=1),'Model inputs'!B8=1,IF('Model inputs'!B8="","",'Model inputs'!B8=1))=FALSE,FALSE),FALSE,IF(IFERROR('Model inputs'!B382=FALSE,FALSE),FALSE,IF(IFERROR('Model inputs'!B383=FALSE,FALSE),FALSE,IF(OR(IF(ISERROR('Model inputs'!B8=1),'Model inputs'!B8=1,IF('Model inputs'!B8="","",'Model inputs'!B8=1))="",'Model inputs'!B382="",'Model inputs'!B383=""),"",AND(IF(ISERROR('Model inputs'!B8=1),'Model inputs'!B8=1,IF('Model inputs'!B8="","",'Model inputs'!B8=1)),'Model inputs'!B382,'Model inputs'!B383)))))="",FALSE,IF(IFERROR(IF(ISERROR('Model inputs'!B8=1),'Model inputs'!B8=1,IF('Model inputs'!B8="","",'Model inputs'!B8=1))=FALSE,FALSE),FALSE,IF(IFERROR('Model inputs'!B382=FALSE,FALSE),FALSE,IF(IFERROR('Model inputs'!B383=FALSE,FALSE),FALSE,IF(OR(IF(ISERROR('Model inputs'!B8=1),'Model inputs'!B8=1,IF('Model inputs'!B8="","",'Model inputs'!B8=1))="",'Model inputs'!B382="",'Model inputs'!B383=""),"",AND(IF(ISERROR('Model inputs'!B8=1),'Model inputs'!B8=1,IF('Model inputs'!B8="","",'Model inputs'!B8=1)),'Model inputs'!B382,'Model inputs'!B383)))))),IF('Model inputs'!B6="","",'Model inputs'!B6),0)</f>
        <v>0</v>
      </c>
      <c r="O20" s="9">
        <f>IF(IF(IF(IFERROR(IF(ISERROR('Model inputs'!B8=1),'Model inputs'!B8=1,IF('Model inputs'!B8="","",'Model inputs'!B8=1))=FALSE,FALSE),FALSE,IF(IFERROR('Model inputs'!B384=FALSE,FALSE),FALSE,IF(IFERROR('Model inputs'!B385=FALSE,FALSE),FALSE,IF(OR(IF(ISERROR('Model inputs'!B8=1),'Model inputs'!B8=1,IF('Model inputs'!B8="","",'Model inputs'!B8=1))="",'Model inputs'!B384="",'Model inputs'!B385=""),"",AND(IF(ISERROR('Model inputs'!B8=1),'Model inputs'!B8=1,IF('Model inputs'!B8="","",'Model inputs'!B8=1)),'Model inputs'!B384,'Model inputs'!B385)))))="",FALSE,IF(IFERROR(IF(ISERROR('Model inputs'!B8=1),'Model inputs'!B8=1,IF('Model inputs'!B8="","",'Model inputs'!B8=1))=FALSE,FALSE),FALSE,IF(IFERROR('Model inputs'!B384=FALSE,FALSE),FALSE,IF(IFERROR('Model inputs'!B385=FALSE,FALSE),FALSE,IF(OR(IF(ISERROR('Model inputs'!B8=1),'Model inputs'!B8=1,IF('Model inputs'!B8="","",'Model inputs'!B8=1))="",'Model inputs'!B384="",'Model inputs'!B385=""),"",AND(IF(ISERROR('Model inputs'!B8=1),'Model inputs'!B8=1,IF('Model inputs'!B8="","",'Model inputs'!B8=1)),'Model inputs'!B384,'Model inputs'!B385)))))),IF('Model inputs'!B6="","",'Model inputs'!B6),0)</f>
        <v>0</v>
      </c>
      <c r="P20" s="9">
        <f>IF(IF(IF(IFERROR(IF(ISERROR('Model inputs'!B8=1),'Model inputs'!B8=1,IF('Model inputs'!B8="","",'Model inputs'!B8=1))=FALSE,FALSE),FALSE,IF(IFERROR('Model inputs'!B386=FALSE,FALSE),FALSE,IF(IFERROR('Model inputs'!B387=FALSE,FALSE),FALSE,IF(OR(IF(ISERROR('Model inputs'!B8=1),'Model inputs'!B8=1,IF('Model inputs'!B8="","",'Model inputs'!B8=1))="",'Model inputs'!B386="",'Model inputs'!B387=""),"",AND(IF(ISERROR('Model inputs'!B8=1),'Model inputs'!B8=1,IF('Model inputs'!B8="","",'Model inputs'!B8=1)),'Model inputs'!B386,'Model inputs'!B387)))))="",FALSE,IF(IFERROR(IF(ISERROR('Model inputs'!B8=1),'Model inputs'!B8=1,IF('Model inputs'!B8="","",'Model inputs'!B8=1))=FALSE,FALSE),FALSE,IF(IFERROR('Model inputs'!B386=FALSE,FALSE),FALSE,IF(IFERROR('Model inputs'!B387=FALSE,FALSE),FALSE,IF(OR(IF(ISERROR('Model inputs'!B8=1),'Model inputs'!B8=1,IF('Model inputs'!B8="","",'Model inputs'!B8=1))="",'Model inputs'!B386="",'Model inputs'!B387=""),"",AND(IF(ISERROR('Model inputs'!B8=1),'Model inputs'!B8=1,IF('Model inputs'!B8="","",'Model inputs'!B8=1)),'Model inputs'!B386,'Model inputs'!B387)))))),IF('Model inputs'!B6="","",'Model inputs'!B6),0)</f>
        <v>0</v>
      </c>
      <c r="Q20" s="9">
        <f>IF(IF(IF(IFERROR(IF(ISERROR('Model inputs'!B8=1),'Model inputs'!B8=1,IF('Model inputs'!B8="","",'Model inputs'!B8=1))=FALSE,FALSE),FALSE,IF(IFERROR('Model inputs'!B388=FALSE,FALSE),FALSE,IF(IFERROR('Model inputs'!B389=FALSE,FALSE),FALSE,IF(OR(IF(ISERROR('Model inputs'!B8=1),'Model inputs'!B8=1,IF('Model inputs'!B8="","",'Model inputs'!B8=1))="",'Model inputs'!B388="",'Model inputs'!B389=""),"",AND(IF(ISERROR('Model inputs'!B8=1),'Model inputs'!B8=1,IF('Model inputs'!B8="","",'Model inputs'!B8=1)),'Model inputs'!B388,'Model inputs'!B389)))))="",FALSE,IF(IFERROR(IF(ISERROR('Model inputs'!B8=1),'Model inputs'!B8=1,IF('Model inputs'!B8="","",'Model inputs'!B8=1))=FALSE,FALSE),FALSE,IF(IFERROR('Model inputs'!B388=FALSE,FALSE),FALSE,IF(IFERROR('Model inputs'!B389=FALSE,FALSE),FALSE,IF(OR(IF(ISERROR('Model inputs'!B8=1),'Model inputs'!B8=1,IF('Model inputs'!B8="","",'Model inputs'!B8=1))="",'Model inputs'!B388="",'Model inputs'!B389=""),"",AND(IF(ISERROR('Model inputs'!B8=1),'Model inputs'!B8=1,IF('Model inputs'!B8="","",'Model inputs'!B8=1)),'Model inputs'!B388,'Model inputs'!B389)))))),IF('Model inputs'!B6="","",'Model inputs'!B6),0)</f>
        <v>0</v>
      </c>
      <c r="R20" s="9">
        <f>IF(IF(IF(IFERROR(IF(ISERROR('Model inputs'!B8=1),'Model inputs'!B8=1,IF('Model inputs'!B8="","",'Model inputs'!B8=1))=FALSE,FALSE),FALSE,IF(IFERROR('Model inputs'!B390=FALSE,FALSE),FALSE,IF(IFERROR('Model inputs'!B391=FALSE,FALSE),FALSE,IF(OR(IF(ISERROR('Model inputs'!B8=1),'Model inputs'!B8=1,IF('Model inputs'!B8="","",'Model inputs'!B8=1))="",'Model inputs'!B390="",'Model inputs'!B391=""),"",AND(IF(ISERROR('Model inputs'!B8=1),'Model inputs'!B8=1,IF('Model inputs'!B8="","",'Model inputs'!B8=1)),'Model inputs'!B390,'Model inputs'!B391)))))="",FALSE,IF(IFERROR(IF(ISERROR('Model inputs'!B8=1),'Model inputs'!B8=1,IF('Model inputs'!B8="","",'Model inputs'!B8=1))=FALSE,FALSE),FALSE,IF(IFERROR('Model inputs'!B390=FALSE,FALSE),FALSE,IF(IFERROR('Model inputs'!B391=FALSE,FALSE),FALSE,IF(OR(IF(ISERROR('Model inputs'!B8=1),'Model inputs'!B8=1,IF('Model inputs'!B8="","",'Model inputs'!B8=1))="",'Model inputs'!B390="",'Model inputs'!B391=""),"",AND(IF(ISERROR('Model inputs'!B8=1),'Model inputs'!B8=1,IF('Model inputs'!B8="","",'Model inputs'!B8=1)),'Model inputs'!B390,'Model inputs'!B391)))))),IF('Model inputs'!B6="","",'Model inputs'!B6),0)</f>
        <v>0</v>
      </c>
      <c r="S20" s="9">
        <f>IF(IF(IF(IFERROR(IF(ISERROR('Model inputs'!B8=1),'Model inputs'!B8=1,IF('Model inputs'!B8="","",'Model inputs'!B8=1))=FALSE,FALSE),FALSE,IF(IFERROR('Model inputs'!B392=FALSE,FALSE),FALSE,IF(IFERROR('Model inputs'!B393=FALSE,FALSE),FALSE,IF(OR(IF(ISERROR('Model inputs'!B8=1),'Model inputs'!B8=1,IF('Model inputs'!B8="","",'Model inputs'!B8=1))="",'Model inputs'!B392="",'Model inputs'!B393=""),"",AND(IF(ISERROR('Model inputs'!B8=1),'Model inputs'!B8=1,IF('Model inputs'!B8="","",'Model inputs'!B8=1)),'Model inputs'!B392,'Model inputs'!B393)))))="",FALSE,IF(IFERROR(IF(ISERROR('Model inputs'!B8=1),'Model inputs'!B8=1,IF('Model inputs'!B8="","",'Model inputs'!B8=1))=FALSE,FALSE),FALSE,IF(IFERROR('Model inputs'!B392=FALSE,FALSE),FALSE,IF(IFERROR('Model inputs'!B393=FALSE,FALSE),FALSE,IF(OR(IF(ISERROR('Model inputs'!B8=1),'Model inputs'!B8=1,IF('Model inputs'!B8="","",'Model inputs'!B8=1))="",'Model inputs'!B392="",'Model inputs'!B393=""),"",AND(IF(ISERROR('Model inputs'!B8=1),'Model inputs'!B8=1,IF('Model inputs'!B8="","",'Model inputs'!B8=1)),'Model inputs'!B392,'Model inputs'!B393)))))),IF('Model inputs'!B6="","",'Model inputs'!B6),0)</f>
        <v>0</v>
      </c>
    </row>
    <row r="21">
      <c r="A21" t="inlineStr" s="8">
        <is>
          <t xml:space="preserve">Net cash change</t>
        </is>
      </c>
      <c r="B21" s="9">
        <f>'RC P&amp;L, cash &amp; runway'!B18-'RC P&amp;L, cash &amp; runway'!B9-'RC P&amp;L, cash &amp; runway'!B12-'RC P&amp;L, cash &amp; runway'!B19+'RC P&amp;L, cash &amp; runway'!B20</f>
        <v>-6963.372719999999</v>
      </c>
      <c r="C21" s="9">
        <f>'RC P&amp;L, cash &amp; runway'!C18-'RC P&amp;L, cash &amp; runway'!C9-'RC P&amp;L, cash &amp; runway'!C12-'RC P&amp;L, cash &amp; runway'!C19+'RC P&amp;L, cash &amp; runway'!C20</f>
        <v>-129.79945512500035</v>
      </c>
      <c r="D21" s="9">
        <f>'RC P&amp;L, cash &amp; runway'!D18-'RC P&amp;L, cash &amp; runway'!D9-'RC P&amp;L, cash &amp; runway'!D12-'RC P&amp;L, cash &amp; runway'!D19+'RC P&amp;L, cash &amp; runway'!D20</f>
        <v>1907.1255520151108</v>
      </c>
      <c r="E21" s="9">
        <f>'RC P&amp;L, cash &amp; runway'!E18-'RC P&amp;L, cash &amp; runway'!E9-'RC P&amp;L, cash &amp; runway'!E12-'RC P&amp;L, cash &amp; runway'!E19+'RC P&amp;L, cash &amp; runway'!E20</f>
        <v>2387.470321192661</v>
      </c>
      <c r="F21" s="9">
        <f>'RC P&amp;L, cash &amp; runway'!F18-'RC P&amp;L, cash &amp; runway'!F9-'RC P&amp;L, cash &amp; runway'!F12-'RC P&amp;L, cash &amp; runway'!F19+'RC P&amp;L, cash &amp; runway'!F20</f>
        <v>4421.2451315619055</v>
      </c>
      <c r="G21" s="9">
        <f>'RC P&amp;L, cash &amp; runway'!G18-'RC P&amp;L, cash &amp; runway'!G9-'RC P&amp;L, cash &amp; runway'!G12-'RC P&amp;L, cash &amp; runway'!G19+'RC P&amp;L, cash &amp; runway'!G20</f>
        <v>6769.73017820916</v>
      </c>
      <c r="H21" s="9">
        <f>'RC P&amp;L, cash &amp; runway'!H18-'RC P&amp;L, cash &amp; runway'!H9-'RC P&amp;L, cash &amp; runway'!H12-'RC P&amp;L, cash &amp; runway'!H19+'RC P&amp;L, cash &amp; runway'!H20</f>
        <v>5245.565410583662</v>
      </c>
      <c r="I21" s="9">
        <f>'RC P&amp;L, cash &amp; runway'!I18-'RC P&amp;L, cash &amp; runway'!I9-'RC P&amp;L, cash &amp; runway'!I12-'RC P&amp;L, cash &amp; runway'!I19+'RC P&amp;L, cash &amp; runway'!I20</f>
        <v>3932.0991694718705</v>
      </c>
      <c r="J21" s="9">
        <f>'RC P&amp;L, cash &amp; runway'!J18-'RC P&amp;L, cash &amp; runway'!J9-'RC P&amp;L, cash &amp; runway'!J12-'RC P&amp;L, cash &amp; runway'!J19+'RC P&amp;L, cash &amp; runway'!J20</f>
        <v>5813.103235978975</v>
      </c>
      <c r="K21" s="9">
        <f>'RC P&amp;L, cash &amp; runway'!K18-'RC P&amp;L, cash &amp; runway'!K9-'RC P&amp;L, cash &amp; runway'!K12-'RC P&amp;L, cash &amp; runway'!K19+'RC P&amp;L, cash &amp; runway'!K20</f>
        <v>7570.260325917436</v>
      </c>
      <c r="L21" s="9">
        <f>'RC P&amp;L, cash &amp; runway'!L18-'RC P&amp;L, cash &amp; runway'!L9-'RC P&amp;L, cash &amp; runway'!L12-'RC P&amp;L, cash &amp; runway'!L19+'RC P&amp;L, cash &amp; runway'!L20</f>
        <v>9354.691194280353</v>
      </c>
      <c r="M21" s="9">
        <f>'RC P&amp;L, cash &amp; runway'!M18-'RC P&amp;L, cash &amp; runway'!M9-'RC P&amp;L, cash &amp; runway'!M12-'RC P&amp;L, cash &amp; runway'!M19+'RC P&amp;L, cash &amp; runway'!M20</f>
        <v>11169.329218827374</v>
      </c>
      <c r="N21" s="9">
        <f>'RC P&amp;L, cash &amp; runway'!N18-'RC P&amp;L, cash &amp; runway'!N9-'RC P&amp;L, cash &amp; runway'!N12-'RC P&amp;L, cash &amp; runway'!N19+'RC P&amp;L, cash &amp; runway'!N20</f>
        <v>8517.123309421157</v>
      </c>
      <c r="O21" s="9">
        <f>'RC P&amp;L, cash &amp; runway'!O18-'RC P&amp;L, cash &amp; runway'!O9-'RC P&amp;L, cash &amp; runway'!O12-'RC P&amp;L, cash &amp; runway'!O19+'RC P&amp;L, cash &amp; runway'!O20</f>
        <v>15787.540581002813</v>
      </c>
      <c r="P21" s="9">
        <f>'RC P&amp;L, cash &amp; runway'!P18-'RC P&amp;L, cash &amp; runway'!P9-'RC P&amp;L, cash &amp; runway'!P12-'RC P&amp;L, cash &amp; runway'!P19+'RC P&amp;L, cash &amp; runway'!P20</f>
        <v>18382.886882254454</v>
      </c>
      <c r="Q21" s="9">
        <f>'RC P&amp;L, cash &amp; runway'!Q18-'RC P&amp;L, cash &amp; runway'!Q9-'RC P&amp;L, cash &amp; runway'!Q12-'RC P&amp;L, cash &amp; runway'!Q19+'RC P&amp;L, cash &amp; runway'!Q20</f>
        <v>21103.946857552688</v>
      </c>
      <c r="R21" s="9">
        <f>'RC P&amp;L, cash &amp; runway'!R18-'RC P&amp;L, cash &amp; runway'!R9-'RC P&amp;L, cash &amp; runway'!R12-'RC P&amp;L, cash &amp; runway'!R19+'RC P&amp;L, cash &amp; runway'!R20</f>
        <v>23963.009488394346</v>
      </c>
      <c r="S21" s="9">
        <f>'RC P&amp;L, cash &amp; runway'!S18-'RC P&amp;L, cash &amp; runway'!S9-'RC P&amp;L, cash &amp; runway'!S12-'RC P&amp;L, cash &amp; runway'!S19+'RC P&amp;L, cash &amp; runway'!S20</f>
        <v>26973.67031421868</v>
      </c>
    </row>
    <row r="22">
      <c r="A22" t="inlineStr" s="10">
        <is>
          <t xml:space="preserve">Cash on hand</t>
        </is>
      </c>
      <c r="B22" s="11">
        <f>IF(IF(IF(ISERROR('Model inputs'!E32=0),'Model inputs'!E32=0,IF('Model inputs'!E32="","",'Model inputs'!E32=0))="",FALSE,IF(ISERROR('Model inputs'!E32=0),'Model inputs'!E32=0,IF('Model inputs'!E32="","",'Model inputs'!E32=0))),'Model inputs'!B67+'RC P&amp;L, cash &amp; runway'!B21,'Model inputs'!D14+'RC P&amp;L, cash &amp; runway'!B21)</f>
        <v>5036.627280000001</v>
      </c>
      <c r="C22" s="11">
        <f>IF(IF(IF(ISERROR('Model inputs'!F32=0),'Model inputs'!F32=0,IF('Model inputs'!F32="","",'Model inputs'!F32=0))="",FALSE,IF(ISERROR('Model inputs'!F32=0),'Model inputs'!F32=0,IF('Model inputs'!F32="","",'Model inputs'!F32=0))),'Model inputs'!B67+'RC P&amp;L, cash &amp; runway'!C21,'RC P&amp;L, cash &amp; runway'!B22+'RC P&amp;L, cash &amp; runway'!C21)</f>
        <v>4906.827824875</v>
      </c>
      <c r="D22" s="11">
        <f>IF(IF(IF(ISERROR('Model inputs'!G32=0),'Model inputs'!G32=0,IF('Model inputs'!G32="","",'Model inputs'!G32=0))="",FALSE,IF(ISERROR('Model inputs'!G32=0),'Model inputs'!G32=0,IF('Model inputs'!G32="","",'Model inputs'!G32=0))),'Model inputs'!B67+'RC P&amp;L, cash &amp; runway'!D21,'RC P&amp;L, cash &amp; runway'!C22+'RC P&amp;L, cash &amp; runway'!D21)</f>
        <v>6813.953376890111</v>
      </c>
      <c r="E22" s="11">
        <f>IF(IF(IF(ISERROR('Model inputs'!H32=0),'Model inputs'!H32=0,IF('Model inputs'!H32="","",'Model inputs'!H32=0))="",FALSE,IF(ISERROR('Model inputs'!H32=0),'Model inputs'!H32=0,IF('Model inputs'!H32="","",'Model inputs'!H32=0))),'Model inputs'!B67+'RC P&amp;L, cash &amp; runway'!E21,'RC P&amp;L, cash &amp; runway'!D22+'RC P&amp;L, cash &amp; runway'!E21)</f>
        <v>9201.423698082772</v>
      </c>
      <c r="F22" s="11">
        <f>IF(IF(IF(ISERROR('Model inputs'!I32=0),'Model inputs'!I32=0,IF('Model inputs'!I32="","",'Model inputs'!I32=0))="",FALSE,IF(ISERROR('Model inputs'!I32=0),'Model inputs'!I32=0,IF('Model inputs'!I32="","",'Model inputs'!I32=0))),'Model inputs'!B67+'RC P&amp;L, cash &amp; runway'!F21,'RC P&amp;L, cash &amp; runway'!E22+'RC P&amp;L, cash &amp; runway'!F21)</f>
        <v>13622.668829644677</v>
      </c>
      <c r="G22" s="11">
        <f>IF(IF(IF(ISERROR('Model inputs'!J32=0),'Model inputs'!J32=0,IF('Model inputs'!J32="","",'Model inputs'!J32=0))="",FALSE,IF(ISERROR('Model inputs'!J32=0),'Model inputs'!J32=0,IF('Model inputs'!J32="","",'Model inputs'!J32=0))),'Model inputs'!B67+'RC P&amp;L, cash &amp; runway'!G21,'RC P&amp;L, cash &amp; runway'!F22+'RC P&amp;L, cash &amp; runway'!G21)</f>
        <v>20392.399007853837</v>
      </c>
      <c r="H22" s="11">
        <f>IF(IF(IF(ISERROR('Model inputs'!K32=0),'Model inputs'!K32=0,IF('Model inputs'!K32="","",'Model inputs'!K32=0))="",FALSE,IF(ISERROR('Model inputs'!K32=0),'Model inputs'!K32=0,IF('Model inputs'!K32="","",'Model inputs'!K32=0))),'Model inputs'!B67+'RC P&amp;L, cash &amp; runway'!H21,'RC P&amp;L, cash &amp; runway'!G22+'RC P&amp;L, cash &amp; runway'!H21)</f>
        <v>25637.9644184375</v>
      </c>
      <c r="I22" s="11">
        <f>IF(IF(IF(ISERROR('Model inputs'!L32=0),'Model inputs'!L32=0,IF('Model inputs'!L32="","",'Model inputs'!L32=0))="",FALSE,IF(ISERROR('Model inputs'!L32=0),'Model inputs'!L32=0,IF('Model inputs'!L32="","",'Model inputs'!L32=0))),'Model inputs'!B67+'RC P&amp;L, cash &amp; runway'!I21,'RC P&amp;L, cash &amp; runway'!H22+'RC P&amp;L, cash &amp; runway'!I21)</f>
        <v>29570.063587909368</v>
      </c>
      <c r="J22" s="11">
        <f>IF(IF(IF(ISERROR('Model inputs'!M32=0),'Model inputs'!M32=0,IF('Model inputs'!M32="","",'Model inputs'!M32=0))="",FALSE,IF(ISERROR('Model inputs'!M32=0),'Model inputs'!M32=0,IF('Model inputs'!M32="","",'Model inputs'!M32=0))),'Model inputs'!B67+'RC P&amp;L, cash &amp; runway'!J21,'RC P&amp;L, cash &amp; runway'!I22+'RC P&amp;L, cash &amp; runway'!J21)</f>
        <v>35383.16682388834</v>
      </c>
      <c r="K22" s="11">
        <f>IF(IF(IF(ISERROR('Model inputs'!N32=0),'Model inputs'!N32=0,IF('Model inputs'!N32="","",'Model inputs'!N32=0))="",FALSE,IF(ISERROR('Model inputs'!N32=0),'Model inputs'!N32=0,IF('Model inputs'!N32="","",'Model inputs'!N32=0))),'Model inputs'!B67+'RC P&amp;L, cash &amp; runway'!K21,'RC P&amp;L, cash &amp; runway'!J22+'RC P&amp;L, cash &amp; runway'!K21)</f>
        <v>42953.42714980578</v>
      </c>
      <c r="L22" s="11">
        <f>IF(IF(IF(ISERROR('Model inputs'!O32=0),'Model inputs'!O32=0,IF('Model inputs'!O32="","",'Model inputs'!O32=0))="",FALSE,IF(ISERROR('Model inputs'!O32=0),'Model inputs'!O32=0,IF('Model inputs'!O32="","",'Model inputs'!O32=0))),'Model inputs'!B67+'RC P&amp;L, cash &amp; runway'!L21,'RC P&amp;L, cash &amp; runway'!K22+'RC P&amp;L, cash &amp; runway'!L21)</f>
        <v>52308.118344086135</v>
      </c>
      <c r="M22" s="11">
        <f>IF(IF(IF(ISERROR('Model inputs'!P32=0),'Model inputs'!P32=0,IF('Model inputs'!P32="","",'Model inputs'!P32=0))="",FALSE,IF(ISERROR('Model inputs'!P32=0),'Model inputs'!P32=0,IF('Model inputs'!P32="","",'Model inputs'!P32=0))),'Model inputs'!B67+'RC P&amp;L, cash &amp; runway'!M21,'RC P&amp;L, cash &amp; runway'!L22+'RC P&amp;L, cash &amp; runway'!M21)</f>
        <v>63477.44756291351</v>
      </c>
      <c r="N22" s="11">
        <f>IF(IF(IF(ISERROR('Model inputs'!Q32=0),'Model inputs'!Q32=0,IF('Model inputs'!Q32="","",'Model inputs'!Q32=0))="",FALSE,IF(ISERROR('Model inputs'!Q32=0),'Model inputs'!Q32=0,IF('Model inputs'!Q32="","",'Model inputs'!Q32=0))),'Model inputs'!B67+'RC P&amp;L, cash &amp; runway'!N21,'RC P&amp;L, cash &amp; runway'!M22+'RC P&amp;L, cash &amp; runway'!N21)</f>
        <v>71994.57087233468</v>
      </c>
      <c r="O22" s="11">
        <f>IF(IF(IF(ISERROR('Model inputs'!R32=0),'Model inputs'!R32=0,IF('Model inputs'!R32="","",'Model inputs'!R32=0))="",FALSE,IF(ISERROR('Model inputs'!R32=0),'Model inputs'!R32=0,IF('Model inputs'!R32="","",'Model inputs'!R32=0))),'Model inputs'!B67+'RC P&amp;L, cash &amp; runway'!O21,'RC P&amp;L, cash &amp; runway'!N22+'RC P&amp;L, cash &amp; runway'!O21)</f>
        <v>87782.1114533375</v>
      </c>
      <c r="P22" s="11">
        <f>IF(IF(IF(ISERROR('Model inputs'!S32=0),'Model inputs'!S32=0,IF('Model inputs'!S32="","",'Model inputs'!S32=0))="",FALSE,IF(ISERROR('Model inputs'!S32=0),'Model inputs'!S32=0,IF('Model inputs'!S32="","",'Model inputs'!S32=0))),'Model inputs'!B67+'RC P&amp;L, cash &amp; runway'!P21,'RC P&amp;L, cash &amp; runway'!O22+'RC P&amp;L, cash &amp; runway'!P21)</f>
        <v>106164.99833559195</v>
      </c>
      <c r="Q22" s="11">
        <f>IF(IF(IF(ISERROR('Model inputs'!T32=0),'Model inputs'!T32=0,IF('Model inputs'!T32="","",'Model inputs'!T32=0))="",FALSE,IF(ISERROR('Model inputs'!T32=0),'Model inputs'!T32=0,IF('Model inputs'!T32="","",'Model inputs'!T32=0))),'Model inputs'!B67+'RC P&amp;L, cash &amp; runway'!Q21,'RC P&amp;L, cash &amp; runway'!P22+'RC P&amp;L, cash &amp; runway'!Q21)</f>
        <v>127268.94519314464</v>
      </c>
      <c r="R22" s="11">
        <f>IF(IF(IF(ISERROR('Model inputs'!U32=0),'Model inputs'!U32=0,IF('Model inputs'!U32="","",'Model inputs'!U32=0))="",FALSE,IF(ISERROR('Model inputs'!U32=0),'Model inputs'!U32=0,IF('Model inputs'!U32="","",'Model inputs'!U32=0))),'Model inputs'!B67+'RC P&amp;L, cash &amp; runway'!R21,'RC P&amp;L, cash &amp; runway'!Q22+'RC P&amp;L, cash &amp; runway'!R21)</f>
        <v>151231.95468153898</v>
      </c>
      <c r="S22" s="11">
        <f>IF(IF(IF(ISERROR('Model inputs'!V32=0),'Model inputs'!V32=0,IF('Model inputs'!V32="","",'Model inputs'!V32=0))="",FALSE,IF(ISERROR('Model inputs'!V32=0),'Model inputs'!V32=0,IF('Model inputs'!V32="","",'Model inputs'!V32=0))),'Model inputs'!B67+'RC P&amp;L, cash &amp; runway'!S21,'RC P&amp;L, cash &amp; runway'!R22+'RC P&amp;L, cash &amp; runway'!S21)</f>
        <v>178205.62499575765</v>
      </c>
    </row>
    <row r="23">
      <c r="A23" t="inlineStr" s="8">
        <is>
          <t xml:space="preserve">Net burn</t>
        </is>
      </c>
      <c r="B23" s="9">
        <f>MAX('RC P&amp;L, cash &amp; runway'!B20-'RC P&amp;L, cash &amp; runway'!B21,0)</f>
        <v>6963.372719999999</v>
      </c>
      <c r="C23" s="9">
        <f>MAX('RC P&amp;L, cash &amp; runway'!C20-'RC P&amp;L, cash &amp; runway'!C21,0)</f>
        <v>129.79945512500035</v>
      </c>
      <c r="D23" s="9">
        <f>MAX('RC P&amp;L, cash &amp; runway'!D20-'RC P&amp;L, cash &amp; runway'!D21,0)</f>
        <v>0</v>
      </c>
      <c r="E23" s="9">
        <f>MAX('RC P&amp;L, cash &amp; runway'!E20-'RC P&amp;L, cash &amp; runway'!E21,0)</f>
        <v>0</v>
      </c>
      <c r="F23" s="9">
        <f>MAX('RC P&amp;L, cash &amp; runway'!F20-'RC P&amp;L, cash &amp; runway'!F21,0)</f>
        <v>0</v>
      </c>
      <c r="G23" s="9">
        <f>MAX('RC P&amp;L, cash &amp; runway'!G20-'RC P&amp;L, cash &amp; runway'!G21,0)</f>
        <v>0</v>
      </c>
      <c r="H23" s="9">
        <f>MAX('RC P&amp;L, cash &amp; runway'!H20-'RC P&amp;L, cash &amp; runway'!H21,0)</f>
        <v>0</v>
      </c>
      <c r="I23" s="9">
        <f>MAX('RC P&amp;L, cash &amp; runway'!I20-'RC P&amp;L, cash &amp; runway'!I21,0)</f>
        <v>0</v>
      </c>
      <c r="J23" s="9">
        <f>MAX('RC P&amp;L, cash &amp; runway'!J20-'RC P&amp;L, cash &amp; runway'!J21,0)</f>
        <v>0</v>
      </c>
      <c r="K23" s="9">
        <f>MAX('RC P&amp;L, cash &amp; runway'!K20-'RC P&amp;L, cash &amp; runway'!K21,0)</f>
        <v>0</v>
      </c>
      <c r="L23" s="9">
        <f>MAX('RC P&amp;L, cash &amp; runway'!L20-'RC P&amp;L, cash &amp; runway'!L21,0)</f>
        <v>0</v>
      </c>
      <c r="M23" s="9">
        <f>MAX('RC P&amp;L, cash &amp; runway'!M20-'RC P&amp;L, cash &amp; runway'!M21,0)</f>
        <v>0</v>
      </c>
      <c r="N23" s="9">
        <f>MAX('RC P&amp;L, cash &amp; runway'!N20-'RC P&amp;L, cash &amp; runway'!N21,0)</f>
        <v>0</v>
      </c>
      <c r="O23" s="9">
        <f>MAX('RC P&amp;L, cash &amp; runway'!O20-'RC P&amp;L, cash &amp; runway'!O21,0)</f>
        <v>0</v>
      </c>
      <c r="P23" s="9">
        <f>MAX('RC P&amp;L, cash &amp; runway'!P20-'RC P&amp;L, cash &amp; runway'!P21,0)</f>
        <v>0</v>
      </c>
      <c r="Q23" s="9">
        <f>MAX('RC P&amp;L, cash &amp; runway'!Q20-'RC P&amp;L, cash &amp; runway'!Q21,0)</f>
        <v>0</v>
      </c>
      <c r="R23" s="9">
        <f>MAX('RC P&amp;L, cash &amp; runway'!R20-'RC P&amp;L, cash &amp; runway'!R21,0)</f>
        <v>0</v>
      </c>
      <c r="S23" s="9">
        <f>MAX('RC P&amp;L, cash &amp; runway'!S20-'RC P&amp;L, cash &amp; runway'!S21,0)</f>
        <v>0</v>
      </c>
    </row>
    <row r="24">
      <c r="A24" t="inlineStr" s="8">
        <is>
          <t xml:space="preserve">Runway (months)</t>
        </is>
      </c>
      <c r="B24" s="13">
        <f>IFERROR(IF(IF(IF(ISERROR('RC P&amp;L, cash &amp; runway'!B22&lt;=0),'RC P&amp;L, cash &amp; runway'!B22&lt;=0,IF('RC P&amp;L, cash &amp; runway'!B22="","",'RC P&amp;L, cash &amp; runway'!B22&lt;=0))="",FALSE,IF(ISERROR('RC P&amp;L, cash &amp; runway'!B22&lt;=0),'RC P&amp;L, cash &amp; runway'!B22&lt;=0,IF('RC P&amp;L, cash &amp; runway'!B22="","",'RC P&amp;L, cash &amp; runway'!B22&lt;=0))),0,IF(IF(IF(ISERROR('RC P&amp;L, cash &amp; runway'!B23&gt;0),'RC P&amp;L, cash &amp; runway'!B23&gt;0,IF('RC P&amp;L, cash &amp; runway'!B23="","",'RC P&amp;L, cash &amp; runway'!B23&gt;0))="",FALSE,IF(ISERROR('RC P&amp;L, cash &amp; runway'!B23&gt;0),'RC P&amp;L, cash &amp; runway'!B23&gt;0,IF('RC P&amp;L, cash &amp; runway'!B23="","",'RC P&amp;L, cash &amp; runway'!B23&gt;0))),'RC P&amp;L, cash &amp; runway'!B22/'RC P&amp;L, cash &amp; runway'!B23,"")),"")</f>
        <v>0.7233028422468245</v>
      </c>
      <c r="C24" s="13">
        <f>IFERROR(IF(IF(IF(ISERROR('RC P&amp;L, cash &amp; runway'!C22&lt;=0),'RC P&amp;L, cash &amp; runway'!C22&lt;=0,IF('RC P&amp;L, cash &amp; runway'!C22="","",'RC P&amp;L, cash &amp; runway'!C22&lt;=0))="",FALSE,IF(ISERROR('RC P&amp;L, cash &amp; runway'!C22&lt;=0),'RC P&amp;L, cash &amp; runway'!C22&lt;=0,IF('RC P&amp;L, cash &amp; runway'!C22="","",'RC P&amp;L, cash &amp; runway'!C22&lt;=0))),0,IF(IF(IF(ISERROR('RC P&amp;L, cash &amp; runway'!C23&gt;0),'RC P&amp;L, cash &amp; runway'!C23&gt;0,IF('RC P&amp;L, cash &amp; runway'!C23="","",'RC P&amp;L, cash &amp; runway'!C23&gt;0))="",FALSE,IF(ISERROR('RC P&amp;L, cash &amp; runway'!C23&gt;0),'RC P&amp;L, cash &amp; runway'!C23&gt;0,IF('RC P&amp;L, cash &amp; runway'!C23="","",'RC P&amp;L, cash &amp; runway'!C23&gt;0))),'RC P&amp;L, cash &amp; runway'!C22/'RC P&amp;L, cash &amp; runway'!C23,"")),"")</f>
        <v>37.8031465551962</v>
      </c>
      <c r="D24" t="str" s="13">
        <f>IFERROR(IF(IF(IF(ISERROR('RC P&amp;L, cash &amp; runway'!D22&lt;=0),'RC P&amp;L, cash &amp; runway'!D22&lt;=0,IF('RC P&amp;L, cash &amp; runway'!D22="","",'RC P&amp;L, cash &amp; runway'!D22&lt;=0))="",FALSE,IF(ISERROR('RC P&amp;L, cash &amp; runway'!D22&lt;=0),'RC P&amp;L, cash &amp; runway'!D22&lt;=0,IF('RC P&amp;L, cash &amp; runway'!D22="","",'RC P&amp;L, cash &amp; runway'!D22&lt;=0))),0,IF(IF(IF(ISERROR('RC P&amp;L, cash &amp; runway'!D23&gt;0),'RC P&amp;L, cash &amp; runway'!D23&gt;0,IF('RC P&amp;L, cash &amp; runway'!D23="","",'RC P&amp;L, cash &amp; runway'!D23&gt;0))="",FALSE,IF(ISERROR('RC P&amp;L, cash &amp; runway'!D23&gt;0),'RC P&amp;L, cash &amp; runway'!D23&gt;0,IF('RC P&amp;L, cash &amp; runway'!D23="","",'RC P&amp;L, cash &amp; runway'!D23&gt;0))),'RC P&amp;L, cash &amp; runway'!D22/'RC P&amp;L, cash &amp; runway'!D23,"")),"")</f>
        <v/>
      </c>
      <c r="E24" t="str" s="13">
        <f>IFERROR(IF(IF(IF(ISERROR('RC P&amp;L, cash &amp; runway'!E22&lt;=0),'RC P&amp;L, cash &amp; runway'!E22&lt;=0,IF('RC P&amp;L, cash &amp; runway'!E22="","",'RC P&amp;L, cash &amp; runway'!E22&lt;=0))="",FALSE,IF(ISERROR('RC P&amp;L, cash &amp; runway'!E22&lt;=0),'RC P&amp;L, cash &amp; runway'!E22&lt;=0,IF('RC P&amp;L, cash &amp; runway'!E22="","",'RC P&amp;L, cash &amp; runway'!E22&lt;=0))),0,IF(IF(IF(ISERROR('RC P&amp;L, cash &amp; runway'!E23&gt;0),'RC P&amp;L, cash &amp; runway'!E23&gt;0,IF('RC P&amp;L, cash &amp; runway'!E23="","",'RC P&amp;L, cash &amp; runway'!E23&gt;0))="",FALSE,IF(ISERROR('RC P&amp;L, cash &amp; runway'!E23&gt;0),'RC P&amp;L, cash &amp; runway'!E23&gt;0,IF('RC P&amp;L, cash &amp; runway'!E23="","",'RC P&amp;L, cash &amp; runway'!E23&gt;0))),'RC P&amp;L, cash &amp; runway'!E22/'RC P&amp;L, cash &amp; runway'!E23,"")),"")</f>
        <v/>
      </c>
      <c r="F24" t="str" s="13">
        <f>IFERROR(IF(IF(IF(ISERROR('RC P&amp;L, cash &amp; runway'!F22&lt;=0),'RC P&amp;L, cash &amp; runway'!F22&lt;=0,IF('RC P&amp;L, cash &amp; runway'!F22="","",'RC P&amp;L, cash &amp; runway'!F22&lt;=0))="",FALSE,IF(ISERROR('RC P&amp;L, cash &amp; runway'!F22&lt;=0),'RC P&amp;L, cash &amp; runway'!F22&lt;=0,IF('RC P&amp;L, cash &amp; runway'!F22="","",'RC P&amp;L, cash &amp; runway'!F22&lt;=0))),0,IF(IF(IF(ISERROR('RC P&amp;L, cash &amp; runway'!F23&gt;0),'RC P&amp;L, cash &amp; runway'!F23&gt;0,IF('RC P&amp;L, cash &amp; runway'!F23="","",'RC P&amp;L, cash &amp; runway'!F23&gt;0))="",FALSE,IF(ISERROR('RC P&amp;L, cash &amp; runway'!F23&gt;0),'RC P&amp;L, cash &amp; runway'!F23&gt;0,IF('RC P&amp;L, cash &amp; runway'!F23="","",'RC P&amp;L, cash &amp; runway'!F23&gt;0))),'RC P&amp;L, cash &amp; runway'!F22/'RC P&amp;L, cash &amp; runway'!F23,"")),"")</f>
        <v/>
      </c>
      <c r="G24" t="str" s="13">
        <f>IFERROR(IF(IF(IF(ISERROR('RC P&amp;L, cash &amp; runway'!G22&lt;=0),'RC P&amp;L, cash &amp; runway'!G22&lt;=0,IF('RC P&amp;L, cash &amp; runway'!G22="","",'RC P&amp;L, cash &amp; runway'!G22&lt;=0))="",FALSE,IF(ISERROR('RC P&amp;L, cash &amp; runway'!G22&lt;=0),'RC P&amp;L, cash &amp; runway'!G22&lt;=0,IF('RC P&amp;L, cash &amp; runway'!G22="","",'RC P&amp;L, cash &amp; runway'!G22&lt;=0))),0,IF(IF(IF(ISERROR('RC P&amp;L, cash &amp; runway'!G23&gt;0),'RC P&amp;L, cash &amp; runway'!G23&gt;0,IF('RC P&amp;L, cash &amp; runway'!G23="","",'RC P&amp;L, cash &amp; runway'!G23&gt;0))="",FALSE,IF(ISERROR('RC P&amp;L, cash &amp; runway'!G23&gt;0),'RC P&amp;L, cash &amp; runway'!G23&gt;0,IF('RC P&amp;L, cash &amp; runway'!G23="","",'RC P&amp;L, cash &amp; runway'!G23&gt;0))),'RC P&amp;L, cash &amp; runway'!G22/'RC P&amp;L, cash &amp; runway'!G23,"")),"")</f>
        <v/>
      </c>
      <c r="H24" t="str" s="13">
        <f>IFERROR(IF(IF(IF(ISERROR('RC P&amp;L, cash &amp; runway'!H22&lt;=0),'RC P&amp;L, cash &amp; runway'!H22&lt;=0,IF('RC P&amp;L, cash &amp; runway'!H22="","",'RC P&amp;L, cash &amp; runway'!H22&lt;=0))="",FALSE,IF(ISERROR('RC P&amp;L, cash &amp; runway'!H22&lt;=0),'RC P&amp;L, cash &amp; runway'!H22&lt;=0,IF('RC P&amp;L, cash &amp; runway'!H22="","",'RC P&amp;L, cash &amp; runway'!H22&lt;=0))),0,IF(IF(IF(ISERROR('RC P&amp;L, cash &amp; runway'!H23&gt;0),'RC P&amp;L, cash &amp; runway'!H23&gt;0,IF('RC P&amp;L, cash &amp; runway'!H23="","",'RC P&amp;L, cash &amp; runway'!H23&gt;0))="",FALSE,IF(ISERROR('RC P&amp;L, cash &amp; runway'!H23&gt;0),'RC P&amp;L, cash &amp; runway'!H23&gt;0,IF('RC P&amp;L, cash &amp; runway'!H23="","",'RC P&amp;L, cash &amp; runway'!H23&gt;0))),'RC P&amp;L, cash &amp; runway'!H22/'RC P&amp;L, cash &amp; runway'!H23,"")),"")</f>
        <v/>
      </c>
      <c r="I24" t="str" s="13">
        <f>IFERROR(IF(IF(IF(ISERROR('RC P&amp;L, cash &amp; runway'!I22&lt;=0),'RC P&amp;L, cash &amp; runway'!I22&lt;=0,IF('RC P&amp;L, cash &amp; runway'!I22="","",'RC P&amp;L, cash &amp; runway'!I22&lt;=0))="",FALSE,IF(ISERROR('RC P&amp;L, cash &amp; runway'!I22&lt;=0),'RC P&amp;L, cash &amp; runway'!I22&lt;=0,IF('RC P&amp;L, cash &amp; runway'!I22="","",'RC P&amp;L, cash &amp; runway'!I22&lt;=0))),0,IF(IF(IF(ISERROR('RC P&amp;L, cash &amp; runway'!I23&gt;0),'RC P&amp;L, cash &amp; runway'!I23&gt;0,IF('RC P&amp;L, cash &amp; runway'!I23="","",'RC P&amp;L, cash &amp; runway'!I23&gt;0))="",FALSE,IF(ISERROR('RC P&amp;L, cash &amp; runway'!I23&gt;0),'RC P&amp;L, cash &amp; runway'!I23&gt;0,IF('RC P&amp;L, cash &amp; runway'!I23="","",'RC P&amp;L, cash &amp; runway'!I23&gt;0))),'RC P&amp;L, cash &amp; runway'!I22/'RC P&amp;L, cash &amp; runway'!I23,"")),"")</f>
        <v/>
      </c>
      <c r="J24" t="str" s="13">
        <f>IFERROR(IF(IF(IF(ISERROR('RC P&amp;L, cash &amp; runway'!J22&lt;=0),'RC P&amp;L, cash &amp; runway'!J22&lt;=0,IF('RC P&amp;L, cash &amp; runway'!J22="","",'RC P&amp;L, cash &amp; runway'!J22&lt;=0))="",FALSE,IF(ISERROR('RC P&amp;L, cash &amp; runway'!J22&lt;=0),'RC P&amp;L, cash &amp; runway'!J22&lt;=0,IF('RC P&amp;L, cash &amp; runway'!J22="","",'RC P&amp;L, cash &amp; runway'!J22&lt;=0))),0,IF(IF(IF(ISERROR('RC P&amp;L, cash &amp; runway'!J23&gt;0),'RC P&amp;L, cash &amp; runway'!J23&gt;0,IF('RC P&amp;L, cash &amp; runway'!J23="","",'RC P&amp;L, cash &amp; runway'!J23&gt;0))="",FALSE,IF(ISERROR('RC P&amp;L, cash &amp; runway'!J23&gt;0),'RC P&amp;L, cash &amp; runway'!J23&gt;0,IF('RC P&amp;L, cash &amp; runway'!J23="","",'RC P&amp;L, cash &amp; runway'!J23&gt;0))),'RC P&amp;L, cash &amp; runway'!J22/'RC P&amp;L, cash &amp; runway'!J23,"")),"")</f>
        <v/>
      </c>
      <c r="K24" t="str" s="13">
        <f>IFERROR(IF(IF(IF(ISERROR('RC P&amp;L, cash &amp; runway'!K22&lt;=0),'RC P&amp;L, cash &amp; runway'!K22&lt;=0,IF('RC P&amp;L, cash &amp; runway'!K22="","",'RC P&amp;L, cash &amp; runway'!K22&lt;=0))="",FALSE,IF(ISERROR('RC P&amp;L, cash &amp; runway'!K22&lt;=0),'RC P&amp;L, cash &amp; runway'!K22&lt;=0,IF('RC P&amp;L, cash &amp; runway'!K22="","",'RC P&amp;L, cash &amp; runway'!K22&lt;=0))),0,IF(IF(IF(ISERROR('RC P&amp;L, cash &amp; runway'!K23&gt;0),'RC P&amp;L, cash &amp; runway'!K23&gt;0,IF('RC P&amp;L, cash &amp; runway'!K23="","",'RC P&amp;L, cash &amp; runway'!K23&gt;0))="",FALSE,IF(ISERROR('RC P&amp;L, cash &amp; runway'!K23&gt;0),'RC P&amp;L, cash &amp; runway'!K23&gt;0,IF('RC P&amp;L, cash &amp; runway'!K23="","",'RC P&amp;L, cash &amp; runway'!K23&gt;0))),'RC P&amp;L, cash &amp; runway'!K22/'RC P&amp;L, cash &amp; runway'!K23,"")),"")</f>
        <v/>
      </c>
      <c r="L24" t="str" s="13">
        <f>IFERROR(IF(IF(IF(ISERROR('RC P&amp;L, cash &amp; runway'!L22&lt;=0),'RC P&amp;L, cash &amp; runway'!L22&lt;=0,IF('RC P&amp;L, cash &amp; runway'!L22="","",'RC P&amp;L, cash &amp; runway'!L22&lt;=0))="",FALSE,IF(ISERROR('RC P&amp;L, cash &amp; runway'!L22&lt;=0),'RC P&amp;L, cash &amp; runway'!L22&lt;=0,IF('RC P&amp;L, cash &amp; runway'!L22="","",'RC P&amp;L, cash &amp; runway'!L22&lt;=0))),0,IF(IF(IF(ISERROR('RC P&amp;L, cash &amp; runway'!L23&gt;0),'RC P&amp;L, cash &amp; runway'!L23&gt;0,IF('RC P&amp;L, cash &amp; runway'!L23="","",'RC P&amp;L, cash &amp; runway'!L23&gt;0))="",FALSE,IF(ISERROR('RC P&amp;L, cash &amp; runway'!L23&gt;0),'RC P&amp;L, cash &amp; runway'!L23&gt;0,IF('RC P&amp;L, cash &amp; runway'!L23="","",'RC P&amp;L, cash &amp; runway'!L23&gt;0))),'RC P&amp;L, cash &amp; runway'!L22/'RC P&amp;L, cash &amp; runway'!L23,"")),"")</f>
        <v/>
      </c>
      <c r="M24" t="str" s="13">
        <f>IFERROR(IF(IF(IF(ISERROR('RC P&amp;L, cash &amp; runway'!M22&lt;=0),'RC P&amp;L, cash &amp; runway'!M22&lt;=0,IF('RC P&amp;L, cash &amp; runway'!M22="","",'RC P&amp;L, cash &amp; runway'!M22&lt;=0))="",FALSE,IF(ISERROR('RC P&amp;L, cash &amp; runway'!M22&lt;=0),'RC P&amp;L, cash &amp; runway'!M22&lt;=0,IF('RC P&amp;L, cash &amp; runway'!M22="","",'RC P&amp;L, cash &amp; runway'!M22&lt;=0))),0,IF(IF(IF(ISERROR('RC P&amp;L, cash &amp; runway'!M23&gt;0),'RC P&amp;L, cash &amp; runway'!M23&gt;0,IF('RC P&amp;L, cash &amp; runway'!M23="","",'RC P&amp;L, cash &amp; runway'!M23&gt;0))="",FALSE,IF(ISERROR('RC P&amp;L, cash &amp; runway'!M23&gt;0),'RC P&amp;L, cash &amp; runway'!M23&gt;0,IF('RC P&amp;L, cash &amp; runway'!M23="","",'RC P&amp;L, cash &amp; runway'!M23&gt;0))),'RC P&amp;L, cash &amp; runway'!M22/'RC P&amp;L, cash &amp; runway'!M23,"")),"")</f>
        <v/>
      </c>
      <c r="N24" t="str" s="13">
        <f>IFERROR(IF(IF(IF(ISERROR('RC P&amp;L, cash &amp; runway'!N22&lt;=0),'RC P&amp;L, cash &amp; runway'!N22&lt;=0,IF('RC P&amp;L, cash &amp; runway'!N22="","",'RC P&amp;L, cash &amp; runway'!N22&lt;=0))="",FALSE,IF(ISERROR('RC P&amp;L, cash &amp; runway'!N22&lt;=0),'RC P&amp;L, cash &amp; runway'!N22&lt;=0,IF('RC P&amp;L, cash &amp; runway'!N22="","",'RC P&amp;L, cash &amp; runway'!N22&lt;=0))),0,IF(IF(IF(ISERROR('RC P&amp;L, cash &amp; runway'!N23&gt;0),'RC P&amp;L, cash &amp; runway'!N23&gt;0,IF('RC P&amp;L, cash &amp; runway'!N23="","",'RC P&amp;L, cash &amp; runway'!N23&gt;0))="",FALSE,IF(ISERROR('RC P&amp;L, cash &amp; runway'!N23&gt;0),'RC P&amp;L, cash &amp; runway'!N23&gt;0,IF('RC P&amp;L, cash &amp; runway'!N23="","",'RC P&amp;L, cash &amp; runway'!N23&gt;0))),'RC P&amp;L, cash &amp; runway'!N22/'RC P&amp;L, cash &amp; runway'!N23,"")),"")</f>
        <v/>
      </c>
      <c r="O24" t="str" s="13">
        <f>IFERROR(IF(IF(IF(ISERROR('RC P&amp;L, cash &amp; runway'!O22&lt;=0),'RC P&amp;L, cash &amp; runway'!O22&lt;=0,IF('RC P&amp;L, cash &amp; runway'!O22="","",'RC P&amp;L, cash &amp; runway'!O22&lt;=0))="",FALSE,IF(ISERROR('RC P&amp;L, cash &amp; runway'!O22&lt;=0),'RC P&amp;L, cash &amp; runway'!O22&lt;=0,IF('RC P&amp;L, cash &amp; runway'!O22="","",'RC P&amp;L, cash &amp; runway'!O22&lt;=0))),0,IF(IF(IF(ISERROR('RC P&amp;L, cash &amp; runway'!O23&gt;0),'RC P&amp;L, cash &amp; runway'!O23&gt;0,IF('RC P&amp;L, cash &amp; runway'!O23="","",'RC P&amp;L, cash &amp; runway'!O23&gt;0))="",FALSE,IF(ISERROR('RC P&amp;L, cash &amp; runway'!O23&gt;0),'RC P&amp;L, cash &amp; runway'!O23&gt;0,IF('RC P&amp;L, cash &amp; runway'!O23="","",'RC P&amp;L, cash &amp; runway'!O23&gt;0))),'RC P&amp;L, cash &amp; runway'!O22/'RC P&amp;L, cash &amp; runway'!O23,"")),"")</f>
        <v/>
      </c>
      <c r="P24" t="str" s="13">
        <f>IFERROR(IF(IF(IF(ISERROR('RC P&amp;L, cash &amp; runway'!P22&lt;=0),'RC P&amp;L, cash &amp; runway'!P22&lt;=0,IF('RC P&amp;L, cash &amp; runway'!P22="","",'RC P&amp;L, cash &amp; runway'!P22&lt;=0))="",FALSE,IF(ISERROR('RC P&amp;L, cash &amp; runway'!P22&lt;=0),'RC P&amp;L, cash &amp; runway'!P22&lt;=0,IF('RC P&amp;L, cash &amp; runway'!P22="","",'RC P&amp;L, cash &amp; runway'!P22&lt;=0))),0,IF(IF(IF(ISERROR('RC P&amp;L, cash &amp; runway'!P23&gt;0),'RC P&amp;L, cash &amp; runway'!P23&gt;0,IF('RC P&amp;L, cash &amp; runway'!P23="","",'RC P&amp;L, cash &amp; runway'!P23&gt;0))="",FALSE,IF(ISERROR('RC P&amp;L, cash &amp; runway'!P23&gt;0),'RC P&amp;L, cash &amp; runway'!P23&gt;0,IF('RC P&amp;L, cash &amp; runway'!P23="","",'RC P&amp;L, cash &amp; runway'!P23&gt;0))),'RC P&amp;L, cash &amp; runway'!P22/'RC P&amp;L, cash &amp; runway'!P23,"")),"")</f>
        <v/>
      </c>
      <c r="Q24" t="str" s="13">
        <f>IFERROR(IF(IF(IF(ISERROR('RC P&amp;L, cash &amp; runway'!Q22&lt;=0),'RC P&amp;L, cash &amp; runway'!Q22&lt;=0,IF('RC P&amp;L, cash &amp; runway'!Q22="","",'RC P&amp;L, cash &amp; runway'!Q22&lt;=0))="",FALSE,IF(ISERROR('RC P&amp;L, cash &amp; runway'!Q22&lt;=0),'RC P&amp;L, cash &amp; runway'!Q22&lt;=0,IF('RC P&amp;L, cash &amp; runway'!Q22="","",'RC P&amp;L, cash &amp; runway'!Q22&lt;=0))),0,IF(IF(IF(ISERROR('RC P&amp;L, cash &amp; runway'!Q23&gt;0),'RC P&amp;L, cash &amp; runway'!Q23&gt;0,IF('RC P&amp;L, cash &amp; runway'!Q23="","",'RC P&amp;L, cash &amp; runway'!Q23&gt;0))="",FALSE,IF(ISERROR('RC P&amp;L, cash &amp; runway'!Q23&gt;0),'RC P&amp;L, cash &amp; runway'!Q23&gt;0,IF('RC P&amp;L, cash &amp; runway'!Q23="","",'RC P&amp;L, cash &amp; runway'!Q23&gt;0))),'RC P&amp;L, cash &amp; runway'!Q22/'RC P&amp;L, cash &amp; runway'!Q23,"")),"")</f>
        <v/>
      </c>
      <c r="R24" t="str" s="13">
        <f>IFERROR(IF(IF(IF(ISERROR('RC P&amp;L, cash &amp; runway'!R22&lt;=0),'RC P&amp;L, cash &amp; runway'!R22&lt;=0,IF('RC P&amp;L, cash &amp; runway'!R22="","",'RC P&amp;L, cash &amp; runway'!R22&lt;=0))="",FALSE,IF(ISERROR('RC P&amp;L, cash &amp; runway'!R22&lt;=0),'RC P&amp;L, cash &amp; runway'!R22&lt;=0,IF('RC P&amp;L, cash &amp; runway'!R22="","",'RC P&amp;L, cash &amp; runway'!R22&lt;=0))),0,IF(IF(IF(ISERROR('RC P&amp;L, cash &amp; runway'!R23&gt;0),'RC P&amp;L, cash &amp; runway'!R23&gt;0,IF('RC P&amp;L, cash &amp; runway'!R23="","",'RC P&amp;L, cash &amp; runway'!R23&gt;0))="",FALSE,IF(ISERROR('RC P&amp;L, cash &amp; runway'!R23&gt;0),'RC P&amp;L, cash &amp; runway'!R23&gt;0,IF('RC P&amp;L, cash &amp; runway'!R23="","",'RC P&amp;L, cash &amp; runway'!R23&gt;0))),'RC P&amp;L, cash &amp; runway'!R22/'RC P&amp;L, cash &amp; runway'!R23,"")),"")</f>
        <v/>
      </c>
      <c r="S24" t="str" s="13">
        <f>IFERROR(IF(IF(IF(ISERROR('RC P&amp;L, cash &amp; runway'!S22&lt;=0),'RC P&amp;L, cash &amp; runway'!S22&lt;=0,IF('RC P&amp;L, cash &amp; runway'!S22="","",'RC P&amp;L, cash &amp; runway'!S22&lt;=0))="",FALSE,IF(ISERROR('RC P&amp;L, cash &amp; runway'!S22&lt;=0),'RC P&amp;L, cash &amp; runway'!S22&lt;=0,IF('RC P&amp;L, cash &amp; runway'!S22="","",'RC P&amp;L, cash &amp; runway'!S22&lt;=0))),0,IF(IF(IF(ISERROR('RC P&amp;L, cash &amp; runway'!S23&gt;0),'RC P&amp;L, cash &amp; runway'!S23&gt;0,IF('RC P&amp;L, cash &amp; runway'!S23="","",'RC P&amp;L, cash &amp; runway'!S23&gt;0))="",FALSE,IF(ISERROR('RC P&amp;L, cash &amp; runway'!S23&gt;0),'RC P&amp;L, cash &amp; runway'!S23&gt;0,IF('RC P&amp;L, cash &amp; runway'!S23="","",'RC P&amp;L, cash &amp; runway'!S23&gt;0))),'RC P&amp;L, cash &amp; runway'!S22/'RC P&amp;L, cash &amp; runway'!S23,"")),"")</f>
        <v/>
      </c>
    </row>
    <row r="25">
      <c r="A25" t="inlineStr" s="8">
        <is>
          <t xml:space="preserve">Months of opex in cash</t>
        </is>
      </c>
      <c r="B25" s="13">
        <f>IFERROR('RC P&amp;L, cash &amp; runway'!B22/'RC P&amp;L, cash &amp; runway'!B15,"")</f>
        <v>0.9602721220209725</v>
      </c>
      <c r="C25" s="13">
        <f>IFERROR('RC P&amp;L, cash &amp; runway'!C22/'RC P&amp;L, cash &amp; runway'!C15,"")</f>
        <v>0.8770022922028597</v>
      </c>
      <c r="D25" s="13">
        <f>IFERROR('RC P&amp;L, cash &amp; runway'!D22/'RC P&amp;L, cash &amp; runway'!D15,"")</f>
        <v>1.2178647679875088</v>
      </c>
      <c r="E25" s="13">
        <f>IFERROR('RC P&amp;L, cash &amp; runway'!E22/'RC P&amp;L, cash &amp; runway'!E15,"")</f>
        <v>1.27003777751315</v>
      </c>
      <c r="F25" s="13">
        <f>IFERROR('RC P&amp;L, cash &amp; runway'!F22/'RC P&amp;L, cash &amp; runway'!F15,"")</f>
        <v>1.829774187997942</v>
      </c>
      <c r="G25" s="13">
        <f>IFERROR('RC P&amp;L, cash &amp; runway'!G22/'RC P&amp;L, cash &amp; runway'!G15,"")</f>
        <v>2.7390730702288564</v>
      </c>
      <c r="H25" s="13">
        <f>IFERROR('RC P&amp;L, cash &amp; runway'!H22/'RC P&amp;L, cash &amp; runway'!H15,"")</f>
        <v>2.2401017403615113</v>
      </c>
      <c r="I25" s="13">
        <f>IFERROR('RC P&amp;L, cash &amp; runway'!I22/'RC P&amp;L, cash &amp; runway'!I15,"")</f>
        <v>2.583666543286096</v>
      </c>
      <c r="J25" s="13">
        <f>IFERROR('RC P&amp;L, cash &amp; runway'!J22/'RC P&amp;L, cash &amp; runway'!J15,"")</f>
        <v>3.091582946604486</v>
      </c>
      <c r="K25" s="13">
        <f>IFERROR('RC P&amp;L, cash &amp; runway'!K22/'RC P&amp;L, cash &amp; runway'!K15,"")</f>
        <v>3.753029895133751</v>
      </c>
      <c r="L25" s="13">
        <f>IFERROR('RC P&amp;L, cash &amp; runway'!L22/'RC P&amp;L, cash &amp; runway'!L15,"")</f>
        <v>4.570390418880396</v>
      </c>
      <c r="M25" s="13">
        <f>IFERROR('RC P&amp;L, cash &amp; runway'!M22/'RC P&amp;L, cash &amp; runway'!M15,"")</f>
        <v>5.5463038499706</v>
      </c>
      <c r="N25" s="13">
        <f>IFERROR('RC P&amp;L, cash &amp; runway'!N22/'RC P&amp;L, cash &amp; runway'!N15,"")</f>
        <v>6.29048238290386</v>
      </c>
      <c r="O25" s="13">
        <f>IFERROR('RC P&amp;L, cash &amp; runway'!O22/'RC P&amp;L, cash &amp; runway'!O15,"")</f>
        <v>7.669909257609217</v>
      </c>
      <c r="P25" s="13">
        <f>IFERROR('RC P&amp;L, cash &amp; runway'!P22/'RC P&amp;L, cash &amp; runway'!P15,"")</f>
        <v>9.276102956364522</v>
      </c>
      <c r="Q25" s="13">
        <f>IFERROR('RC P&amp;L, cash &amp; runway'!Q22/'RC P&amp;L, cash &amp; runway'!Q15,"")</f>
        <v>11.120047635923516</v>
      </c>
      <c r="R25" s="13">
        <f>IFERROR('RC P&amp;L, cash &amp; runway'!R22/'RC P&amp;L, cash &amp; runway'!R15,"")</f>
        <v>13.21380119541625</v>
      </c>
      <c r="S25" s="13">
        <f>IFERROR('RC P&amp;L, cash &amp; runway'!S22/'RC P&amp;L, cash &amp; runway'!S15,"")</f>
        <v>15.570609436064451</v>
      </c>
    </row>
    <row r="26">
      <c r="A26" t="inlineStr" s="6">
        <is>
          <t xml:space="preserve">Below 4-month cash floor</t>
        </is>
      </c>
      <c r="B26" s="14">
        <f>IF(IF(IF(ISERROR('RC P&amp;L, cash &amp; runway'!B22&lt;'Model inputs'!B13*'RC P&amp;L, cash &amp; runway'!B15),'RC P&amp;L, cash &amp; runway'!B22&lt;'Model inputs'!B13*'RC P&amp;L, cash &amp; runway'!B15,IF('RC P&amp;L, cash &amp; runway'!B22="","",'RC P&amp;L, cash &amp; runway'!B22&lt;'Model inputs'!B13*'RC P&amp;L, cash &amp; runway'!B15))="",FALSE,IF(ISERROR('RC P&amp;L, cash &amp; runway'!B22&lt;'Model inputs'!B13*'RC P&amp;L, cash &amp; runway'!B15),'RC P&amp;L, cash &amp; runway'!B22&lt;'Model inputs'!B13*'RC P&amp;L, cash &amp; runway'!B15,IF('RC P&amp;L, cash &amp; runway'!B22="","",'RC P&amp;L, cash &amp; runway'!B22&lt;'Model inputs'!B13*'RC P&amp;L, cash &amp; runway'!B15))),1,0)</f>
        <v>1</v>
      </c>
      <c r="C26" s="14">
        <f>IF(IF(IF(ISERROR('RC P&amp;L, cash &amp; runway'!C22&lt;'Model inputs'!B13*'RC P&amp;L, cash &amp; runway'!C15),'RC P&amp;L, cash &amp; runway'!C22&lt;'Model inputs'!B13*'RC P&amp;L, cash &amp; runway'!C15,IF('RC P&amp;L, cash &amp; runway'!C22="","",'RC P&amp;L, cash &amp; runway'!C22&lt;'Model inputs'!B13*'RC P&amp;L, cash &amp; runway'!C15))="",FALSE,IF(ISERROR('RC P&amp;L, cash &amp; runway'!C22&lt;'Model inputs'!B13*'RC P&amp;L, cash &amp; runway'!C15),'RC P&amp;L, cash &amp; runway'!C22&lt;'Model inputs'!B13*'RC P&amp;L, cash &amp; runway'!C15,IF('RC P&amp;L, cash &amp; runway'!C22="","",'RC P&amp;L, cash &amp; runway'!C22&lt;'Model inputs'!B13*'RC P&amp;L, cash &amp; runway'!C15))),1,0)</f>
        <v>1</v>
      </c>
      <c r="D26" s="14">
        <f>IF(IF(IF(ISERROR('RC P&amp;L, cash &amp; runway'!D22&lt;'Model inputs'!B13*'RC P&amp;L, cash &amp; runway'!D15),'RC P&amp;L, cash &amp; runway'!D22&lt;'Model inputs'!B13*'RC P&amp;L, cash &amp; runway'!D15,IF('RC P&amp;L, cash &amp; runway'!D22="","",'RC P&amp;L, cash &amp; runway'!D22&lt;'Model inputs'!B13*'RC P&amp;L, cash &amp; runway'!D15))="",FALSE,IF(ISERROR('RC P&amp;L, cash &amp; runway'!D22&lt;'Model inputs'!B13*'RC P&amp;L, cash &amp; runway'!D15),'RC P&amp;L, cash &amp; runway'!D22&lt;'Model inputs'!B13*'RC P&amp;L, cash &amp; runway'!D15,IF('RC P&amp;L, cash &amp; runway'!D22="","",'RC P&amp;L, cash &amp; runway'!D22&lt;'Model inputs'!B13*'RC P&amp;L, cash &amp; runway'!D15))),1,0)</f>
        <v>1</v>
      </c>
      <c r="E26" s="14">
        <f>IF(IF(IF(ISERROR('RC P&amp;L, cash &amp; runway'!E22&lt;'Model inputs'!B13*'RC P&amp;L, cash &amp; runway'!E15),'RC P&amp;L, cash &amp; runway'!E22&lt;'Model inputs'!B13*'RC P&amp;L, cash &amp; runway'!E15,IF('RC P&amp;L, cash &amp; runway'!E22="","",'RC P&amp;L, cash &amp; runway'!E22&lt;'Model inputs'!B13*'RC P&amp;L, cash &amp; runway'!E15))="",FALSE,IF(ISERROR('RC P&amp;L, cash &amp; runway'!E22&lt;'Model inputs'!B13*'RC P&amp;L, cash &amp; runway'!E15),'RC P&amp;L, cash &amp; runway'!E22&lt;'Model inputs'!B13*'RC P&amp;L, cash &amp; runway'!E15,IF('RC P&amp;L, cash &amp; runway'!E22="","",'RC P&amp;L, cash &amp; runway'!E22&lt;'Model inputs'!B13*'RC P&amp;L, cash &amp; runway'!E15))),1,0)</f>
        <v>1</v>
      </c>
      <c r="F26" s="14">
        <f>IF(IF(IF(ISERROR('RC P&amp;L, cash &amp; runway'!F22&lt;'Model inputs'!B13*'RC P&amp;L, cash &amp; runway'!F15),'RC P&amp;L, cash &amp; runway'!F22&lt;'Model inputs'!B13*'RC P&amp;L, cash &amp; runway'!F15,IF('RC P&amp;L, cash &amp; runway'!F22="","",'RC P&amp;L, cash &amp; runway'!F22&lt;'Model inputs'!B13*'RC P&amp;L, cash &amp; runway'!F15))="",FALSE,IF(ISERROR('RC P&amp;L, cash &amp; runway'!F22&lt;'Model inputs'!B13*'RC P&amp;L, cash &amp; runway'!F15),'RC P&amp;L, cash &amp; runway'!F22&lt;'Model inputs'!B13*'RC P&amp;L, cash &amp; runway'!F15,IF('RC P&amp;L, cash &amp; runway'!F22="","",'RC P&amp;L, cash &amp; runway'!F22&lt;'Model inputs'!B13*'RC P&amp;L, cash &amp; runway'!F15))),1,0)</f>
        <v>1</v>
      </c>
      <c r="G26" s="14">
        <f>IF(IF(IF(ISERROR('RC P&amp;L, cash &amp; runway'!G22&lt;'Model inputs'!B13*'RC P&amp;L, cash &amp; runway'!G15),'RC P&amp;L, cash &amp; runway'!G22&lt;'Model inputs'!B13*'RC P&amp;L, cash &amp; runway'!G15,IF('RC P&amp;L, cash &amp; runway'!G22="","",'RC P&amp;L, cash &amp; runway'!G22&lt;'Model inputs'!B13*'RC P&amp;L, cash &amp; runway'!G15))="",FALSE,IF(ISERROR('RC P&amp;L, cash &amp; runway'!G22&lt;'Model inputs'!B13*'RC P&amp;L, cash &amp; runway'!G15),'RC P&amp;L, cash &amp; runway'!G22&lt;'Model inputs'!B13*'RC P&amp;L, cash &amp; runway'!G15,IF('RC P&amp;L, cash &amp; runway'!G22="","",'RC P&amp;L, cash &amp; runway'!G22&lt;'Model inputs'!B13*'RC P&amp;L, cash &amp; runway'!G15))),1,0)</f>
        <v>1</v>
      </c>
      <c r="H26" s="14">
        <f>IF(IF(IF(ISERROR('RC P&amp;L, cash &amp; runway'!H22&lt;'Model inputs'!B13*'RC P&amp;L, cash &amp; runway'!H15),'RC P&amp;L, cash &amp; runway'!H22&lt;'Model inputs'!B13*'RC P&amp;L, cash &amp; runway'!H15,IF('RC P&amp;L, cash &amp; runway'!H22="","",'RC P&amp;L, cash &amp; runway'!H22&lt;'Model inputs'!B13*'RC P&amp;L, cash &amp; runway'!H15))="",FALSE,IF(ISERROR('RC P&amp;L, cash &amp; runway'!H22&lt;'Model inputs'!B13*'RC P&amp;L, cash &amp; runway'!H15),'RC P&amp;L, cash &amp; runway'!H22&lt;'Model inputs'!B13*'RC P&amp;L, cash &amp; runway'!H15,IF('RC P&amp;L, cash &amp; runway'!H22="","",'RC P&amp;L, cash &amp; runway'!H22&lt;'Model inputs'!B13*'RC P&amp;L, cash &amp; runway'!H15))),1,0)</f>
        <v>1</v>
      </c>
      <c r="I26" s="14">
        <f>IF(IF(IF(ISERROR('RC P&amp;L, cash &amp; runway'!I22&lt;'Model inputs'!B13*'RC P&amp;L, cash &amp; runway'!I15),'RC P&amp;L, cash &amp; runway'!I22&lt;'Model inputs'!B13*'RC P&amp;L, cash &amp; runway'!I15,IF('RC P&amp;L, cash &amp; runway'!I22="","",'RC P&amp;L, cash &amp; runway'!I22&lt;'Model inputs'!B13*'RC P&amp;L, cash &amp; runway'!I15))="",FALSE,IF(ISERROR('RC P&amp;L, cash &amp; runway'!I22&lt;'Model inputs'!B13*'RC P&amp;L, cash &amp; runway'!I15),'RC P&amp;L, cash &amp; runway'!I22&lt;'Model inputs'!B13*'RC P&amp;L, cash &amp; runway'!I15,IF('RC P&amp;L, cash &amp; runway'!I22="","",'RC P&amp;L, cash &amp; runway'!I22&lt;'Model inputs'!B13*'RC P&amp;L, cash &amp; runway'!I15))),1,0)</f>
        <v>1</v>
      </c>
      <c r="J26" s="14">
        <f>IF(IF(IF(ISERROR('RC P&amp;L, cash &amp; runway'!J22&lt;'Model inputs'!B13*'RC P&amp;L, cash &amp; runway'!J15),'RC P&amp;L, cash &amp; runway'!J22&lt;'Model inputs'!B13*'RC P&amp;L, cash &amp; runway'!J15,IF('RC P&amp;L, cash &amp; runway'!J22="","",'RC P&amp;L, cash &amp; runway'!J22&lt;'Model inputs'!B13*'RC P&amp;L, cash &amp; runway'!J15))="",FALSE,IF(ISERROR('RC P&amp;L, cash &amp; runway'!J22&lt;'Model inputs'!B13*'RC P&amp;L, cash &amp; runway'!J15),'RC P&amp;L, cash &amp; runway'!J22&lt;'Model inputs'!B13*'RC P&amp;L, cash &amp; runway'!J15,IF('RC P&amp;L, cash &amp; runway'!J22="","",'RC P&amp;L, cash &amp; runway'!J22&lt;'Model inputs'!B13*'RC P&amp;L, cash &amp; runway'!J15))),1,0)</f>
        <v>1</v>
      </c>
      <c r="K26" s="14">
        <f>IF(IF(IF(ISERROR('RC P&amp;L, cash &amp; runway'!K22&lt;'Model inputs'!B13*'RC P&amp;L, cash &amp; runway'!K15),'RC P&amp;L, cash &amp; runway'!K22&lt;'Model inputs'!B13*'RC P&amp;L, cash &amp; runway'!K15,IF('RC P&amp;L, cash &amp; runway'!K22="","",'RC P&amp;L, cash &amp; runway'!K22&lt;'Model inputs'!B13*'RC P&amp;L, cash &amp; runway'!K15))="",FALSE,IF(ISERROR('RC P&amp;L, cash &amp; runway'!K22&lt;'Model inputs'!B13*'RC P&amp;L, cash &amp; runway'!K15),'RC P&amp;L, cash &amp; runway'!K22&lt;'Model inputs'!B13*'RC P&amp;L, cash &amp; runway'!K15,IF('RC P&amp;L, cash &amp; runway'!K22="","",'RC P&amp;L, cash &amp; runway'!K22&lt;'Model inputs'!B13*'RC P&amp;L, cash &amp; runway'!K15))),1,0)</f>
        <v>1</v>
      </c>
      <c r="L26" s="14">
        <f>IF(IF(IF(ISERROR('RC P&amp;L, cash &amp; runway'!L22&lt;'Model inputs'!B13*'RC P&amp;L, cash &amp; runway'!L15),'RC P&amp;L, cash &amp; runway'!L22&lt;'Model inputs'!B13*'RC P&amp;L, cash &amp; runway'!L15,IF('RC P&amp;L, cash &amp; runway'!L22="","",'RC P&amp;L, cash &amp; runway'!L22&lt;'Model inputs'!B13*'RC P&amp;L, cash &amp; runway'!L15))="",FALSE,IF(ISERROR('RC P&amp;L, cash &amp; runway'!L22&lt;'Model inputs'!B13*'RC P&amp;L, cash &amp; runway'!L15),'RC P&amp;L, cash &amp; runway'!L22&lt;'Model inputs'!B13*'RC P&amp;L, cash &amp; runway'!L15,IF('RC P&amp;L, cash &amp; runway'!L22="","",'RC P&amp;L, cash &amp; runway'!L22&lt;'Model inputs'!B13*'RC P&amp;L, cash &amp; runway'!L15))),1,0)</f>
        <v>0</v>
      </c>
      <c r="M26" s="14">
        <f>IF(IF(IF(ISERROR('RC P&amp;L, cash &amp; runway'!M22&lt;'Model inputs'!B13*'RC P&amp;L, cash &amp; runway'!M15),'RC P&amp;L, cash &amp; runway'!M22&lt;'Model inputs'!B13*'RC P&amp;L, cash &amp; runway'!M15,IF('RC P&amp;L, cash &amp; runway'!M22="","",'RC P&amp;L, cash &amp; runway'!M22&lt;'Model inputs'!B13*'RC P&amp;L, cash &amp; runway'!M15))="",FALSE,IF(ISERROR('RC P&amp;L, cash &amp; runway'!M22&lt;'Model inputs'!B13*'RC P&amp;L, cash &amp; runway'!M15),'RC P&amp;L, cash &amp; runway'!M22&lt;'Model inputs'!B13*'RC P&amp;L, cash &amp; runway'!M15,IF('RC P&amp;L, cash &amp; runway'!M22="","",'RC P&amp;L, cash &amp; runway'!M22&lt;'Model inputs'!B13*'RC P&amp;L, cash &amp; runway'!M15))),1,0)</f>
        <v>0</v>
      </c>
      <c r="N26" s="14">
        <f>IF(IF(IF(ISERROR('RC P&amp;L, cash &amp; runway'!N22&lt;'Model inputs'!B13*'RC P&amp;L, cash &amp; runway'!N15),'RC P&amp;L, cash &amp; runway'!N22&lt;'Model inputs'!B13*'RC P&amp;L, cash &amp; runway'!N15,IF('RC P&amp;L, cash &amp; runway'!N22="","",'RC P&amp;L, cash &amp; runway'!N22&lt;'Model inputs'!B13*'RC P&amp;L, cash &amp; runway'!N15))="",FALSE,IF(ISERROR('RC P&amp;L, cash &amp; runway'!N22&lt;'Model inputs'!B13*'RC P&amp;L, cash &amp; runway'!N15),'RC P&amp;L, cash &amp; runway'!N22&lt;'Model inputs'!B13*'RC P&amp;L, cash &amp; runway'!N15,IF('RC P&amp;L, cash &amp; runway'!N22="","",'RC P&amp;L, cash &amp; runway'!N22&lt;'Model inputs'!B13*'RC P&amp;L, cash &amp; runway'!N15))),1,0)</f>
        <v>0</v>
      </c>
      <c r="O26" s="14">
        <f>IF(IF(IF(ISERROR('RC P&amp;L, cash &amp; runway'!O22&lt;'Model inputs'!B13*'RC P&amp;L, cash &amp; runway'!O15),'RC P&amp;L, cash &amp; runway'!O22&lt;'Model inputs'!B13*'RC P&amp;L, cash &amp; runway'!O15,IF('RC P&amp;L, cash &amp; runway'!O22="","",'RC P&amp;L, cash &amp; runway'!O22&lt;'Model inputs'!B13*'RC P&amp;L, cash &amp; runway'!O15))="",FALSE,IF(ISERROR('RC P&amp;L, cash &amp; runway'!O22&lt;'Model inputs'!B13*'RC P&amp;L, cash &amp; runway'!O15),'RC P&amp;L, cash &amp; runway'!O22&lt;'Model inputs'!B13*'RC P&amp;L, cash &amp; runway'!O15,IF('RC P&amp;L, cash &amp; runway'!O22="","",'RC P&amp;L, cash &amp; runway'!O22&lt;'Model inputs'!B13*'RC P&amp;L, cash &amp; runway'!O15))),1,0)</f>
        <v>0</v>
      </c>
      <c r="P26" s="14">
        <f>IF(IF(IF(ISERROR('RC P&amp;L, cash &amp; runway'!P22&lt;'Model inputs'!B13*'RC P&amp;L, cash &amp; runway'!P15),'RC P&amp;L, cash &amp; runway'!P22&lt;'Model inputs'!B13*'RC P&amp;L, cash &amp; runway'!P15,IF('RC P&amp;L, cash &amp; runway'!P22="","",'RC P&amp;L, cash &amp; runway'!P22&lt;'Model inputs'!B13*'RC P&amp;L, cash &amp; runway'!P15))="",FALSE,IF(ISERROR('RC P&amp;L, cash &amp; runway'!P22&lt;'Model inputs'!B13*'RC P&amp;L, cash &amp; runway'!P15),'RC P&amp;L, cash &amp; runway'!P22&lt;'Model inputs'!B13*'RC P&amp;L, cash &amp; runway'!P15,IF('RC P&amp;L, cash &amp; runway'!P22="","",'RC P&amp;L, cash &amp; runway'!P22&lt;'Model inputs'!B13*'RC P&amp;L, cash &amp; runway'!P15))),1,0)</f>
        <v>0</v>
      </c>
      <c r="Q26" s="14">
        <f>IF(IF(IF(ISERROR('RC P&amp;L, cash &amp; runway'!Q22&lt;'Model inputs'!B13*'RC P&amp;L, cash &amp; runway'!Q15),'RC P&amp;L, cash &amp; runway'!Q22&lt;'Model inputs'!B13*'RC P&amp;L, cash &amp; runway'!Q15,IF('RC P&amp;L, cash &amp; runway'!Q22="","",'RC P&amp;L, cash &amp; runway'!Q22&lt;'Model inputs'!B13*'RC P&amp;L, cash &amp; runway'!Q15))="",FALSE,IF(ISERROR('RC P&amp;L, cash &amp; runway'!Q22&lt;'Model inputs'!B13*'RC P&amp;L, cash &amp; runway'!Q15),'RC P&amp;L, cash &amp; runway'!Q22&lt;'Model inputs'!B13*'RC P&amp;L, cash &amp; runway'!Q15,IF('RC P&amp;L, cash &amp; runway'!Q22="","",'RC P&amp;L, cash &amp; runway'!Q22&lt;'Model inputs'!B13*'RC P&amp;L, cash &amp; runway'!Q15))),1,0)</f>
        <v>0</v>
      </c>
      <c r="R26" s="14">
        <f>IF(IF(IF(ISERROR('RC P&amp;L, cash &amp; runway'!R22&lt;'Model inputs'!B13*'RC P&amp;L, cash &amp; runway'!R15),'RC P&amp;L, cash &amp; runway'!R22&lt;'Model inputs'!B13*'RC P&amp;L, cash &amp; runway'!R15,IF('RC P&amp;L, cash &amp; runway'!R22="","",'RC P&amp;L, cash &amp; runway'!R22&lt;'Model inputs'!B13*'RC P&amp;L, cash &amp; runway'!R15))="",FALSE,IF(ISERROR('RC P&amp;L, cash &amp; runway'!R22&lt;'Model inputs'!B13*'RC P&amp;L, cash &amp; runway'!R15),'RC P&amp;L, cash &amp; runway'!R22&lt;'Model inputs'!B13*'RC P&amp;L, cash &amp; runway'!R15,IF('RC P&amp;L, cash &amp; runway'!R22="","",'RC P&amp;L, cash &amp; runway'!R22&lt;'Model inputs'!B13*'RC P&amp;L, cash &amp; runway'!R15))),1,0)</f>
        <v>0</v>
      </c>
      <c r="S26" s="14">
        <f>IF(IF(IF(ISERROR('RC P&amp;L, cash &amp; runway'!S22&lt;'Model inputs'!B13*'RC P&amp;L, cash &amp; runway'!S15),'RC P&amp;L, cash &amp; runway'!S22&lt;'Model inputs'!B13*'RC P&amp;L, cash &amp; runway'!S15,IF('RC P&amp;L, cash &amp; runway'!S22="","",'RC P&amp;L, cash &amp; runway'!S22&lt;'Model inputs'!B13*'RC P&amp;L, cash &amp; runway'!S15))="",FALSE,IF(ISERROR('RC P&amp;L, cash &amp; runway'!S22&lt;'Model inputs'!B13*'RC P&amp;L, cash &amp; runway'!S15),'RC P&amp;L, cash &amp; runway'!S22&lt;'Model inputs'!B13*'RC P&amp;L, cash &amp; runway'!S15,IF('RC P&amp;L, cash &amp; runway'!S22="","",'RC P&amp;L, cash &amp; runway'!S22&lt;'Model inputs'!B13*'RC P&amp;L, cash &amp; runway'!S15))),1,0)</f>
        <v>0</v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>
  <dimension ref="A1:AG1473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2026-09</t>
        </is>
      </c>
      <c r="D5" t="inlineStr" s="5">
        <is>
          <t xml:space="preserve">2026-10</t>
        </is>
      </c>
      <c r="E5" t="inlineStr" s="4">
        <is>
          <t xml:space="preserve">2026-11</t>
        </is>
      </c>
      <c r="F5" t="inlineStr" s="4">
        <is>
          <t xml:space="preserve">2026-12</t>
        </is>
      </c>
      <c r="G5" t="inlineStr" s="5">
        <is>
          <t xml:space="preserve">2027-01</t>
        </is>
      </c>
      <c r="H5" t="inlineStr" s="4">
        <is>
          <t xml:space="preserve">2027-02</t>
        </is>
      </c>
      <c r="I5" t="inlineStr" s="4">
        <is>
          <t xml:space="preserve">2027-03</t>
        </is>
      </c>
      <c r="J5" t="inlineStr" s="5">
        <is>
          <t xml:space="preserve">2027-04</t>
        </is>
      </c>
      <c r="K5" t="inlineStr" s="4">
        <is>
          <t xml:space="preserve">2027-05</t>
        </is>
      </c>
      <c r="L5" t="inlineStr" s="4">
        <is>
          <t xml:space="preserve">2027-06</t>
        </is>
      </c>
      <c r="M5" t="inlineStr" s="5">
        <is>
          <t xml:space="preserve">2027-07</t>
        </is>
      </c>
      <c r="N5" t="inlineStr" s="4">
        <is>
          <t xml:space="preserve">2027-08</t>
        </is>
      </c>
      <c r="O5" t="inlineStr" s="4">
        <is>
          <t xml:space="preserve">2027-09</t>
        </is>
      </c>
      <c r="P5" t="inlineStr" s="5">
        <is>
          <t xml:space="preserve">2027-10</t>
        </is>
      </c>
      <c r="Q5" t="inlineStr" s="4">
        <is>
          <t xml:space="preserve">2027-11</t>
        </is>
      </c>
      <c r="R5" t="inlineStr" s="4">
        <is>
          <t xml:space="preserve">2027-12</t>
        </is>
      </c>
      <c r="S5" t="inlineStr" s="5">
        <is>
          <t xml:space="preserve">2028-01</t>
        </is>
      </c>
      <c r="T5" t="inlineStr" s="4">
        <is>
          <t xml:space="preserve">2028-02</t>
        </is>
      </c>
      <c r="U5" t="inlineStr" s="4">
        <is>
          <t xml:space="preserve">2028-03</t>
        </is>
      </c>
      <c r="V5" t="inlineStr" s="5">
        <is>
          <t xml:space="preserve">2028-04</t>
        </is>
      </c>
      <c r="W5" t="inlineStr" s="5">
        <is>
          <t xml:space="preserve">2025-10</t>
        </is>
      </c>
      <c r="X5" t="inlineStr" s="4">
        <is>
          <t xml:space="preserve">2025-11</t>
        </is>
      </c>
      <c r="Y5" t="inlineStr" s="4">
        <is>
          <t xml:space="preserve">2025-12</t>
        </is>
      </c>
      <c r="Z5" t="inlineStr" s="5">
        <is>
          <t xml:space="preserve">2026-01</t>
        </is>
      </c>
      <c r="AA5" t="inlineStr" s="4">
        <is>
          <t xml:space="preserve">2026-02</t>
        </is>
      </c>
      <c r="AB5" t="inlineStr" s="4">
        <is>
          <t xml:space="preserve">2026-03</t>
        </is>
      </c>
      <c r="AC5" t="inlineStr" s="5">
        <is>
          <t xml:space="preserve">2026-04</t>
        </is>
      </c>
      <c r="AD5" t="inlineStr" s="4">
        <is>
          <t xml:space="preserve">2026-05</t>
        </is>
      </c>
      <c r="AE5" t="inlineStr" s="4">
        <is>
          <t xml:space="preserve">2026-06</t>
        </is>
      </c>
      <c r="AF5" t="inlineStr" s="5">
        <is>
          <t xml:space="preserve">2026-07</t>
        </is>
      </c>
      <c r="AG5" t="inlineStr" s="4">
        <is>
          <t xml:space="preserve">2026-08</t>
        </is>
      </c>
    </row>
    <row r="6">
      <c r="A6" t="inlineStr" s="16">
        <is>
          <t xml:space="preserve">Angel raise amount</t>
        </is>
      </c>
      <c r="B6" s="9">
        <f>150000</f>
        <v>150000</v>
      </c>
    </row>
    <row r="7">
      <c r="A7" t="inlineStr" s="16">
        <is>
          <t xml:space="preserve">Angel raise month</t>
        </is>
      </c>
      <c r="B7" s="17">
        <f>5</f>
        <v>5</v>
      </c>
    </row>
    <row r="8">
      <c r="A8" t="inlineStr" s="16">
        <is>
          <t xml:space="preserve">Angel raise on</t>
        </is>
      </c>
      <c r="B8" s="17">
        <f>0</f>
        <v>0</v>
      </c>
    </row>
    <row r="9">
      <c r="A9" t="inlineStr" s="16">
        <is>
          <t xml:space="preserve">Cash collected</t>
        </is>
      </c>
      <c r="C9" s="7">
        <f>SUM('Model inputs'!C10,'Model inputs'!C11,'Model inputs'!C12)</f>
        <v>0</v>
      </c>
      <c r="D9" s="7">
        <f>SUM('Model inputs'!D10,'Model inputs'!D11,'Model inputs'!D12)</f>
        <v>0</v>
      </c>
      <c r="E9" s="7">
        <f>SUM('Model inputs'!E10,'Model inputs'!E11,'Model inputs'!E12)</f>
        <v>2697.6800000000003</v>
      </c>
      <c r="F9" s="7">
        <f>SUM('Model inputs'!F10,'Model inputs'!F11,'Model inputs'!F12)</f>
        <v>5606.778625</v>
      </c>
      <c r="G9" s="7">
        <f>SUM('Model inputs'!G10,'Model inputs'!G11,'Model inputs'!G12)</f>
        <v>7825.437596222222</v>
      </c>
      <c r="H9" s="7">
        <f>SUM('Model inputs'!H10,'Model inputs'!H11,'Model inputs'!H12)</f>
        <v>10146.445979945347</v>
      </c>
      <c r="I9" s="7">
        <f>SUM('Model inputs'!I10,'Model inputs'!I11,'Model inputs'!I12)</f>
        <v>12580.773190708544</v>
      </c>
      <c r="J9" s="7">
        <f>SUM('Model inputs'!J10,'Model inputs'!J11,'Model inputs'!J12)</f>
        <v>15140.751003750247</v>
      </c>
      <c r="K9" s="7">
        <f>SUM('Model inputs'!K10,'Model inputs'!K11,'Model inputs'!K12)</f>
        <v>17840.17124589042</v>
      </c>
      <c r="L9" s="7">
        <f>SUM('Model inputs'!L10,'Model inputs'!L11,'Model inputs'!L12)</f>
        <v>16646.246766121458</v>
      </c>
      <c r="M9" s="7">
        <f>SUM('Model inputs'!M10,'Model inputs'!M11,'Model inputs'!M12)</f>
        <v>18752.950290076937</v>
      </c>
      <c r="N9" s="7">
        <f>SUM('Model inputs'!N10,'Model inputs'!N11,'Model inputs'!N12)</f>
        <v>20735.056775405457</v>
      </c>
      <c r="O9" s="7">
        <f>SUM('Model inputs'!O10,'Model inputs'!O11,'Model inputs'!O12)</f>
        <v>22748.46821725793</v>
      </c>
      <c r="P9" s="7">
        <f>SUM('Model inputs'!P10,'Model inputs'!P11,'Model inputs'!P12)</f>
        <v>24796.445311724372</v>
      </c>
      <c r="Q9" s="7">
        <f>SUM('Model inputs'!Q10,'Model inputs'!Q11,'Model inputs'!Q12)</f>
        <v>26882.269077899713</v>
      </c>
      <c r="R9" s="7">
        <f>SUM('Model inputs'!R10,'Model inputs'!R11,'Model inputs'!R12)</f>
        <v>29922.356426534036</v>
      </c>
      <c r="S9" s="7">
        <f>SUM('Model inputs'!S10,'Model inputs'!S11,'Model inputs'!S12)</f>
        <v>32786.31787579432</v>
      </c>
      <c r="T9" s="7">
        <f>SUM('Model inputs'!T10,'Model inputs'!T11,'Model inputs'!T12)</f>
        <v>35784.22746472322</v>
      </c>
      <c r="U9" s="7">
        <f>SUM('Model inputs'!U10,'Model inputs'!U11,'Model inputs'!U12)</f>
        <v>38929.0091771567</v>
      </c>
      <c r="V9" s="7">
        <f>SUM('Model inputs'!V10,'Model inputs'!V11,'Model inputs'!V12)</f>
        <v>42234.939596773154</v>
      </c>
    </row>
    <row r="10" outlineLevel="1">
      <c r="A10" t="inlineStr" s="18">
        <is>
          <t xml:space="preserve">Cash collected &gt; Indie</t>
        </is>
      </c>
      <c r="C10" s="9">
        <f>'Model inputs'!C167*'Model inputs'!B171+('Model inputs'!C175+'Model inputs'!C85)*'Model inputs'!B81+'Model inputs'!C59+'Model inputs'!C29</f>
        <v>0</v>
      </c>
      <c r="D10" s="9">
        <f>'Model inputs'!D167*'Model inputs'!B171+('Model inputs'!D175+'Model inputs'!D85)*'Model inputs'!B81+'Model inputs'!D59+'Model inputs'!D29</f>
        <v>0</v>
      </c>
      <c r="E10" s="9">
        <f>'Model inputs'!E167*'Model inputs'!B171+('Model inputs'!E175+'Model inputs'!E85)*'Model inputs'!B81+'Model inputs'!E59+'Model inputs'!E29</f>
        <v>1230.4</v>
      </c>
      <c r="F10" s="9">
        <f>'Model inputs'!F167*'Model inputs'!B171+('Model inputs'!F175+'Model inputs'!F85)*'Model inputs'!B81+'Model inputs'!F59+'Model inputs'!F29</f>
        <v>2286.4933333333333</v>
      </c>
      <c r="G10" s="9">
        <f>'Model inputs'!G167*'Model inputs'!B171+('Model inputs'!G175+'Model inputs'!G85)*'Model inputs'!B81+'Model inputs'!G59+'Model inputs'!G29</f>
        <v>2964.5804444444448</v>
      </c>
      <c r="H10" s="9">
        <f>'Model inputs'!H167*'Model inputs'!B171+('Model inputs'!H175+'Model inputs'!H85)*'Model inputs'!B81+'Model inputs'!H59+'Model inputs'!H29</f>
        <v>3663.903348148149</v>
      </c>
      <c r="I10" s="9">
        <f>'Model inputs'!I167*'Model inputs'!B171+('Model inputs'!I175+'Model inputs'!I85)*'Model inputs'!B81+'Model inputs'!I59+'Model inputs'!I29</f>
        <v>4388.3616529382725</v>
      </c>
      <c r="J10" s="9">
        <f>'Model inputs'!J167*'Model inputs'!B171+('Model inputs'!J175+'Model inputs'!J85)*'Model inputs'!B81+'Model inputs'!J59+'Model inputs'!J29</f>
        <v>5142.0202196490545</v>
      </c>
      <c r="K10" s="9">
        <f>'Model inputs'!K167*'Model inputs'!B171+('Model inputs'!K175+'Model inputs'!K85)*'Model inputs'!B81+'Model inputs'!K59+'Model inputs'!K29</f>
        <v>5929.13216273165</v>
      </c>
      <c r="L10" s="9">
        <f>'Model inputs'!L167*'Model inputs'!B171+('Model inputs'!L175+'Model inputs'!L85)*'Model inputs'!B81+'Model inputs'!L59+'Model inputs'!L29</f>
        <v>6754.163039560144</v>
      </c>
      <c r="M10" s="9">
        <f>'Model inputs'!M167*'Model inputs'!B171+('Model inputs'!M175+'Model inputs'!M85)*'Model inputs'!B81+'Model inputs'!M59+'Model inputs'!M29</f>
        <v>7621.816366280919</v>
      </c>
      <c r="N10" s="9">
        <f>'Model inputs'!N167*'Model inputs'!B171+('Model inputs'!N175+'Model inputs'!N85)*'Model inputs'!B81+'Model inputs'!N59+'Model inputs'!N29</f>
        <v>8484.343372394635</v>
      </c>
      <c r="O10" s="9">
        <f>'Model inputs'!O167*'Model inputs'!B171+('Model inputs'!O175+'Model inputs'!O85)*'Model inputs'!B81+'Model inputs'!O59+'Model inputs'!O29</f>
        <v>9344.194501988735</v>
      </c>
      <c r="P10" s="9">
        <f>'Model inputs'!P167*'Model inputs'!B171+('Model inputs'!P175+'Model inputs'!P85)*'Model inputs'!B81+'Model inputs'!P59+'Model inputs'!P29</f>
        <v>10203.74118378671</v>
      </c>
      <c r="Q10" s="9">
        <f>'Model inputs'!Q167*'Model inputs'!B171+('Model inputs'!Q175+'Model inputs'!Q85)*'Model inputs'!B81+'Model inputs'!Q59+'Model inputs'!Q29</f>
        <v>11065.284472742042</v>
      </c>
      <c r="R10" s="9">
        <f>'Model inputs'!R167*'Model inputs'!B171+('Model inputs'!R175+'Model inputs'!R85)*'Model inputs'!B81+'Model inputs'!R59+'Model inputs'!R29</f>
        <v>11931.063250481995</v>
      </c>
      <c r="S10" s="9">
        <f>'Model inputs'!S167*'Model inputs'!B171+('Model inputs'!S175+'Model inputs'!S85)*'Model inputs'!B81+'Model inputs'!S59+'Model inputs'!S29</f>
        <v>12803.262019409533</v>
      </c>
      <c r="T10" s="9">
        <f>'Model inputs'!T167*'Model inputs'!B171+('Model inputs'!T175+'Model inputs'!T85)*'Model inputs'!B81+'Model inputs'!T59+'Model inputs'!T29</f>
        <v>13684.01832316695</v>
      </c>
      <c r="U10" s="9">
        <f>'Model inputs'!U167*'Model inputs'!B171+('Model inputs'!U175+'Model inputs'!U85)*'Model inputs'!B81+'Model inputs'!U59+'Model inputs'!U29</f>
        <v>14575.429824209265</v>
      </c>
      <c r="V10" s="9">
        <f>'Model inputs'!V167*'Model inputs'!B171+('Model inputs'!V175+'Model inputs'!V85)*'Model inputs'!B81+'Model inputs'!V59+'Model inputs'!V29</f>
        <v>15479.561067418897</v>
      </c>
    </row>
    <row r="11" outlineLevel="1">
      <c r="A11" t="inlineStr" s="18">
        <is>
          <t xml:space="preserve">Cash collected &gt; Launch</t>
        </is>
      </c>
      <c r="C11" s="9">
        <f>'Model inputs'!C168*'Model inputs'!B172+('Model inputs'!C176+'Model inputs'!C86)*'Model inputs'!B82+'Model inputs'!C60+'Model inputs'!C30</f>
        <v>0</v>
      </c>
      <c r="D11" s="9">
        <f>'Model inputs'!D168*'Model inputs'!B172+('Model inputs'!D176+'Model inputs'!D86)*'Model inputs'!B82+'Model inputs'!D60+'Model inputs'!D30</f>
        <v>0</v>
      </c>
      <c r="E11" s="9">
        <f>'Model inputs'!E168*'Model inputs'!B172+('Model inputs'!E176+'Model inputs'!E86)*'Model inputs'!B82+'Model inputs'!E60+'Model inputs'!E30</f>
        <v>526.36</v>
      </c>
      <c r="F11" s="9">
        <f>'Model inputs'!F168*'Model inputs'!B172+('Model inputs'!F176+'Model inputs'!F86)*'Model inputs'!B82+'Model inputs'!F60+'Model inputs'!F30</f>
        <v>1190.38585</v>
      </c>
      <c r="G11" s="9">
        <f>'Model inputs'!G168*'Model inputs'!B172+('Model inputs'!G176+'Model inputs'!G86)*'Model inputs'!B82+'Model inputs'!G60+'Model inputs'!G30</f>
        <v>1694.0472789861105</v>
      </c>
      <c r="H11" s="9">
        <f>'Model inputs'!H168*'Model inputs'!B172+('Model inputs'!H176+'Model inputs'!H86)*'Model inputs'!B82+'Model inputs'!H60+'Model inputs'!H30</f>
        <v>2181.1402219713705</v>
      </c>
      <c r="I11" s="9">
        <f>'Model inputs'!I168*'Model inputs'!B172+('Model inputs'!I176+'Model inputs'!I86)*'Model inputs'!B82+'Model inputs'!I60+'Model inputs'!I30</f>
        <v>2653.3468948407544</v>
      </c>
      <c r="J11" s="9">
        <f>'Model inputs'!J168*'Model inputs'!B172+('Model inputs'!J176+'Model inputs'!J86)*'Model inputs'!B82+'Model inputs'!J60+'Model inputs'!J30</f>
        <v>3112.3679228149263</v>
      </c>
      <c r="K11" s="9">
        <f>'Model inputs'!K168*'Model inputs'!B172+('Model inputs'!K176+'Model inputs'!K86)*'Model inputs'!B82+'Model inputs'!K60+'Model inputs'!K30</f>
        <v>3559.9378256713617</v>
      </c>
      <c r="L11" s="9">
        <f>'Model inputs'!L168*'Model inputs'!B172+('Model inputs'!L176+'Model inputs'!L86)*'Model inputs'!B82+'Model inputs'!L60+'Model inputs'!L30</f>
        <v>2758.24177524009</v>
      </c>
      <c r="M11" s="9">
        <f>'Model inputs'!M168*'Model inputs'!B172+('Model inputs'!M176+'Model inputs'!M86)*'Model inputs'!B82+'Model inputs'!M60+'Model inputs'!M30</f>
        <v>3002.2318336121766</v>
      </c>
      <c r="N11" s="9">
        <f>'Model inputs'!N168*'Model inputs'!B172+('Model inputs'!N176+'Model inputs'!N86)*'Model inputs'!B82+'Model inputs'!N60+'Model inputs'!N30</f>
        <v>3255.8696811536925</v>
      </c>
      <c r="O11" s="9">
        <f>'Model inputs'!O168*'Model inputs'!B172+('Model inputs'!O176+'Model inputs'!O86)*'Model inputs'!B82+'Model inputs'!O60+'Model inputs'!O30</f>
        <v>3517.153123928048</v>
      </c>
      <c r="P11" s="9">
        <f>'Model inputs'!P168*'Model inputs'!B172+('Model inputs'!P176+'Model inputs'!P86)*'Model inputs'!B82+'Model inputs'!P60+'Model inputs'!P30</f>
        <v>3786.3126476580737</v>
      </c>
      <c r="Q11" s="9">
        <f>'Model inputs'!Q168*'Model inputs'!B172+('Model inputs'!Q176+'Model inputs'!Q86)*'Model inputs'!B82+'Model inputs'!Q60+'Model inputs'!Q30</f>
        <v>4063.584380847636</v>
      </c>
      <c r="R11" s="9">
        <f>'Model inputs'!R168*'Model inputs'!B172+('Model inputs'!R176+'Model inputs'!R86)*'Model inputs'!B82+'Model inputs'!R60+'Model inputs'!R30</f>
        <v>4715.841995568784</v>
      </c>
      <c r="S11" s="9">
        <f>'Model inputs'!S168*'Model inputs'!B172+('Model inputs'!S176+'Model inputs'!S86)*'Model inputs'!B82+'Model inputs'!S60+'Model inputs'!S30</f>
        <v>5265.711491962355</v>
      </c>
      <c r="T11" s="9">
        <f>'Model inputs'!T168*'Model inputs'!B172+('Model inputs'!T176+'Model inputs'!T86)*'Model inputs'!B82+'Model inputs'!T60+'Model inputs'!T30</f>
        <v>5833.149285373777</v>
      </c>
      <c r="U11" s="9">
        <f>'Model inputs'!U168*'Model inputs'!B172+('Model inputs'!U176+'Model inputs'!U86)*'Model inputs'!B82+'Model inputs'!U60+'Model inputs'!U30</f>
        <v>6419.8472544429615</v>
      </c>
      <c r="V11" s="9">
        <f>'Model inputs'!V168*'Model inputs'!B172+('Model inputs'!V176+'Model inputs'!V86)*'Model inputs'!B82+'Model inputs'!V60+'Model inputs'!V30</f>
        <v>7027.630974811705</v>
      </c>
    </row>
    <row r="12" outlineLevel="1">
      <c r="A12" t="inlineStr" s="18">
        <is>
          <t xml:space="preserve">Cash collected &gt; Team</t>
        </is>
      </c>
      <c r="C12" s="9">
        <f>'Model inputs'!C169*'Model inputs'!B173+('Model inputs'!C177+'Model inputs'!C87)*'Model inputs'!B83+'Model inputs'!C61+'Model inputs'!C31</f>
        <v>0</v>
      </c>
      <c r="D12" s="9">
        <f>'Model inputs'!D169*'Model inputs'!B173+('Model inputs'!D177+'Model inputs'!D87)*'Model inputs'!B83+'Model inputs'!D61+'Model inputs'!D31</f>
        <v>0</v>
      </c>
      <c r="E12" s="9">
        <f>'Model inputs'!E169*'Model inputs'!B173+('Model inputs'!E177+'Model inputs'!E87)*'Model inputs'!B83+'Model inputs'!E61+'Model inputs'!E31</f>
        <v>940.92</v>
      </c>
      <c r="F12" s="9">
        <f>'Model inputs'!F169*'Model inputs'!B173+('Model inputs'!F177+'Model inputs'!F87)*'Model inputs'!B83+'Model inputs'!F61+'Model inputs'!F31</f>
        <v>2129.8994416666665</v>
      </c>
      <c r="G12" s="9">
        <f>'Model inputs'!G169*'Model inputs'!B173+('Model inputs'!G177+'Model inputs'!G87)*'Model inputs'!B83+'Model inputs'!G61+'Model inputs'!G31</f>
        <v>3166.8098727916667</v>
      </c>
      <c r="H12" s="9">
        <f>'Model inputs'!H169*'Model inputs'!B173+('Model inputs'!H177+'Model inputs'!H87)*'Model inputs'!B83+'Model inputs'!H61+'Model inputs'!H31</f>
        <v>4301.402409825828</v>
      </c>
      <c r="I12" s="9">
        <f>'Model inputs'!I169*'Model inputs'!B173+('Model inputs'!I177+'Model inputs'!I87)*'Model inputs'!B83+'Model inputs'!I61+'Model inputs'!I31</f>
        <v>5539.064642929517</v>
      </c>
      <c r="J12" s="9">
        <f>'Model inputs'!J169*'Model inputs'!B173+('Model inputs'!J177+'Model inputs'!J87)*'Model inputs'!B83+'Model inputs'!J61+'Model inputs'!J31</f>
        <v>6886.362861286267</v>
      </c>
      <c r="K12" s="9">
        <f>'Model inputs'!K169*'Model inputs'!B173+('Model inputs'!K177+'Model inputs'!K87)*'Model inputs'!B83+'Model inputs'!K61+'Model inputs'!K31</f>
        <v>8351.101257487406</v>
      </c>
      <c r="L12" s="9">
        <f>'Model inputs'!L169*'Model inputs'!B173+('Model inputs'!L177+'Model inputs'!L87)*'Model inputs'!B83+'Model inputs'!L61+'Model inputs'!L31</f>
        <v>7133.841951321224</v>
      </c>
      <c r="M12" s="9">
        <f>'Model inputs'!M169*'Model inputs'!B173+('Model inputs'!M177+'Model inputs'!M87)*'Model inputs'!B83+'Model inputs'!M61+'Model inputs'!M31</f>
        <v>8128.902090183842</v>
      </c>
      <c r="N12" s="9">
        <f>'Model inputs'!N169*'Model inputs'!B173+('Model inputs'!N177+'Model inputs'!N87)*'Model inputs'!B83+'Model inputs'!N61+'Model inputs'!N31</f>
        <v>8994.843721857133</v>
      </c>
      <c r="O12" s="9">
        <f>'Model inputs'!O169*'Model inputs'!B173+('Model inputs'!O177+'Model inputs'!O87)*'Model inputs'!B83+'Model inputs'!O61+'Model inputs'!O31</f>
        <v>9887.120591341147</v>
      </c>
      <c r="P12" s="9">
        <f>'Model inputs'!P169*'Model inputs'!B173+('Model inputs'!P177+'Model inputs'!P87)*'Model inputs'!B83+'Model inputs'!P61+'Model inputs'!P31</f>
        <v>10806.391480279588</v>
      </c>
      <c r="Q12" s="9">
        <f>'Model inputs'!Q169*'Model inputs'!B173+('Model inputs'!Q177+'Model inputs'!Q87)*'Model inputs'!B83+'Model inputs'!Q61+'Model inputs'!Q31</f>
        <v>11753.400224310035</v>
      </c>
      <c r="R12" s="9">
        <f>'Model inputs'!R169*'Model inputs'!B173+('Model inputs'!R177+'Model inputs'!R87)*'Model inputs'!B83+'Model inputs'!R61+'Model inputs'!R31</f>
        <v>13275.451180483256</v>
      </c>
      <c r="S12" s="9">
        <f>'Model inputs'!S169*'Model inputs'!B173+('Model inputs'!S177+'Model inputs'!S87)*'Model inputs'!B83+'Model inputs'!S61+'Model inputs'!S31</f>
        <v>14717.344364422432</v>
      </c>
      <c r="T12" s="9">
        <f>'Model inputs'!T169*'Model inputs'!B173+('Model inputs'!T177+'Model inputs'!T87)*'Model inputs'!B83+'Model inputs'!T61+'Model inputs'!T31</f>
        <v>16267.05985618249</v>
      </c>
      <c r="U12" s="9">
        <f>'Model inputs'!U169*'Model inputs'!B173+('Model inputs'!U177+'Model inputs'!U87)*'Model inputs'!B83+'Model inputs'!U61+'Model inputs'!U31</f>
        <v>17933.732098504475</v>
      </c>
      <c r="V12" s="9">
        <f>'Model inputs'!V169*'Model inputs'!B173+('Model inputs'!V177+'Model inputs'!V87)*'Model inputs'!B83+'Model inputs'!V61+'Model inputs'!V31</f>
        <v>19727.74755454255</v>
      </c>
    </row>
    <row r="13">
      <c r="A13" t="inlineStr" s="16">
        <is>
          <t xml:space="preserve">Cash floor (months of opex)</t>
        </is>
      </c>
      <c r="B13" s="17">
        <f>4</f>
        <v>4</v>
      </c>
    </row>
    <row r="14">
      <c r="A14" t="inlineStr" s="16">
        <is>
          <t xml:space="preserve">Cash on hand</t>
        </is>
      </c>
      <c r="C14" s="9">
        <f>IF(IF(IF(ISERROR('Model inputs'!C32=0),'Model inputs'!C32=0,IF('Model inputs'!C32="","",'Model inputs'!C32=0))="",FALSE,IF(ISERROR('Model inputs'!C32=0),'Model inputs'!C32=0,IF('Model inputs'!C32="","",'Model inputs'!C32=0))),'Model inputs'!B67+'Model inputs'!C33,'Model inputs'!AG106+'Model inputs'!C33)</f>
        <v>0</v>
      </c>
      <c r="D14" s="9">
        <f>IF(IF(IF(ISERROR('Model inputs'!D32=0),'Model inputs'!D32=0,IF('Model inputs'!D32="","",'Model inputs'!D32=0))="",FALSE,IF(ISERROR('Model inputs'!D32=0),'Model inputs'!D32=0,IF('Model inputs'!D32="","",'Model inputs'!D32=0))),'Model inputs'!B67+'Model inputs'!D33,'Model inputs'!C14+'Model inputs'!D33)</f>
        <v>0</v>
      </c>
      <c r="E14" s="9">
        <f>IF(IF(IF(ISERROR('Model inputs'!E32=0),'Model inputs'!E32=0,IF('Model inputs'!E32="","",'Model inputs'!E32=0))="",FALSE,IF(ISERROR('Model inputs'!E32=0),'Model inputs'!E32=0,IF('Model inputs'!E32="","",'Model inputs'!E32=0))),'Model inputs'!B67+'Model inputs'!E33,'Model inputs'!D14+'Model inputs'!E33)</f>
        <v>5036.627280000001</v>
      </c>
      <c r="F14" s="9">
        <f>IF(IF(IF(ISERROR('Model inputs'!F32=0),'Model inputs'!F32=0,IF('Model inputs'!F32="","",'Model inputs'!F32=0))="",FALSE,IF(ISERROR('Model inputs'!F32=0),'Model inputs'!F32=0,IF('Model inputs'!F32="","",'Model inputs'!F32=0))),'Model inputs'!B67+'Model inputs'!F33,'Model inputs'!E14+'Model inputs'!F33)</f>
        <v>4906.827824875</v>
      </c>
      <c r="G14" s="9">
        <f>IF(IF(IF(ISERROR('Model inputs'!G32=0),'Model inputs'!G32=0,IF('Model inputs'!G32="","",'Model inputs'!G32=0))="",FALSE,IF(ISERROR('Model inputs'!G32=0),'Model inputs'!G32=0,IF('Model inputs'!G32="","",'Model inputs'!G32=0))),'Model inputs'!B67+'Model inputs'!G33,'Model inputs'!F14+'Model inputs'!G33)</f>
        <v>6813.953376890111</v>
      </c>
      <c r="H14" s="9">
        <f>IF(IF(IF(ISERROR('Model inputs'!H32=0),'Model inputs'!H32=0,IF('Model inputs'!H32="","",'Model inputs'!H32=0))="",FALSE,IF(ISERROR('Model inputs'!H32=0),'Model inputs'!H32=0,IF('Model inputs'!H32="","",'Model inputs'!H32=0))),'Model inputs'!B67+'Model inputs'!H33,'Model inputs'!G14+'Model inputs'!H33)</f>
        <v>9201.423698082772</v>
      </c>
      <c r="I14" s="9">
        <f>IF(IF(IF(ISERROR('Model inputs'!I32=0),'Model inputs'!I32=0,IF('Model inputs'!I32="","",'Model inputs'!I32=0))="",FALSE,IF(ISERROR('Model inputs'!I32=0),'Model inputs'!I32=0,IF('Model inputs'!I32="","",'Model inputs'!I32=0))),'Model inputs'!B67+'Model inputs'!I33,'Model inputs'!H14+'Model inputs'!I33)</f>
        <v>13622.668829644677</v>
      </c>
      <c r="J14" s="9">
        <f>IF(IF(IF(ISERROR('Model inputs'!J32=0),'Model inputs'!J32=0,IF('Model inputs'!J32="","",'Model inputs'!J32=0))="",FALSE,IF(ISERROR('Model inputs'!J32=0),'Model inputs'!J32=0,IF('Model inputs'!J32="","",'Model inputs'!J32=0))),'Model inputs'!B67+'Model inputs'!J33,'Model inputs'!I14+'Model inputs'!J33)</f>
        <v>20392.399007853837</v>
      </c>
      <c r="K14" s="9">
        <f>IF(IF(IF(ISERROR('Model inputs'!K32=0),'Model inputs'!K32=0,IF('Model inputs'!K32="","",'Model inputs'!K32=0))="",FALSE,IF(ISERROR('Model inputs'!K32=0),'Model inputs'!K32=0,IF('Model inputs'!K32="","",'Model inputs'!K32=0))),'Model inputs'!B67+'Model inputs'!K33,'Model inputs'!J14+'Model inputs'!K33)</f>
        <v>25637.9644184375</v>
      </c>
      <c r="L14" s="9">
        <f>IF(IF(IF(ISERROR('Model inputs'!L32=0),'Model inputs'!L32=0,IF('Model inputs'!L32="","",'Model inputs'!L32=0))="",FALSE,IF(ISERROR('Model inputs'!L32=0),'Model inputs'!L32=0,IF('Model inputs'!L32="","",'Model inputs'!L32=0))),'Model inputs'!B67+'Model inputs'!L33,'Model inputs'!K14+'Model inputs'!L33)</f>
        <v>29570.063587909368</v>
      </c>
      <c r="M14" s="9">
        <f>IF(IF(IF(ISERROR('Model inputs'!M32=0),'Model inputs'!M32=0,IF('Model inputs'!M32="","",'Model inputs'!M32=0))="",FALSE,IF(ISERROR('Model inputs'!M32=0),'Model inputs'!M32=0,IF('Model inputs'!M32="","",'Model inputs'!M32=0))),'Model inputs'!B67+'Model inputs'!M33,'Model inputs'!L14+'Model inputs'!M33)</f>
        <v>35383.16682388834</v>
      </c>
      <c r="N14" s="9">
        <f>IF(IF(IF(ISERROR('Model inputs'!N32=0),'Model inputs'!N32=0,IF('Model inputs'!N32="","",'Model inputs'!N32=0))="",FALSE,IF(ISERROR('Model inputs'!N32=0),'Model inputs'!N32=0,IF('Model inputs'!N32="","",'Model inputs'!N32=0))),'Model inputs'!B67+'Model inputs'!N33,'Model inputs'!M14+'Model inputs'!N33)</f>
        <v>42953.42714980578</v>
      </c>
      <c r="O14" s="9">
        <f>IF(IF(IF(ISERROR('Model inputs'!O32=0),'Model inputs'!O32=0,IF('Model inputs'!O32="","",'Model inputs'!O32=0))="",FALSE,IF(ISERROR('Model inputs'!O32=0),'Model inputs'!O32=0,IF('Model inputs'!O32="","",'Model inputs'!O32=0))),'Model inputs'!B67+'Model inputs'!O33,'Model inputs'!N14+'Model inputs'!O33)</f>
        <v>52308.118344086135</v>
      </c>
      <c r="P14" s="9">
        <f>IF(IF(IF(ISERROR('Model inputs'!P32=0),'Model inputs'!P32=0,IF('Model inputs'!P32="","",'Model inputs'!P32=0))="",FALSE,IF(ISERROR('Model inputs'!P32=0),'Model inputs'!P32=0,IF('Model inputs'!P32="","",'Model inputs'!P32=0))),'Model inputs'!B67+'Model inputs'!P33,'Model inputs'!O14+'Model inputs'!P33)</f>
        <v>63477.44756291351</v>
      </c>
      <c r="Q14" s="9">
        <f>IF(IF(IF(ISERROR('Model inputs'!Q32=0),'Model inputs'!Q32=0,IF('Model inputs'!Q32="","",'Model inputs'!Q32=0))="",FALSE,IF(ISERROR('Model inputs'!Q32=0),'Model inputs'!Q32=0,IF('Model inputs'!Q32="","",'Model inputs'!Q32=0))),'Model inputs'!B67+'Model inputs'!Q33,'Model inputs'!P14+'Model inputs'!Q33)</f>
        <v>71994.57087233468</v>
      </c>
      <c r="R14" s="9">
        <f>IF(IF(IF(ISERROR('Model inputs'!R32=0),'Model inputs'!R32=0,IF('Model inputs'!R32="","",'Model inputs'!R32=0))="",FALSE,IF(ISERROR('Model inputs'!R32=0),'Model inputs'!R32=0,IF('Model inputs'!R32="","",'Model inputs'!R32=0))),'Model inputs'!B67+'Model inputs'!R33,'Model inputs'!Q14+'Model inputs'!R33)</f>
        <v>87782.1114533375</v>
      </c>
      <c r="S14" s="9">
        <f>IF(IF(IF(ISERROR('Model inputs'!S32=0),'Model inputs'!S32=0,IF('Model inputs'!S32="","",'Model inputs'!S32=0))="",FALSE,IF(ISERROR('Model inputs'!S32=0),'Model inputs'!S32=0,IF('Model inputs'!S32="","",'Model inputs'!S32=0))),'Model inputs'!B67+'Model inputs'!S33,'Model inputs'!R14+'Model inputs'!S33)</f>
        <v>106164.99833559195</v>
      </c>
      <c r="T14" s="9">
        <f>IF(IF(IF(ISERROR('Model inputs'!T32=0),'Model inputs'!T32=0,IF('Model inputs'!T32="","",'Model inputs'!T32=0))="",FALSE,IF(ISERROR('Model inputs'!T32=0),'Model inputs'!T32=0,IF('Model inputs'!T32="","",'Model inputs'!T32=0))),'Model inputs'!B67+'Model inputs'!T33,'Model inputs'!S14+'Model inputs'!T33)</f>
        <v>127268.94519314464</v>
      </c>
      <c r="U14" s="9">
        <f>IF(IF(IF(ISERROR('Model inputs'!U32=0),'Model inputs'!U32=0,IF('Model inputs'!U32="","",'Model inputs'!U32=0))="",FALSE,IF(ISERROR('Model inputs'!U32=0),'Model inputs'!U32=0,IF('Model inputs'!U32="","",'Model inputs'!U32=0))),'Model inputs'!B67+'Model inputs'!U33,'Model inputs'!T14+'Model inputs'!U33)</f>
        <v>151231.95468153898</v>
      </c>
      <c r="V14" s="9">
        <f>IF(IF(IF(ISERROR('Model inputs'!V32=0),'Model inputs'!V32=0,IF('Model inputs'!V32="","",'Model inputs'!V32=0))="",FALSE,IF(ISERROR('Model inputs'!V32=0),'Model inputs'!V32=0,IF('Model inputs'!V32="","",'Model inputs'!V32=0))),'Model inputs'!B67+'Model inputs'!V33,'Model inputs'!U14+'Model inputs'!V33)</f>
        <v>178205.62499575765</v>
      </c>
    </row>
    <row r="15">
      <c r="A15" t="inlineStr" s="16">
        <is>
          <t xml:space="preserve">Contribution</t>
        </is>
      </c>
      <c r="E15" s="7">
        <f>SUM('Model inputs'!E16,'Model inputs'!E17,'Model inputs'!E18)</f>
        <v>2406.6272800000006</v>
      </c>
      <c r="F15" s="7">
        <f>SUM('Model inputs'!F16,'Model inputs'!F17,'Model inputs'!F18)</f>
        <v>3965.3169916342595</v>
      </c>
      <c r="G15" s="7">
        <f>SUM('Model inputs'!G16,'Model inputs'!G17,'Model inputs'!G18)</f>
        <v>5243.918326899371</v>
      </c>
      <c r="H15" s="7">
        <f>SUM('Model inputs'!H16,'Model inputs'!H17,'Model inputs'!H18)</f>
        <v>6577.771979754969</v>
      </c>
      <c r="I15" s="7">
        <f>SUM('Model inputs'!I16,'Model inputs'!I17,'Model inputs'!I18)</f>
        <v>7972.700861342793</v>
      </c>
      <c r="J15" s="7">
        <f>SUM('Model inputs'!J16,'Model inputs'!J17,'Model inputs'!J18)</f>
        <v>9434.959661035979</v>
      </c>
      <c r="K15" s="7">
        <f>SUM('Model inputs'!K16,'Model inputs'!K17,'Model inputs'!K18)</f>
        <v>10971.267947421213</v>
      </c>
      <c r="L15" s="7">
        <f>SUM('Model inputs'!L16,'Model inputs'!L17,'Model inputs'!L18)</f>
        <v>12781.20787015281</v>
      </c>
      <c r="M15" s="7">
        <f>SUM('Model inputs'!M16,'Model inputs'!M17,'Model inputs'!M18)</f>
        <v>14611.989929987601</v>
      </c>
      <c r="N15" s="7">
        <f>SUM('Model inputs'!N16,'Model inputs'!N17,'Model inputs'!N18)</f>
        <v>16478.39039618049</v>
      </c>
      <c r="O15" s="7">
        <f>SUM('Model inputs'!O16,'Model inputs'!O17,'Model inputs'!O18)</f>
        <v>18378.53531844109</v>
      </c>
      <c r="P15" s="7">
        <f>SUM('Model inputs'!P16,'Model inputs'!P17,'Model inputs'!P18)</f>
        <v>20315.052179182076</v>
      </c>
      <c r="Q15" s="7">
        <f>SUM('Model inputs'!Q16,'Model inputs'!Q17,'Model inputs'!Q18)</f>
        <v>22290.616934506717</v>
      </c>
      <c r="R15" s="7">
        <f>SUM('Model inputs'!R16,'Model inputs'!R17,'Model inputs'!R18)</f>
        <v>24281.346865080144</v>
      </c>
      <c r="S15" s="7">
        <f>SUM('Model inputs'!S16,'Model inputs'!S17,'Model inputs'!S18)</f>
        <v>26323.069143353197</v>
      </c>
      <c r="T15" s="7">
        <f>SUM('Model inputs'!T16,'Model inputs'!T17,'Model inputs'!T18)</f>
        <v>28409.696758705755</v>
      </c>
      <c r="U15" s="7">
        <f>SUM('Model inputs'!U16,'Model inputs'!U17,'Model inputs'!U18)</f>
        <v>30543.873448128914</v>
      </c>
      <c r="V15" s="7">
        <f>SUM('Model inputs'!V16,'Model inputs'!V17,'Model inputs'!V18)</f>
        <v>32728.27912559572</v>
      </c>
    </row>
    <row r="16" outlineLevel="1">
      <c r="A16" t="inlineStr" s="18">
        <is>
          <t xml:space="preserve">Contribution &gt; Indie</t>
        </is>
      </c>
      <c r="E16" s="9">
        <f>'Model inputs'!E73-'Model inputs'!E25-'Model inputs'!E63</f>
        <v>1101.1184000000003</v>
      </c>
      <c r="F16" s="9">
        <f>'Model inputs'!F73-'Model inputs'!F25-'Model inputs'!F63</f>
        <v>2046.2450266666667</v>
      </c>
      <c r="G16" s="9">
        <f>'Model inputs'!G73-'Model inputs'!G25-'Model inputs'!G63</f>
        <v>2653.083611555556</v>
      </c>
      <c r="H16" s="9">
        <f>'Model inputs'!H73-'Model inputs'!H25-'Model inputs'!H63</f>
        <v>3278.926684385186</v>
      </c>
      <c r="I16" s="9">
        <f>'Model inputs'!I73-'Model inputs'!I25-'Model inputs'!I63</f>
        <v>3927.264110780841</v>
      </c>
      <c r="J16" s="9">
        <f>'Model inputs'!J73-'Model inputs'!J25-'Model inputs'!J63</f>
        <v>4601.733645178491</v>
      </c>
      <c r="K16" s="9">
        <f>'Model inputs'!K73-'Model inputs'!K25-'Model inputs'!K63</f>
        <v>5306.141515292275</v>
      </c>
      <c r="L16" s="9">
        <f>'Model inputs'!L73-'Model inputs'!L25-'Model inputs'!L63</f>
        <v>6044.484069781862</v>
      </c>
      <c r="M16" s="9">
        <f>'Model inputs'!M73-'Model inputs'!M25-'Model inputs'!M63</f>
        <v>6820.970613079535</v>
      </c>
      <c r="N16" s="9">
        <f>'Model inputs'!N73-'Model inputs'!N25-'Model inputs'!N63</f>
        <v>7592.8694727420225</v>
      </c>
      <c r="O16" s="9">
        <f>'Model inputs'!O73-'Model inputs'!O25-'Model inputs'!O63</f>
        <v>8362.373617781725</v>
      </c>
      <c r="P16" s="9">
        <f>'Model inputs'!P73-'Model inputs'!P25-'Model inputs'!P63</f>
        <v>9131.605304214343</v>
      </c>
      <c r="Q16" s="9">
        <f>'Model inputs'!Q73-'Model inputs'!Q25-'Model inputs'!Q63</f>
        <v>9902.623808656177</v>
      </c>
      <c r="R16" s="9">
        <f>'Model inputs'!R73-'Model inputs'!R25-'Model inputs'!R63</f>
        <v>10677.432767124134</v>
      </c>
      <c r="S16" s="9">
        <f>'Model inputs'!S73-'Model inputs'!S25-'Model inputs'!S63</f>
        <v>11457.987150189365</v>
      </c>
      <c r="T16" s="9">
        <f>'Model inputs'!T73-'Model inputs'!T25-'Model inputs'!T63</f>
        <v>12246.199903751849</v>
      </c>
      <c r="U16" s="9">
        <f>'Model inputs'!U73-'Model inputs'!U25-'Model inputs'!U63</f>
        <v>13043.948282953175</v>
      </c>
      <c r="V16" s="9">
        <f>'Model inputs'!V73-'Model inputs'!V25-'Model inputs'!V63</f>
        <v>13853.079905119139</v>
      </c>
    </row>
    <row r="17" outlineLevel="1">
      <c r="A17" t="inlineStr" s="18">
        <is>
          <t xml:space="preserve">Contribution &gt; Launch</t>
        </is>
      </c>
      <c r="E17" s="9">
        <f>'Model inputs'!E74-'Model inputs'!E26-'Model inputs'!E64</f>
        <v>461.35556</v>
      </c>
      <c r="F17" s="9">
        <f>'Model inputs'!F74-'Model inputs'!F26-'Model inputs'!F64</f>
        <v>677.8494131277778</v>
      </c>
      <c r="G17" s="9">
        <f>'Model inputs'!G74-'Model inputs'!G26-'Model inputs'!G64</f>
        <v>896.4559667373346</v>
      </c>
      <c r="H17" s="9">
        <f>'Model inputs'!H74-'Model inputs'!H26-'Model inputs'!H64</f>
        <v>1113.7040040374432</v>
      </c>
      <c r="I17" s="9">
        <f>'Model inputs'!I74-'Model inputs'!I26-'Model inputs'!I64</f>
        <v>1330.081271347675</v>
      </c>
      <c r="J17" s="9">
        <f>'Model inputs'!J74-'Model inputs'!J26-'Model inputs'!J64</f>
        <v>1546.0865238199567</v>
      </c>
      <c r="K17" s="9">
        <f>'Model inputs'!K74-'Model inputs'!K26-'Model inputs'!K64</f>
        <v>1762.2325670970497</v>
      </c>
      <c r="L17" s="9">
        <f>'Model inputs'!L74-'Model inputs'!L26-'Model inputs'!L64</f>
        <v>2037.953224773929</v>
      </c>
      <c r="M17" s="9">
        <f>'Model inputs'!M74-'Model inputs'!M26-'Model inputs'!M64</f>
        <v>2289.8757959447403</v>
      </c>
      <c r="N17" s="9">
        <f>'Model inputs'!N74-'Model inputs'!N26-'Model inputs'!N64</f>
        <v>2548.979100898099</v>
      </c>
      <c r="O17" s="9">
        <f>'Model inputs'!O74-'Model inputs'!O26-'Model inputs'!O64</f>
        <v>2815.6086409080162</v>
      </c>
      <c r="P17" s="9">
        <f>'Model inputs'!P74-'Model inputs'!P26-'Model inputs'!P64</f>
        <v>3090.0424591945143</v>
      </c>
      <c r="Q17" s="9">
        <f>'Model inputs'!Q74-'Model inputs'!Q26-'Model inputs'!Q64</f>
        <v>3372.557526711955</v>
      </c>
      <c r="R17" s="9">
        <f>'Model inputs'!R74-'Model inputs'!R26-'Model inputs'!R64</f>
        <v>3652.776958148853</v>
      </c>
      <c r="S17" s="9">
        <f>'Model inputs'!S74-'Model inputs'!S26-'Model inputs'!S64</f>
        <v>3944.859988220114</v>
      </c>
      <c r="T17" s="9">
        <f>'Model inputs'!T74-'Model inputs'!T26-'Model inputs'!T64</f>
        <v>4245.610976103192</v>
      </c>
      <c r="U17" s="9">
        <f>'Model inputs'!U74-'Model inputs'!U26-'Model inputs'!U64</f>
        <v>4555.2760554163715</v>
      </c>
      <c r="V17" s="9">
        <f>'Model inputs'!V74-'Model inputs'!V26-'Model inputs'!V64</f>
        <v>4874.103786176028</v>
      </c>
    </row>
    <row r="18" outlineLevel="1">
      <c r="A18" t="inlineStr" s="18">
        <is>
          <t xml:space="preserve">Contribution &gt; Team</t>
        </is>
      </c>
      <c r="E18" s="9">
        <f>'Model inputs'!E75-'Model inputs'!E27-'Model inputs'!E65</f>
        <v>844.15332</v>
      </c>
      <c r="F18" s="9">
        <f>'Model inputs'!F75-'Model inputs'!F27-'Model inputs'!F65</f>
        <v>1241.222551839815</v>
      </c>
      <c r="G18" s="9">
        <f>'Model inputs'!G75-'Model inputs'!G27-'Model inputs'!G65</f>
        <v>1694.3787486064798</v>
      </c>
      <c r="H18" s="9">
        <f>'Model inputs'!H75-'Model inputs'!H27-'Model inputs'!H65</f>
        <v>2185.1412913323397</v>
      </c>
      <c r="I18" s="9">
        <f>'Model inputs'!I75-'Model inputs'!I27-'Model inputs'!I65</f>
        <v>2715.3554792142772</v>
      </c>
      <c r="J18" s="9">
        <f>'Model inputs'!J75-'Model inputs'!J27-'Model inputs'!J65</f>
        <v>3287.139492037531</v>
      </c>
      <c r="K18" s="9">
        <f>'Model inputs'!K75-'Model inputs'!K27-'Model inputs'!K65</f>
        <v>3902.8938650318883</v>
      </c>
      <c r="L18" s="9">
        <f>'Model inputs'!L75-'Model inputs'!L27-'Model inputs'!L65</f>
        <v>4698.770575597019</v>
      </c>
      <c r="M18" s="9">
        <f>'Model inputs'!M75-'Model inputs'!M27-'Model inputs'!M65</f>
        <v>5501.1435209633255</v>
      </c>
      <c r="N18" s="9">
        <f>'Model inputs'!N75-'Model inputs'!N27-'Model inputs'!N65</f>
        <v>6336.541822540366</v>
      </c>
      <c r="O18" s="9">
        <f>'Model inputs'!O75-'Model inputs'!O27-'Model inputs'!O65</f>
        <v>7200.553059751348</v>
      </c>
      <c r="P18" s="9">
        <f>'Model inputs'!P75-'Model inputs'!P27-'Model inputs'!P65</f>
        <v>8093.404415773219</v>
      </c>
      <c r="Q18" s="9">
        <f>'Model inputs'!Q75-'Model inputs'!Q27-'Model inputs'!Q65</f>
        <v>9015.435599138584</v>
      </c>
      <c r="R18" s="9">
        <f>'Model inputs'!R75-'Model inputs'!R27-'Model inputs'!R65</f>
        <v>9951.137139807157</v>
      </c>
      <c r="S18" s="9">
        <f>'Model inputs'!S75-'Model inputs'!S27-'Model inputs'!S65</f>
        <v>10920.222004943716</v>
      </c>
      <c r="T18" s="9">
        <f>'Model inputs'!T75-'Model inputs'!T27-'Model inputs'!T65</f>
        <v>11917.885878850713</v>
      </c>
      <c r="U18" s="9">
        <f>'Model inputs'!U75-'Model inputs'!U27-'Model inputs'!U65</f>
        <v>12944.649109759368</v>
      </c>
      <c r="V18" s="9">
        <f>'Model inputs'!V75-'Model inputs'!V27-'Model inputs'!V65</f>
        <v>14001.095434300554</v>
      </c>
    </row>
    <row r="19">
      <c r="A19" t="inlineStr" s="16">
        <is>
          <t xml:space="preserve">Ending customers</t>
        </is>
      </c>
      <c r="C19" s="19">
        <f>SUM('Model inputs'!C20,'Model inputs'!C21,'Model inputs'!C22)</f>
        <v>0</v>
      </c>
      <c r="D19" s="19">
        <f>SUM('Model inputs'!D20,'Model inputs'!D21,'Model inputs'!D22)</f>
        <v>0</v>
      </c>
      <c r="E19" s="19">
        <f>SUM('Model inputs'!E20,'Model inputs'!E21,'Model inputs'!E22)</f>
        <v>47</v>
      </c>
      <c r="F19" s="19">
        <f>SUM('Model inputs'!F20,'Model inputs'!F21,'Model inputs'!F22)</f>
        <v>84.905</v>
      </c>
      <c r="G19" s="19">
        <f>SUM('Model inputs'!G20,'Model inputs'!G21,'Model inputs'!G22)</f>
        <v>110.9505</v>
      </c>
      <c r="H19" s="19">
        <f>SUM('Model inputs'!H20,'Model inputs'!H21,'Model inputs'!H22)</f>
        <v>138.05102827083334</v>
      </c>
      <c r="I19" s="19">
        <f>SUM('Model inputs'!I20,'Model inputs'!I21,'Model inputs'!I22)</f>
        <v>166.3601248259896</v>
      </c>
      <c r="J19" s="19">
        <f>SUM('Model inputs'!J20,'Model inputs'!J21,'Model inputs'!J22)</f>
        <v>196.04006505593594</v>
      </c>
      <c r="K19" s="19">
        <f>SUM('Model inputs'!K20,'Model inputs'!K21,'Model inputs'!K22)</f>
        <v>227.2628736908502</v>
      </c>
      <c r="L19" s="19">
        <f>SUM('Model inputs'!L20,'Model inputs'!L21,'Model inputs'!L22)</f>
        <v>260.21140757088153</v>
      </c>
      <c r="M19" s="19">
        <f>SUM('Model inputs'!M20,'Model inputs'!M21,'Model inputs'!M22)</f>
        <v>295.08051439200136</v>
      </c>
      <c r="N19" s="19">
        <f>SUM('Model inputs'!N20,'Model inputs'!N21,'Model inputs'!N22)</f>
        <v>330.0136817964602</v>
      </c>
      <c r="O19" s="19">
        <f>SUM('Model inputs'!O20,'Model inputs'!O21,'Model inputs'!O22)</f>
        <v>365.0921444578123</v>
      </c>
      <c r="P19" s="19">
        <f>SUM('Model inputs'!P20,'Model inputs'!P21,'Model inputs'!P22)</f>
        <v>400.3954360097452</v>
      </c>
      <c r="Q19" s="19">
        <f>SUM('Model inputs'!Q20,'Model inputs'!Q21,'Model inputs'!Q22)</f>
        <v>436.0016417049511</v>
      </c>
      <c r="R19" s="19">
        <f>SUM('Model inputs'!R20,'Model inputs'!R21,'Model inputs'!R22)</f>
        <v>471.98764010807395</v>
      </c>
      <c r="S19" s="19">
        <f>SUM('Model inputs'!S20,'Model inputs'!S21,'Model inputs'!S22)</f>
        <v>508.42933477856207</v>
      </c>
      <c r="T19" s="19">
        <f>SUM('Model inputs'!T20,'Model inputs'!T21,'Model inputs'!T22)</f>
        <v>545.4018768448782</v>
      </c>
      <c r="U19" s="19">
        <f>SUM('Model inputs'!U20,'Model inputs'!U21,'Model inputs'!U22)</f>
        <v>582.979879321125</v>
      </c>
      <c r="V19" s="19">
        <f>SUM('Model inputs'!V20,'Model inputs'!V21,'Model inputs'!V22)</f>
        <v>621.2376239704861</v>
      </c>
    </row>
    <row r="20" outlineLevel="1">
      <c r="A20" t="inlineStr" s="18">
        <is>
          <t xml:space="preserve">Ending customers &gt; Indie</t>
        </is>
      </c>
      <c r="C20" s="13">
        <f>'Model inputs'!C179+'Model inputs'!C183+'Model inputs'!C200+'Model inputs'!C192-'Model inputs'!C108-'Model inputs'!C196</f>
        <v>0</v>
      </c>
      <c r="D20" s="13">
        <f>'Model inputs'!D179+'Model inputs'!D183+'Model inputs'!D200+'Model inputs'!D192-'Model inputs'!D108-'Model inputs'!D196</f>
        <v>0</v>
      </c>
      <c r="E20" s="13">
        <f>'Model inputs'!E179+'Model inputs'!E183+'Model inputs'!E200+'Model inputs'!E192-'Model inputs'!E108-'Model inputs'!E196</f>
        <v>40</v>
      </c>
      <c r="F20" s="13">
        <f>'Model inputs'!F179+'Model inputs'!F183+'Model inputs'!F200+'Model inputs'!F192-'Model inputs'!F108-'Model inputs'!F196</f>
        <v>74.33333333333333</v>
      </c>
      <c r="G20" s="13">
        <f>'Model inputs'!G179+'Model inputs'!G183+'Model inputs'!G200+'Model inputs'!G192-'Model inputs'!G108-'Model inputs'!G196</f>
        <v>96.37777777777778</v>
      </c>
      <c r="H20" s="13">
        <f>'Model inputs'!H179+'Model inputs'!H183+'Model inputs'!H200+'Model inputs'!H192-'Model inputs'!H108-'Model inputs'!H196</f>
        <v>119.1125925925926</v>
      </c>
      <c r="I20" s="13">
        <f>'Model inputs'!I179+'Model inputs'!I183+'Model inputs'!I200+'Model inputs'!I192-'Model inputs'!I108-'Model inputs'!I196</f>
        <v>142.66455308641977</v>
      </c>
      <c r="J20" s="13">
        <f>'Model inputs'!J179+'Model inputs'!J183+'Model inputs'!J200+'Model inputs'!J192-'Model inputs'!J108-'Model inputs'!J196</f>
        <v>167.16580688065847</v>
      </c>
      <c r="K20" s="13">
        <f>'Model inputs'!K179+'Model inputs'!K183+'Model inputs'!K200+'Model inputs'!K192-'Model inputs'!K108-'Model inputs'!K196</f>
        <v>192.75462167528124</v>
      </c>
      <c r="L20" s="13">
        <f>'Model inputs'!L179+'Model inputs'!L183+'Model inputs'!L200+'Model inputs'!L192-'Model inputs'!L108-'Model inputs'!L196</f>
        <v>219.57617163719584</v>
      </c>
      <c r="M20" s="13">
        <f>'Model inputs'!M179+'Model inputs'!M183+'Model inputs'!M200+'Model inputs'!M192-'Model inputs'!M108-'Model inputs'!M196</f>
        <v>247.78336691420412</v>
      </c>
      <c r="N20" s="13">
        <f>'Model inputs'!N179+'Model inputs'!N183+'Model inputs'!N200+'Model inputs'!N192-'Model inputs'!N108-'Model inputs'!N196</f>
        <v>275.8239067748581</v>
      </c>
      <c r="O20" s="13">
        <f>'Model inputs'!O179+'Model inputs'!O183+'Model inputs'!O200+'Model inputs'!O192-'Model inputs'!O108-'Model inputs'!O196</f>
        <v>303.77745455099915</v>
      </c>
      <c r="P20" s="13">
        <f>'Model inputs'!P179+'Model inputs'!P183+'Model inputs'!P200+'Model inputs'!P192-'Model inputs'!P108-'Model inputs'!P196</f>
        <v>331.7211048045094</v>
      </c>
      <c r="Q20" s="13">
        <f>'Model inputs'!Q179+'Model inputs'!Q183+'Model inputs'!Q200+'Model inputs'!Q192-'Model inputs'!Q108-'Model inputs'!Q196</f>
        <v>359.72966426339536</v>
      </c>
      <c r="R20" s="13">
        <f>'Model inputs'!R179+'Model inputs'!R183+'Model inputs'!R200+'Model inputs'!R192-'Model inputs'!R108-'Model inputs'!R196</f>
        <v>387.87591841618973</v>
      </c>
      <c r="S20" s="13">
        <f>'Model inputs'!S179+'Model inputs'!S183+'Model inputs'!S200+'Model inputs'!S192-'Model inputs'!S108-'Model inputs'!S196</f>
        <v>416.23088489627867</v>
      </c>
      <c r="T20" s="13">
        <f>'Model inputs'!T179+'Model inputs'!T183+'Model inputs'!T200+'Model inputs'!T192-'Model inputs'!T108-'Model inputs'!T196</f>
        <v>444.8640547193417</v>
      </c>
      <c r="U20" s="13">
        <f>'Model inputs'!U179+'Model inputs'!U183+'Model inputs'!U200+'Model inputs'!U192-'Model inputs'!U108-'Model inputs'!U196</f>
        <v>473.8436223735132</v>
      </c>
      <c r="V20" s="13">
        <f>'Model inputs'!V179+'Model inputs'!V183+'Model inputs'!V200+'Model inputs'!V192-'Model inputs'!V108-'Model inputs'!V196</f>
        <v>503.23670570282496</v>
      </c>
    </row>
    <row r="21" outlineLevel="1">
      <c r="A21" t="inlineStr" s="18">
        <is>
          <t xml:space="preserve">Ending customers &gt; Launch</t>
        </is>
      </c>
      <c r="C21" s="13">
        <f>'Model inputs'!C180+'Model inputs'!C184+'Model inputs'!C201+'Model inputs'!C193-'Model inputs'!C109-'Model inputs'!C197</f>
        <v>0</v>
      </c>
      <c r="D21" s="13">
        <f>'Model inputs'!D180+'Model inputs'!D184+'Model inputs'!D201+'Model inputs'!D193-'Model inputs'!D109-'Model inputs'!D197</f>
        <v>0</v>
      </c>
      <c r="E21" s="13">
        <f>'Model inputs'!E180+'Model inputs'!E184+'Model inputs'!E201+'Model inputs'!E193-'Model inputs'!E109-'Model inputs'!E197</f>
        <v>1</v>
      </c>
      <c r="F21" s="13">
        <f>'Model inputs'!F180+'Model inputs'!F184+'Model inputs'!F201+'Model inputs'!F193-'Model inputs'!F109-'Model inputs'!F197</f>
        <v>1.51</v>
      </c>
      <c r="G21" s="13">
        <f>'Model inputs'!G180+'Model inputs'!G184+'Model inputs'!G201+'Model inputs'!G193-'Model inputs'!G109-'Model inputs'!G197</f>
        <v>2.025106944444444</v>
      </c>
      <c r="H21" s="13">
        <f>'Model inputs'!H180+'Model inputs'!H184+'Model inputs'!H201+'Model inputs'!H193-'Model inputs'!H109-'Model inputs'!H197</f>
        <v>2.547012070601851</v>
      </c>
      <c r="I21" s="13">
        <f>'Model inputs'!I180+'Model inputs'!I184+'Model inputs'!I201+'Model inputs'!I193-'Model inputs'!I109-'Model inputs'!I197</f>
        <v>3.0771044879079854</v>
      </c>
      <c r="J21" s="13">
        <f>'Model inputs'!J180+'Model inputs'!J184+'Model inputs'!J201+'Model inputs'!J193-'Model inputs'!J109-'Model inputs'!J197</f>
        <v>3.6168582008046233</v>
      </c>
      <c r="K21" s="13">
        <f>'Model inputs'!K180+'Model inputs'!K184+'Model inputs'!K201+'Model inputs'!K193-'Model inputs'!K109-'Model inputs'!K197</f>
        <v>4.167844494352857</v>
      </c>
      <c r="L21" s="13">
        <f>'Model inputs'!L180+'Model inputs'!L184+'Model inputs'!L201+'Model inputs'!L193-'Model inputs'!L109-'Model inputs'!L197</f>
        <v>4.731745191609298</v>
      </c>
      <c r="M21" s="13">
        <f>'Model inputs'!M180+'Model inputs'!M184+'Model inputs'!M201+'Model inputs'!M193-'Model inputs'!M109-'Model inputs'!M197</f>
        <v>5.310366891827144</v>
      </c>
      <c r="N21" s="13">
        <f>'Model inputs'!N180+'Model inputs'!N184+'Model inputs'!N201+'Model inputs'!N193-'Model inputs'!N109-'Model inputs'!N197</f>
        <v>5.905656307557946</v>
      </c>
      <c r="O21" s="13">
        <f>'Model inputs'!O180+'Model inputs'!O184+'Model inputs'!O201+'Model inputs'!O193-'Model inputs'!O109-'Model inputs'!O197</f>
        <v>6.51825529091976</v>
      </c>
      <c r="P21" s="13">
        <f>'Model inputs'!P180+'Model inputs'!P184+'Model inputs'!P201+'Model inputs'!P193-'Model inputs'!P109-'Model inputs'!P197</f>
        <v>7.148799939122187</v>
      </c>
      <c r="Q21" s="13">
        <f>'Model inputs'!Q180+'Model inputs'!Q184+'Model inputs'!Q201+'Model inputs'!Q193-'Model inputs'!Q109-'Model inputs'!Q197</f>
        <v>7.797924320310828</v>
      </c>
      <c r="R21" s="13">
        <f>'Model inputs'!R180+'Model inputs'!R184+'Model inputs'!R201+'Model inputs'!R193-'Model inputs'!R109-'Model inputs'!R197</f>
        <v>8.466264010178019</v>
      </c>
      <c r="S21" s="13">
        <f>'Model inputs'!S180+'Model inputs'!S184+'Model inputs'!S201+'Model inputs'!S193-'Model inputs'!S109-'Model inputs'!S197</f>
        <v>9.154459457032457</v>
      </c>
      <c r="T21" s="13">
        <f>'Model inputs'!T180+'Model inputs'!T184+'Model inputs'!T201+'Model inputs'!T193-'Model inputs'!T109-'Model inputs'!T197</f>
        <v>9.86315919194885</v>
      </c>
      <c r="U21" s="13">
        <f>'Model inputs'!U180+'Model inputs'!U184+'Model inputs'!U201+'Model inputs'!U193-'Model inputs'!U109-'Model inputs'!U197</f>
        <v>10.59302289962623</v>
      </c>
      <c r="V21" s="13">
        <f>'Model inputs'!V180+'Model inputs'!V184+'Model inputs'!V201+'Model inputs'!V193-'Model inputs'!V109-'Model inputs'!V197</f>
        <v>11.344724364665112</v>
      </c>
    </row>
    <row r="22" outlineLevel="1">
      <c r="A22" t="inlineStr" s="18">
        <is>
          <t xml:space="preserve">Ending customers &gt; Team</t>
        </is>
      </c>
      <c r="C22" s="13">
        <f>'Model inputs'!C181+'Model inputs'!C185+'Model inputs'!C202+'Model inputs'!C194-'Model inputs'!C110-'Model inputs'!C198</f>
        <v>0</v>
      </c>
      <c r="D22" s="13">
        <f>'Model inputs'!D181+'Model inputs'!D185+'Model inputs'!D202+'Model inputs'!D194-'Model inputs'!D110-'Model inputs'!D198</f>
        <v>0</v>
      </c>
      <c r="E22" s="13">
        <f>'Model inputs'!E181+'Model inputs'!E185+'Model inputs'!E202+'Model inputs'!E194-'Model inputs'!E110-'Model inputs'!E198</f>
        <v>6</v>
      </c>
      <c r="F22" s="13">
        <f>'Model inputs'!F181+'Model inputs'!F185+'Model inputs'!F202+'Model inputs'!F194-'Model inputs'!F110-'Model inputs'!F198</f>
        <v>9.061666666666667</v>
      </c>
      <c r="G22" s="13">
        <f>'Model inputs'!G181+'Model inputs'!G185+'Model inputs'!G202+'Model inputs'!G194-'Model inputs'!G110-'Model inputs'!G198</f>
        <v>12.547615277777778</v>
      </c>
      <c r="H22" s="13">
        <f>'Model inputs'!H181+'Model inputs'!H185+'Model inputs'!H202+'Model inputs'!H194-'Model inputs'!H110-'Model inputs'!H198</f>
        <v>16.391423607638888</v>
      </c>
      <c r="I22" s="13">
        <f>'Model inputs'!I181+'Model inputs'!I185+'Model inputs'!I202+'Model inputs'!I194-'Model inputs'!I110-'Model inputs'!I198</f>
        <v>20.618467251661844</v>
      </c>
      <c r="J22" s="13">
        <f>'Model inputs'!J181+'Model inputs'!J185+'Model inputs'!J202+'Model inputs'!J194-'Model inputs'!J110-'Model inputs'!J198</f>
        <v>25.257399974472865</v>
      </c>
      <c r="K22" s="13">
        <f>'Model inputs'!K181+'Model inputs'!K185+'Model inputs'!K202+'Model inputs'!K194-'Model inputs'!K110-'Model inputs'!K198</f>
        <v>30.3404075212161</v>
      </c>
      <c r="L22" s="13">
        <f>'Model inputs'!L181+'Model inputs'!L185+'Model inputs'!L202+'Model inputs'!L194-'Model inputs'!L110-'Model inputs'!L198</f>
        <v>35.90349074207642</v>
      </c>
      <c r="M22" s="13">
        <f>'Model inputs'!M181+'Model inputs'!M185+'Model inputs'!M202+'Model inputs'!M194-'Model inputs'!M110-'Model inputs'!M198</f>
        <v>41.986780585970116</v>
      </c>
      <c r="N22" s="13">
        <f>'Model inputs'!N181+'Model inputs'!N185+'Model inputs'!N202+'Model inputs'!N194-'Model inputs'!N110-'Model inputs'!N198</f>
        <v>48.284118714044176</v>
      </c>
      <c r="O22" s="13">
        <f>'Model inputs'!O181+'Model inputs'!O185+'Model inputs'!O202+'Model inputs'!O194-'Model inputs'!O110-'Model inputs'!O198</f>
        <v>54.79643461589339</v>
      </c>
      <c r="P22" s="13">
        <f>'Model inputs'!P181+'Model inputs'!P185+'Model inputs'!P202+'Model inputs'!P194-'Model inputs'!P110-'Model inputs'!P198</f>
        <v>61.52553126611357</v>
      </c>
      <c r="Q22" s="13">
        <f>'Model inputs'!Q181+'Model inputs'!Q185+'Model inputs'!Q202+'Model inputs'!Q194-'Model inputs'!Q110-'Model inputs'!Q198</f>
        <v>68.47405312124489</v>
      </c>
      <c r="R22" s="13">
        <f>'Model inputs'!R181+'Model inputs'!R185+'Model inputs'!R202+'Model inputs'!R194-'Model inputs'!R110-'Model inputs'!R198</f>
        <v>75.64545768170619</v>
      </c>
      <c r="S22" s="13">
        <f>'Model inputs'!S181+'Model inputs'!S185+'Model inputs'!S202+'Model inputs'!S194-'Model inputs'!S110-'Model inputs'!S198</f>
        <v>83.04399042525094</v>
      </c>
      <c r="T22" s="13">
        <f>'Model inputs'!T181+'Model inputs'!T185+'Model inputs'!T202+'Model inputs'!T194-'Model inputs'!T110-'Model inputs'!T198</f>
        <v>90.67466293358764</v>
      </c>
      <c r="U22" s="13">
        <f>'Model inputs'!U181+'Model inputs'!U185+'Model inputs'!U202+'Model inputs'!U194-'Model inputs'!U110-'Model inputs'!U198</f>
        <v>98.54323404798558</v>
      </c>
      <c r="V22" s="13">
        <f>'Model inputs'!V181+'Model inputs'!V185+'Model inputs'!V202+'Model inputs'!V194-'Model inputs'!V110-'Model inputs'!V198</f>
        <v>106.65619390299605</v>
      </c>
    </row>
    <row r="23">
      <c r="A23" t="inlineStr" s="16">
        <is>
          <t xml:space="preserve">Equity raised</t>
        </is>
      </c>
      <c r="C23" s="9">
        <f>IF(IF(IF(IFERROR(IF(ISERROR('Model inputs'!B8=1),'Model inputs'!B8=1,IF('Model inputs'!B8="","",'Model inputs'!B8=1))=FALSE,FALSE),FALSE,IF(IFERROR('Model inputs'!B394=FALSE,FALSE),FALSE,IF(IFERROR('Model inputs'!B395=FALSE,FALSE),FALSE,IF(OR(IF(ISERROR('Model inputs'!B8=1),'Model inputs'!B8=1,IF('Model inputs'!B8="","",'Model inputs'!B8=1))="",'Model inputs'!B394="",'Model inputs'!B395=""),"",AND(IF(ISERROR('Model inputs'!B8=1),'Model inputs'!B8=1,IF('Model inputs'!B8="","",'Model inputs'!B8=1)),'Model inputs'!B394,'Model inputs'!B395)))))="",FALSE,IF(IFERROR(IF(ISERROR('Model inputs'!B8=1),'Model inputs'!B8=1,IF('Model inputs'!B8="","",'Model inputs'!B8=1))=FALSE,FALSE),FALSE,IF(IFERROR('Model inputs'!B394=FALSE,FALSE),FALSE,IF(IFERROR('Model inputs'!B395=FALSE,FALSE),FALSE,IF(OR(IF(ISERROR('Model inputs'!B8=1),'Model inputs'!B8=1,IF('Model inputs'!B8="","",'Model inputs'!B8=1))="",'Model inputs'!B394="",'Model inputs'!B395=""),"",AND(IF(ISERROR('Model inputs'!B8=1),'Model inputs'!B8=1,IF('Model inputs'!B8="","",'Model inputs'!B8=1)),'Model inputs'!B394,'Model inputs'!B395)))))),IF('Model inputs'!B6="","",'Model inputs'!B6),0)</f>
        <v>0</v>
      </c>
      <c r="D23" s="9">
        <f>IF(IF(IF(IFERROR(IF(ISERROR('Model inputs'!B8=1),'Model inputs'!B8=1,IF('Model inputs'!B8="","",'Model inputs'!B8=1))=FALSE,FALSE),FALSE,IF(IFERROR('Model inputs'!B396=FALSE,FALSE),FALSE,IF(IFERROR('Model inputs'!B397=FALSE,FALSE),FALSE,IF(OR(IF(ISERROR('Model inputs'!B8=1),'Model inputs'!B8=1,IF('Model inputs'!B8="","",'Model inputs'!B8=1))="",'Model inputs'!B396="",'Model inputs'!B397=""),"",AND(IF(ISERROR('Model inputs'!B8=1),'Model inputs'!B8=1,IF('Model inputs'!B8="","",'Model inputs'!B8=1)),'Model inputs'!B396,'Model inputs'!B397)))))="",FALSE,IF(IFERROR(IF(ISERROR('Model inputs'!B8=1),'Model inputs'!B8=1,IF('Model inputs'!B8="","",'Model inputs'!B8=1))=FALSE,FALSE),FALSE,IF(IFERROR('Model inputs'!B396=FALSE,FALSE),FALSE,IF(IFERROR('Model inputs'!B397=FALSE,FALSE),FALSE,IF(OR(IF(ISERROR('Model inputs'!B8=1),'Model inputs'!B8=1,IF('Model inputs'!B8="","",'Model inputs'!B8=1))="",'Model inputs'!B396="",'Model inputs'!B397=""),"",AND(IF(ISERROR('Model inputs'!B8=1),'Model inputs'!B8=1,IF('Model inputs'!B8="","",'Model inputs'!B8=1)),'Model inputs'!B396,'Model inputs'!B397)))))),IF('Model inputs'!B6="","",'Model inputs'!B6),0)</f>
        <v>0</v>
      </c>
      <c r="E23" s="9">
        <f>IF(IF(IF(IFERROR(IF(ISERROR('Model inputs'!B8=1),'Model inputs'!B8=1,IF('Model inputs'!B8="","",'Model inputs'!B8=1))=FALSE,FALSE),FALSE,IF(IFERROR('Model inputs'!B358=FALSE,FALSE),FALSE,IF(IFERROR('Model inputs'!B359=FALSE,FALSE),FALSE,IF(OR(IF(ISERROR('Model inputs'!B8=1),'Model inputs'!B8=1,IF('Model inputs'!B8="","",'Model inputs'!B8=1))="",'Model inputs'!B358="",'Model inputs'!B359=""),"",AND(IF(ISERROR('Model inputs'!B8=1),'Model inputs'!B8=1,IF('Model inputs'!B8="","",'Model inputs'!B8=1)),'Model inputs'!B358,'Model inputs'!B359)))))="",FALSE,IF(IFERROR(IF(ISERROR('Model inputs'!B8=1),'Model inputs'!B8=1,IF('Model inputs'!B8="","",'Model inputs'!B8=1))=FALSE,FALSE),FALSE,IF(IFERROR('Model inputs'!B358=FALSE,FALSE),FALSE,IF(IFERROR('Model inputs'!B359=FALSE,FALSE),FALSE,IF(OR(IF(ISERROR('Model inputs'!B8=1),'Model inputs'!B8=1,IF('Model inputs'!B8="","",'Model inputs'!B8=1))="",'Model inputs'!B358="",'Model inputs'!B359=""),"",AND(IF(ISERROR('Model inputs'!B8=1),'Model inputs'!B8=1,IF('Model inputs'!B8="","",'Model inputs'!B8=1)),'Model inputs'!B358,'Model inputs'!B359)))))),IF('Model inputs'!B6="","",'Model inputs'!B6),0)</f>
        <v>0</v>
      </c>
      <c r="F23" s="9">
        <f>IF(IF(IF(IFERROR(IF(ISERROR('Model inputs'!B8=1),'Model inputs'!B8=1,IF('Model inputs'!B8="","",'Model inputs'!B8=1))=FALSE,FALSE),FALSE,IF(IFERROR('Model inputs'!B360=FALSE,FALSE),FALSE,IF(IFERROR('Model inputs'!B361=FALSE,FALSE),FALSE,IF(OR(IF(ISERROR('Model inputs'!B8=1),'Model inputs'!B8=1,IF('Model inputs'!B8="","",'Model inputs'!B8=1))="",'Model inputs'!B360="",'Model inputs'!B361=""),"",AND(IF(ISERROR('Model inputs'!B8=1),'Model inputs'!B8=1,IF('Model inputs'!B8="","",'Model inputs'!B8=1)),'Model inputs'!B360,'Model inputs'!B361)))))="",FALSE,IF(IFERROR(IF(ISERROR('Model inputs'!B8=1),'Model inputs'!B8=1,IF('Model inputs'!B8="","",'Model inputs'!B8=1))=FALSE,FALSE),FALSE,IF(IFERROR('Model inputs'!B360=FALSE,FALSE),FALSE,IF(IFERROR('Model inputs'!B361=FALSE,FALSE),FALSE,IF(OR(IF(ISERROR('Model inputs'!B8=1),'Model inputs'!B8=1,IF('Model inputs'!B8="","",'Model inputs'!B8=1))="",'Model inputs'!B360="",'Model inputs'!B361=""),"",AND(IF(ISERROR('Model inputs'!B8=1),'Model inputs'!B8=1,IF('Model inputs'!B8="","",'Model inputs'!B8=1)),'Model inputs'!B360,'Model inputs'!B361)))))),IF('Model inputs'!B6="","",'Model inputs'!B6),0)</f>
        <v>0</v>
      </c>
      <c r="G23" s="9">
        <f>IF(IF(IF(IFERROR(IF(ISERROR('Model inputs'!B8=1),'Model inputs'!B8=1,IF('Model inputs'!B8="","",'Model inputs'!B8=1))=FALSE,FALSE),FALSE,IF(IFERROR('Model inputs'!B362=FALSE,FALSE),FALSE,IF(IFERROR('Model inputs'!B363=FALSE,FALSE),FALSE,IF(OR(IF(ISERROR('Model inputs'!B8=1),'Model inputs'!B8=1,IF('Model inputs'!B8="","",'Model inputs'!B8=1))="",'Model inputs'!B362="",'Model inputs'!B363=""),"",AND(IF(ISERROR('Model inputs'!B8=1),'Model inputs'!B8=1,IF('Model inputs'!B8="","",'Model inputs'!B8=1)),'Model inputs'!B362,'Model inputs'!B363)))))="",FALSE,IF(IFERROR(IF(ISERROR('Model inputs'!B8=1),'Model inputs'!B8=1,IF('Model inputs'!B8="","",'Model inputs'!B8=1))=FALSE,FALSE),FALSE,IF(IFERROR('Model inputs'!B362=FALSE,FALSE),FALSE,IF(IFERROR('Model inputs'!B363=FALSE,FALSE),FALSE,IF(OR(IF(ISERROR('Model inputs'!B8=1),'Model inputs'!B8=1,IF('Model inputs'!B8="","",'Model inputs'!B8=1))="",'Model inputs'!B362="",'Model inputs'!B363=""),"",AND(IF(ISERROR('Model inputs'!B8=1),'Model inputs'!B8=1,IF('Model inputs'!B8="","",'Model inputs'!B8=1)),'Model inputs'!B362,'Model inputs'!B363)))))),IF('Model inputs'!B6="","",'Model inputs'!B6),0)</f>
        <v>0</v>
      </c>
      <c r="H23" s="9">
        <f>IF(IF(IF(IFERROR(IF(ISERROR('Model inputs'!B8=1),'Model inputs'!B8=1,IF('Model inputs'!B8="","",'Model inputs'!B8=1))=FALSE,FALSE),FALSE,IF(IFERROR('Model inputs'!B364=FALSE,FALSE),FALSE,IF(IFERROR('Model inputs'!B365=FALSE,FALSE),FALSE,IF(OR(IF(ISERROR('Model inputs'!B8=1),'Model inputs'!B8=1,IF('Model inputs'!B8="","",'Model inputs'!B8=1))="",'Model inputs'!B364="",'Model inputs'!B365=""),"",AND(IF(ISERROR('Model inputs'!B8=1),'Model inputs'!B8=1,IF('Model inputs'!B8="","",'Model inputs'!B8=1)),'Model inputs'!B364,'Model inputs'!B365)))))="",FALSE,IF(IFERROR(IF(ISERROR('Model inputs'!B8=1),'Model inputs'!B8=1,IF('Model inputs'!B8="","",'Model inputs'!B8=1))=FALSE,FALSE),FALSE,IF(IFERROR('Model inputs'!B364=FALSE,FALSE),FALSE,IF(IFERROR('Model inputs'!B365=FALSE,FALSE),FALSE,IF(OR(IF(ISERROR('Model inputs'!B8=1),'Model inputs'!B8=1,IF('Model inputs'!B8="","",'Model inputs'!B8=1))="",'Model inputs'!B364="",'Model inputs'!B365=""),"",AND(IF(ISERROR('Model inputs'!B8=1),'Model inputs'!B8=1,IF('Model inputs'!B8="","",'Model inputs'!B8=1)),'Model inputs'!B364,'Model inputs'!B365)))))),IF('Model inputs'!B6="","",'Model inputs'!B6),0)</f>
        <v>0</v>
      </c>
      <c r="I23" s="9">
        <f>IF(IF(IF(IFERROR(IF(ISERROR('Model inputs'!B8=1),'Model inputs'!B8=1,IF('Model inputs'!B8="","",'Model inputs'!B8=1))=FALSE,FALSE),FALSE,IF(IFERROR('Model inputs'!B366=FALSE,FALSE),FALSE,IF(IFERROR('Model inputs'!B367=FALSE,FALSE),FALSE,IF(OR(IF(ISERROR('Model inputs'!B8=1),'Model inputs'!B8=1,IF('Model inputs'!B8="","",'Model inputs'!B8=1))="",'Model inputs'!B366="",'Model inputs'!B367=""),"",AND(IF(ISERROR('Model inputs'!B8=1),'Model inputs'!B8=1,IF('Model inputs'!B8="","",'Model inputs'!B8=1)),'Model inputs'!B366,'Model inputs'!B367)))))="",FALSE,IF(IFERROR(IF(ISERROR('Model inputs'!B8=1),'Model inputs'!B8=1,IF('Model inputs'!B8="","",'Model inputs'!B8=1))=FALSE,FALSE),FALSE,IF(IFERROR('Model inputs'!B366=FALSE,FALSE),FALSE,IF(IFERROR('Model inputs'!B367=FALSE,FALSE),FALSE,IF(OR(IF(ISERROR('Model inputs'!B8=1),'Model inputs'!B8=1,IF('Model inputs'!B8="","",'Model inputs'!B8=1))="",'Model inputs'!B366="",'Model inputs'!B367=""),"",AND(IF(ISERROR('Model inputs'!B8=1),'Model inputs'!B8=1,IF('Model inputs'!B8="","",'Model inputs'!B8=1)),'Model inputs'!B366,'Model inputs'!B367)))))),IF('Model inputs'!B6="","",'Model inputs'!B6),0)</f>
        <v>0</v>
      </c>
      <c r="J23" s="9">
        <f>IF(IF(IF(IFERROR(IF(ISERROR('Model inputs'!B8=1),'Model inputs'!B8=1,IF('Model inputs'!B8="","",'Model inputs'!B8=1))=FALSE,FALSE),FALSE,IF(IFERROR('Model inputs'!B368=FALSE,FALSE),FALSE,IF(IFERROR('Model inputs'!B369=FALSE,FALSE),FALSE,IF(OR(IF(ISERROR('Model inputs'!B8=1),'Model inputs'!B8=1,IF('Model inputs'!B8="","",'Model inputs'!B8=1))="",'Model inputs'!B368="",'Model inputs'!B369=""),"",AND(IF(ISERROR('Model inputs'!B8=1),'Model inputs'!B8=1,IF('Model inputs'!B8="","",'Model inputs'!B8=1)),'Model inputs'!B368,'Model inputs'!B369)))))="",FALSE,IF(IFERROR(IF(ISERROR('Model inputs'!B8=1),'Model inputs'!B8=1,IF('Model inputs'!B8="","",'Model inputs'!B8=1))=FALSE,FALSE),FALSE,IF(IFERROR('Model inputs'!B368=FALSE,FALSE),FALSE,IF(IFERROR('Model inputs'!B369=FALSE,FALSE),FALSE,IF(OR(IF(ISERROR('Model inputs'!B8=1),'Model inputs'!B8=1,IF('Model inputs'!B8="","",'Model inputs'!B8=1))="",'Model inputs'!B368="",'Model inputs'!B369=""),"",AND(IF(ISERROR('Model inputs'!B8=1),'Model inputs'!B8=1,IF('Model inputs'!B8="","",'Model inputs'!B8=1)),'Model inputs'!B368,'Model inputs'!B369)))))),IF('Model inputs'!B6="","",'Model inputs'!B6),0)</f>
        <v>0</v>
      </c>
      <c r="K23" s="9">
        <f>IF(IF(IF(IFERROR(IF(ISERROR('Model inputs'!B8=1),'Model inputs'!B8=1,IF('Model inputs'!B8="","",'Model inputs'!B8=1))=FALSE,FALSE),FALSE,IF(IFERROR('Model inputs'!B370=FALSE,FALSE),FALSE,IF(IFERROR('Model inputs'!B371=FALSE,FALSE),FALSE,IF(OR(IF(ISERROR('Model inputs'!B8=1),'Model inputs'!B8=1,IF('Model inputs'!B8="","",'Model inputs'!B8=1))="",'Model inputs'!B370="",'Model inputs'!B371=""),"",AND(IF(ISERROR('Model inputs'!B8=1),'Model inputs'!B8=1,IF('Model inputs'!B8="","",'Model inputs'!B8=1)),'Model inputs'!B370,'Model inputs'!B371)))))="",FALSE,IF(IFERROR(IF(ISERROR('Model inputs'!B8=1),'Model inputs'!B8=1,IF('Model inputs'!B8="","",'Model inputs'!B8=1))=FALSE,FALSE),FALSE,IF(IFERROR('Model inputs'!B370=FALSE,FALSE),FALSE,IF(IFERROR('Model inputs'!B371=FALSE,FALSE),FALSE,IF(OR(IF(ISERROR('Model inputs'!B8=1),'Model inputs'!B8=1,IF('Model inputs'!B8="","",'Model inputs'!B8=1))="",'Model inputs'!B370="",'Model inputs'!B371=""),"",AND(IF(ISERROR('Model inputs'!B8=1),'Model inputs'!B8=1,IF('Model inputs'!B8="","",'Model inputs'!B8=1)),'Model inputs'!B370,'Model inputs'!B371)))))),IF('Model inputs'!B6="","",'Model inputs'!B6),0)</f>
        <v>0</v>
      </c>
      <c r="L23" s="9">
        <f>IF(IF(IF(IFERROR(IF(ISERROR('Model inputs'!B8=1),'Model inputs'!B8=1,IF('Model inputs'!B8="","",'Model inputs'!B8=1))=FALSE,FALSE),FALSE,IF(IFERROR('Model inputs'!B372=FALSE,FALSE),FALSE,IF(IFERROR('Model inputs'!B373=FALSE,FALSE),FALSE,IF(OR(IF(ISERROR('Model inputs'!B8=1),'Model inputs'!B8=1,IF('Model inputs'!B8="","",'Model inputs'!B8=1))="",'Model inputs'!B372="",'Model inputs'!B373=""),"",AND(IF(ISERROR('Model inputs'!B8=1),'Model inputs'!B8=1,IF('Model inputs'!B8="","",'Model inputs'!B8=1)),'Model inputs'!B372,'Model inputs'!B373)))))="",FALSE,IF(IFERROR(IF(ISERROR('Model inputs'!B8=1),'Model inputs'!B8=1,IF('Model inputs'!B8="","",'Model inputs'!B8=1))=FALSE,FALSE),FALSE,IF(IFERROR('Model inputs'!B372=FALSE,FALSE),FALSE,IF(IFERROR('Model inputs'!B373=FALSE,FALSE),FALSE,IF(OR(IF(ISERROR('Model inputs'!B8=1),'Model inputs'!B8=1,IF('Model inputs'!B8="","",'Model inputs'!B8=1))="",'Model inputs'!B372="",'Model inputs'!B373=""),"",AND(IF(ISERROR('Model inputs'!B8=1),'Model inputs'!B8=1,IF('Model inputs'!B8="","",'Model inputs'!B8=1)),'Model inputs'!B372,'Model inputs'!B373)))))),IF('Model inputs'!B6="","",'Model inputs'!B6),0)</f>
        <v>0</v>
      </c>
      <c r="M23" s="9">
        <f>IF(IF(IF(IFERROR(IF(ISERROR('Model inputs'!B8=1),'Model inputs'!B8=1,IF('Model inputs'!B8="","",'Model inputs'!B8=1))=FALSE,FALSE),FALSE,IF(IFERROR('Model inputs'!B374=FALSE,FALSE),FALSE,IF(IFERROR('Model inputs'!B375=FALSE,FALSE),FALSE,IF(OR(IF(ISERROR('Model inputs'!B8=1),'Model inputs'!B8=1,IF('Model inputs'!B8="","",'Model inputs'!B8=1))="",'Model inputs'!B374="",'Model inputs'!B375=""),"",AND(IF(ISERROR('Model inputs'!B8=1),'Model inputs'!B8=1,IF('Model inputs'!B8="","",'Model inputs'!B8=1)),'Model inputs'!B374,'Model inputs'!B375)))))="",FALSE,IF(IFERROR(IF(ISERROR('Model inputs'!B8=1),'Model inputs'!B8=1,IF('Model inputs'!B8="","",'Model inputs'!B8=1))=FALSE,FALSE),FALSE,IF(IFERROR('Model inputs'!B374=FALSE,FALSE),FALSE,IF(IFERROR('Model inputs'!B375=FALSE,FALSE),FALSE,IF(OR(IF(ISERROR('Model inputs'!B8=1),'Model inputs'!B8=1,IF('Model inputs'!B8="","",'Model inputs'!B8=1))="",'Model inputs'!B374="",'Model inputs'!B375=""),"",AND(IF(ISERROR('Model inputs'!B8=1),'Model inputs'!B8=1,IF('Model inputs'!B8="","",'Model inputs'!B8=1)),'Model inputs'!B374,'Model inputs'!B375)))))),IF('Model inputs'!B6="","",'Model inputs'!B6),0)</f>
        <v>0</v>
      </c>
      <c r="N23" s="9">
        <f>IF(IF(IF(IFERROR(IF(ISERROR('Model inputs'!B8=1),'Model inputs'!B8=1,IF('Model inputs'!B8="","",'Model inputs'!B8=1))=FALSE,FALSE),FALSE,IF(IFERROR('Model inputs'!B376=FALSE,FALSE),FALSE,IF(IFERROR('Model inputs'!B377=FALSE,FALSE),FALSE,IF(OR(IF(ISERROR('Model inputs'!B8=1),'Model inputs'!B8=1,IF('Model inputs'!B8="","",'Model inputs'!B8=1))="",'Model inputs'!B376="",'Model inputs'!B377=""),"",AND(IF(ISERROR('Model inputs'!B8=1),'Model inputs'!B8=1,IF('Model inputs'!B8="","",'Model inputs'!B8=1)),'Model inputs'!B376,'Model inputs'!B377)))))="",FALSE,IF(IFERROR(IF(ISERROR('Model inputs'!B8=1),'Model inputs'!B8=1,IF('Model inputs'!B8="","",'Model inputs'!B8=1))=FALSE,FALSE),FALSE,IF(IFERROR('Model inputs'!B376=FALSE,FALSE),FALSE,IF(IFERROR('Model inputs'!B377=FALSE,FALSE),FALSE,IF(OR(IF(ISERROR('Model inputs'!B8=1),'Model inputs'!B8=1,IF('Model inputs'!B8="","",'Model inputs'!B8=1))="",'Model inputs'!B376="",'Model inputs'!B377=""),"",AND(IF(ISERROR('Model inputs'!B8=1),'Model inputs'!B8=1,IF('Model inputs'!B8="","",'Model inputs'!B8=1)),'Model inputs'!B376,'Model inputs'!B377)))))),IF('Model inputs'!B6="","",'Model inputs'!B6),0)</f>
        <v>0</v>
      </c>
      <c r="O23" s="9">
        <f>IF(IF(IF(IFERROR(IF(ISERROR('Model inputs'!B8=1),'Model inputs'!B8=1,IF('Model inputs'!B8="","",'Model inputs'!B8=1))=FALSE,FALSE),FALSE,IF(IFERROR('Model inputs'!B378=FALSE,FALSE),FALSE,IF(IFERROR('Model inputs'!B379=FALSE,FALSE),FALSE,IF(OR(IF(ISERROR('Model inputs'!B8=1),'Model inputs'!B8=1,IF('Model inputs'!B8="","",'Model inputs'!B8=1))="",'Model inputs'!B378="",'Model inputs'!B379=""),"",AND(IF(ISERROR('Model inputs'!B8=1),'Model inputs'!B8=1,IF('Model inputs'!B8="","",'Model inputs'!B8=1)),'Model inputs'!B378,'Model inputs'!B379)))))="",FALSE,IF(IFERROR(IF(ISERROR('Model inputs'!B8=1),'Model inputs'!B8=1,IF('Model inputs'!B8="","",'Model inputs'!B8=1))=FALSE,FALSE),FALSE,IF(IFERROR('Model inputs'!B378=FALSE,FALSE),FALSE,IF(IFERROR('Model inputs'!B379=FALSE,FALSE),FALSE,IF(OR(IF(ISERROR('Model inputs'!B8=1),'Model inputs'!B8=1,IF('Model inputs'!B8="","",'Model inputs'!B8=1))="",'Model inputs'!B378="",'Model inputs'!B379=""),"",AND(IF(ISERROR('Model inputs'!B8=1),'Model inputs'!B8=1,IF('Model inputs'!B8="","",'Model inputs'!B8=1)),'Model inputs'!B378,'Model inputs'!B379)))))),IF('Model inputs'!B6="","",'Model inputs'!B6),0)</f>
        <v>0</v>
      </c>
      <c r="P23" s="9">
        <f>IF(IF(IF(IFERROR(IF(ISERROR('Model inputs'!B8=1),'Model inputs'!B8=1,IF('Model inputs'!B8="","",'Model inputs'!B8=1))=FALSE,FALSE),FALSE,IF(IFERROR('Model inputs'!B380=FALSE,FALSE),FALSE,IF(IFERROR('Model inputs'!B381=FALSE,FALSE),FALSE,IF(OR(IF(ISERROR('Model inputs'!B8=1),'Model inputs'!B8=1,IF('Model inputs'!B8="","",'Model inputs'!B8=1))="",'Model inputs'!B380="",'Model inputs'!B381=""),"",AND(IF(ISERROR('Model inputs'!B8=1),'Model inputs'!B8=1,IF('Model inputs'!B8="","",'Model inputs'!B8=1)),'Model inputs'!B380,'Model inputs'!B381)))))="",FALSE,IF(IFERROR(IF(ISERROR('Model inputs'!B8=1),'Model inputs'!B8=1,IF('Model inputs'!B8="","",'Model inputs'!B8=1))=FALSE,FALSE),FALSE,IF(IFERROR('Model inputs'!B380=FALSE,FALSE),FALSE,IF(IFERROR('Model inputs'!B381=FALSE,FALSE),FALSE,IF(OR(IF(ISERROR('Model inputs'!B8=1),'Model inputs'!B8=1,IF('Model inputs'!B8="","",'Model inputs'!B8=1))="",'Model inputs'!B380="",'Model inputs'!B381=""),"",AND(IF(ISERROR('Model inputs'!B8=1),'Model inputs'!B8=1,IF('Model inputs'!B8="","",'Model inputs'!B8=1)),'Model inputs'!B380,'Model inputs'!B381)))))),IF('Model inputs'!B6="","",'Model inputs'!B6),0)</f>
        <v>0</v>
      </c>
      <c r="Q23" s="9">
        <f>IF(IF(IF(IFERROR(IF(ISERROR('Model inputs'!B8=1),'Model inputs'!B8=1,IF('Model inputs'!B8="","",'Model inputs'!B8=1))=FALSE,FALSE),FALSE,IF(IFERROR('Model inputs'!B382=FALSE,FALSE),FALSE,IF(IFERROR('Model inputs'!B383=FALSE,FALSE),FALSE,IF(OR(IF(ISERROR('Model inputs'!B8=1),'Model inputs'!B8=1,IF('Model inputs'!B8="","",'Model inputs'!B8=1))="",'Model inputs'!B382="",'Model inputs'!B383=""),"",AND(IF(ISERROR('Model inputs'!B8=1),'Model inputs'!B8=1,IF('Model inputs'!B8="","",'Model inputs'!B8=1)),'Model inputs'!B382,'Model inputs'!B383)))))="",FALSE,IF(IFERROR(IF(ISERROR('Model inputs'!B8=1),'Model inputs'!B8=1,IF('Model inputs'!B8="","",'Model inputs'!B8=1))=FALSE,FALSE),FALSE,IF(IFERROR('Model inputs'!B382=FALSE,FALSE),FALSE,IF(IFERROR('Model inputs'!B383=FALSE,FALSE),FALSE,IF(OR(IF(ISERROR('Model inputs'!B8=1),'Model inputs'!B8=1,IF('Model inputs'!B8="","",'Model inputs'!B8=1))="",'Model inputs'!B382="",'Model inputs'!B383=""),"",AND(IF(ISERROR('Model inputs'!B8=1),'Model inputs'!B8=1,IF('Model inputs'!B8="","",'Model inputs'!B8=1)),'Model inputs'!B382,'Model inputs'!B383)))))),IF('Model inputs'!B6="","",'Model inputs'!B6),0)</f>
        <v>0</v>
      </c>
      <c r="R23" s="9">
        <f>IF(IF(IF(IFERROR(IF(ISERROR('Model inputs'!B8=1),'Model inputs'!B8=1,IF('Model inputs'!B8="","",'Model inputs'!B8=1))=FALSE,FALSE),FALSE,IF(IFERROR('Model inputs'!B384=FALSE,FALSE),FALSE,IF(IFERROR('Model inputs'!B385=FALSE,FALSE),FALSE,IF(OR(IF(ISERROR('Model inputs'!B8=1),'Model inputs'!B8=1,IF('Model inputs'!B8="","",'Model inputs'!B8=1))="",'Model inputs'!B384="",'Model inputs'!B385=""),"",AND(IF(ISERROR('Model inputs'!B8=1),'Model inputs'!B8=1,IF('Model inputs'!B8="","",'Model inputs'!B8=1)),'Model inputs'!B384,'Model inputs'!B385)))))="",FALSE,IF(IFERROR(IF(ISERROR('Model inputs'!B8=1),'Model inputs'!B8=1,IF('Model inputs'!B8="","",'Model inputs'!B8=1))=FALSE,FALSE),FALSE,IF(IFERROR('Model inputs'!B384=FALSE,FALSE),FALSE,IF(IFERROR('Model inputs'!B385=FALSE,FALSE),FALSE,IF(OR(IF(ISERROR('Model inputs'!B8=1),'Model inputs'!B8=1,IF('Model inputs'!B8="","",'Model inputs'!B8=1))="",'Model inputs'!B384="",'Model inputs'!B385=""),"",AND(IF(ISERROR('Model inputs'!B8=1),'Model inputs'!B8=1,IF('Model inputs'!B8="","",'Model inputs'!B8=1)),'Model inputs'!B384,'Model inputs'!B385)))))),IF('Model inputs'!B6="","",'Model inputs'!B6),0)</f>
        <v>0</v>
      </c>
      <c r="S23" s="9">
        <f>IF(IF(IF(IFERROR(IF(ISERROR('Model inputs'!B8=1),'Model inputs'!B8=1,IF('Model inputs'!B8="","",'Model inputs'!B8=1))=FALSE,FALSE),FALSE,IF(IFERROR('Model inputs'!B386=FALSE,FALSE),FALSE,IF(IFERROR('Model inputs'!B387=FALSE,FALSE),FALSE,IF(OR(IF(ISERROR('Model inputs'!B8=1),'Model inputs'!B8=1,IF('Model inputs'!B8="","",'Model inputs'!B8=1))="",'Model inputs'!B386="",'Model inputs'!B387=""),"",AND(IF(ISERROR('Model inputs'!B8=1),'Model inputs'!B8=1,IF('Model inputs'!B8="","",'Model inputs'!B8=1)),'Model inputs'!B386,'Model inputs'!B387)))))="",FALSE,IF(IFERROR(IF(ISERROR('Model inputs'!B8=1),'Model inputs'!B8=1,IF('Model inputs'!B8="","",'Model inputs'!B8=1))=FALSE,FALSE),FALSE,IF(IFERROR('Model inputs'!B386=FALSE,FALSE),FALSE,IF(IFERROR('Model inputs'!B387=FALSE,FALSE),FALSE,IF(OR(IF(ISERROR('Model inputs'!B8=1),'Model inputs'!B8=1,IF('Model inputs'!B8="","",'Model inputs'!B8=1))="",'Model inputs'!B386="",'Model inputs'!B387=""),"",AND(IF(ISERROR('Model inputs'!B8=1),'Model inputs'!B8=1,IF('Model inputs'!B8="","",'Model inputs'!B8=1)),'Model inputs'!B386,'Model inputs'!B387)))))),IF('Model inputs'!B6="","",'Model inputs'!B6),0)</f>
        <v>0</v>
      </c>
      <c r="T23" s="9">
        <f>IF(IF(IF(IFERROR(IF(ISERROR('Model inputs'!B8=1),'Model inputs'!B8=1,IF('Model inputs'!B8="","",'Model inputs'!B8=1))=FALSE,FALSE),FALSE,IF(IFERROR('Model inputs'!B388=FALSE,FALSE),FALSE,IF(IFERROR('Model inputs'!B389=FALSE,FALSE),FALSE,IF(OR(IF(ISERROR('Model inputs'!B8=1),'Model inputs'!B8=1,IF('Model inputs'!B8="","",'Model inputs'!B8=1))="",'Model inputs'!B388="",'Model inputs'!B389=""),"",AND(IF(ISERROR('Model inputs'!B8=1),'Model inputs'!B8=1,IF('Model inputs'!B8="","",'Model inputs'!B8=1)),'Model inputs'!B388,'Model inputs'!B389)))))="",FALSE,IF(IFERROR(IF(ISERROR('Model inputs'!B8=1),'Model inputs'!B8=1,IF('Model inputs'!B8="","",'Model inputs'!B8=1))=FALSE,FALSE),FALSE,IF(IFERROR('Model inputs'!B388=FALSE,FALSE),FALSE,IF(IFERROR('Model inputs'!B389=FALSE,FALSE),FALSE,IF(OR(IF(ISERROR('Model inputs'!B8=1),'Model inputs'!B8=1,IF('Model inputs'!B8="","",'Model inputs'!B8=1))="",'Model inputs'!B388="",'Model inputs'!B389=""),"",AND(IF(ISERROR('Model inputs'!B8=1),'Model inputs'!B8=1,IF('Model inputs'!B8="","",'Model inputs'!B8=1)),'Model inputs'!B388,'Model inputs'!B389)))))),IF('Model inputs'!B6="","",'Model inputs'!B6),0)</f>
        <v>0</v>
      </c>
      <c r="U23" s="9">
        <f>IF(IF(IF(IFERROR(IF(ISERROR('Model inputs'!B8=1),'Model inputs'!B8=1,IF('Model inputs'!B8="","",'Model inputs'!B8=1))=FALSE,FALSE),FALSE,IF(IFERROR('Model inputs'!B390=FALSE,FALSE),FALSE,IF(IFERROR('Model inputs'!B391=FALSE,FALSE),FALSE,IF(OR(IF(ISERROR('Model inputs'!B8=1),'Model inputs'!B8=1,IF('Model inputs'!B8="","",'Model inputs'!B8=1))="",'Model inputs'!B390="",'Model inputs'!B391=""),"",AND(IF(ISERROR('Model inputs'!B8=1),'Model inputs'!B8=1,IF('Model inputs'!B8="","",'Model inputs'!B8=1)),'Model inputs'!B390,'Model inputs'!B391)))))="",FALSE,IF(IFERROR(IF(ISERROR('Model inputs'!B8=1),'Model inputs'!B8=1,IF('Model inputs'!B8="","",'Model inputs'!B8=1))=FALSE,FALSE),FALSE,IF(IFERROR('Model inputs'!B390=FALSE,FALSE),FALSE,IF(IFERROR('Model inputs'!B391=FALSE,FALSE),FALSE,IF(OR(IF(ISERROR('Model inputs'!B8=1),'Model inputs'!B8=1,IF('Model inputs'!B8="","",'Model inputs'!B8=1))="",'Model inputs'!B390="",'Model inputs'!B391=""),"",AND(IF(ISERROR('Model inputs'!B8=1),'Model inputs'!B8=1,IF('Model inputs'!B8="","",'Model inputs'!B8=1)),'Model inputs'!B390,'Model inputs'!B391)))))),IF('Model inputs'!B6="","",'Model inputs'!B6),0)</f>
        <v>0</v>
      </c>
      <c r="V23" s="9">
        <f>IF(IF(IF(IFERROR(IF(ISERROR('Model inputs'!B8=1),'Model inputs'!B8=1,IF('Model inputs'!B8="","",'Model inputs'!B8=1))=FALSE,FALSE),FALSE,IF(IFERROR('Model inputs'!B392=FALSE,FALSE),FALSE,IF(IFERROR('Model inputs'!B393=FALSE,FALSE),FALSE,IF(OR(IF(ISERROR('Model inputs'!B8=1),'Model inputs'!B8=1,IF('Model inputs'!B8="","",'Model inputs'!B8=1))="",'Model inputs'!B392="",'Model inputs'!B393=""),"",AND(IF(ISERROR('Model inputs'!B8=1),'Model inputs'!B8=1,IF('Model inputs'!B8="","",'Model inputs'!B8=1)),'Model inputs'!B392,'Model inputs'!B393)))))="",FALSE,IF(IFERROR(IF(ISERROR('Model inputs'!B8=1),'Model inputs'!B8=1,IF('Model inputs'!B8="","",'Model inputs'!B8=1))=FALSE,FALSE),FALSE,IF(IFERROR('Model inputs'!B392=FALSE,FALSE),FALSE,IF(IFERROR('Model inputs'!B393=FALSE,FALSE),FALSE,IF(OR(IF(ISERROR('Model inputs'!B8=1),'Model inputs'!B8=1,IF('Model inputs'!B8="","",'Model inputs'!B8=1))="",'Model inputs'!B392="",'Model inputs'!B393=""),"",AND(IF(ISERROR('Model inputs'!B8=1),'Model inputs'!B8=1,IF('Model inputs'!B8="","",'Model inputs'!B8=1)),'Model inputs'!B392,'Model inputs'!B393)))))),IF('Model inputs'!B6="","",'Model inputs'!B6),0)</f>
        <v>0</v>
      </c>
    </row>
    <row r="24">
      <c r="A24" t="inlineStr" s="16">
        <is>
          <t xml:space="preserve">Kit COGS</t>
        </is>
      </c>
      <c r="C24" s="7">
        <f>SUM('Model inputs'!C25,'Model inputs'!C26,'Model inputs'!C27)</f>
        <v>0</v>
      </c>
      <c r="D24" s="7">
        <f>SUM('Model inputs'!D25,'Model inputs'!D26,'Model inputs'!D27)</f>
        <v>0</v>
      </c>
      <c r="E24" s="7">
        <f>SUM('Model inputs'!E25,'Model inputs'!E26,'Model inputs'!E27)</f>
        <v>198.71999999999997</v>
      </c>
      <c r="F24" s="7">
        <f>SUM('Model inputs'!F25,'Model inputs'!F26,'Model inputs'!F27)</f>
        <v>328.51</v>
      </c>
      <c r="G24" s="7">
        <f>SUM('Model inputs'!G25,'Model inputs'!G26,'Model inputs'!G27)</f>
        <v>438.2690543333333</v>
      </c>
      <c r="H24" s="7">
        <f>SUM('Model inputs'!H25,'Model inputs'!H26,'Model inputs'!H27)</f>
        <v>553.8092239536111</v>
      </c>
      <c r="I24" s="7">
        <f>SUM('Model inputs'!I25,'Model inputs'!I26,'Model inputs'!I27)</f>
        <v>675.7440447772127</v>
      </c>
      <c r="J24" s="7">
        <f>SUM('Model inputs'!J25,'Model inputs'!J26,'Model inputs'!J27)</f>
        <v>804.7391871963778</v>
      </c>
      <c r="K24" s="7">
        <f>SUM('Model inputs'!K25,'Model inputs'!K26,'Model inputs'!K27)</f>
        <v>941.5174568576965</v>
      </c>
      <c r="L24" s="7">
        <f>SUM('Model inputs'!L25,'Model inputs'!L26,'Model inputs'!L27)</f>
        <v>1086.8642479836653</v>
      </c>
      <c r="M24" s="7">
        <f>SUM('Model inputs'!M25,'Model inputs'!M26,'Model inputs'!M27)</f>
        <v>1241.6334926466532</v>
      </c>
      <c r="N24" s="7">
        <f>SUM('Model inputs'!N25,'Model inputs'!N26,'Model inputs'!N27)</f>
        <v>1399.3012767607936</v>
      </c>
      <c r="O24" s="7">
        <f>SUM('Model inputs'!O25,'Model inputs'!O26,'Model inputs'!O27)</f>
        <v>1560.0723313343888</v>
      </c>
      <c r="P24" s="7">
        <f>SUM('Model inputs'!P25,'Model inputs'!P26,'Model inputs'!P27)</f>
        <v>1724.155715473161</v>
      </c>
      <c r="Q24" s="7">
        <f>SUM('Model inputs'!Q25,'Model inputs'!Q26,'Model inputs'!Q27)</f>
        <v>1891.765212701136</v>
      </c>
      <c r="R24" s="7">
        <f>SUM('Model inputs'!R25,'Model inputs'!R26,'Model inputs'!R27)</f>
        <v>2063.119728881874</v>
      </c>
      <c r="S24" s="7">
        <f>SUM('Model inputs'!S25,'Model inputs'!S26,'Model inputs'!S27)</f>
        <v>2238.443692740924</v>
      </c>
      <c r="T24" s="7">
        <f>SUM('Model inputs'!T25,'Model inputs'!T26,'Model inputs'!T27)</f>
        <v>2417.9674599682767</v>
      </c>
      <c r="U24" s="7">
        <f>SUM('Model inputs'!U25,'Model inputs'!U26,'Model inputs'!U27)</f>
        <v>2601.927721860765</v>
      </c>
      <c r="V24" s="7">
        <f>SUM('Model inputs'!V25,'Model inputs'!V26,'Model inputs'!V27)</f>
        <v>2790.5679194486015</v>
      </c>
    </row>
    <row r="25" outlineLevel="1">
      <c r="A25" t="inlineStr" s="18">
        <is>
          <t xml:space="preserve">Kit COGS &gt; Indie</t>
        </is>
      </c>
      <c r="C25" s="9">
        <f>'Model inputs'!C113*'Model inputs'!C111</f>
        <v>0</v>
      </c>
      <c r="D25" s="9">
        <f>'Model inputs'!D113*'Model inputs'!D111</f>
        <v>0</v>
      </c>
      <c r="E25" s="9">
        <f>'Model inputs'!E113*'Model inputs'!E111</f>
        <v>81.6</v>
      </c>
      <c r="F25" s="9">
        <f>'Model inputs'!F113*'Model inputs'!F111</f>
        <v>151.64</v>
      </c>
      <c r="G25" s="9">
        <f>'Model inputs'!G113*'Model inputs'!G111</f>
        <v>196.61066666666665</v>
      </c>
      <c r="H25" s="9">
        <f>'Model inputs'!H113*'Model inputs'!H111</f>
        <v>242.9896888888889</v>
      </c>
      <c r="I25" s="9">
        <f>'Model inputs'!I113*'Model inputs'!I111</f>
        <v>291.0356882962963</v>
      </c>
      <c r="J25" s="9">
        <f>'Model inputs'!J113*'Model inputs'!J111</f>
        <v>341.01824603654325</v>
      </c>
      <c r="K25" s="9">
        <f>'Model inputs'!K113*'Model inputs'!K111</f>
        <v>393.2194282175737</v>
      </c>
      <c r="L25" s="9">
        <f>'Model inputs'!L113*'Model inputs'!L111</f>
        <v>447.9353901398795</v>
      </c>
      <c r="M25" s="9">
        <f>'Model inputs'!M113*'Model inputs'!M111</f>
        <v>505.47806850497636</v>
      </c>
      <c r="N25" s="9">
        <f>'Model inputs'!N113*'Model inputs'!N111</f>
        <v>562.6807698207105</v>
      </c>
      <c r="O25" s="9">
        <f>'Model inputs'!O113*'Model inputs'!O111</f>
        <v>619.7060072840383</v>
      </c>
      <c r="P25" s="9">
        <f>'Model inputs'!P113*'Model inputs'!P111</f>
        <v>676.7110538011991</v>
      </c>
      <c r="Q25" s="9">
        <f>'Model inputs'!Q113*'Model inputs'!Q111</f>
        <v>733.8485150973265</v>
      </c>
      <c r="R25" s="9">
        <f>'Model inputs'!R113*'Model inputs'!R111</f>
        <v>791.2668735690271</v>
      </c>
      <c r="S25" s="9">
        <f>'Model inputs'!S113*'Model inputs'!S111</f>
        <v>849.1110051884084</v>
      </c>
      <c r="T25" s="9">
        <f>'Model inputs'!T113*'Model inputs'!T111</f>
        <v>907.522671627457</v>
      </c>
      <c r="U25" s="9">
        <f>'Model inputs'!U113*'Model inputs'!U111</f>
        <v>966.6409896419669</v>
      </c>
      <c r="V25" s="9">
        <f>'Model inputs'!V113*'Model inputs'!V111</f>
        <v>1026.602879633763</v>
      </c>
    </row>
    <row r="26" outlineLevel="1">
      <c r="A26" t="inlineStr" s="18">
        <is>
          <t xml:space="preserve">Kit COGS &gt; Launch</t>
        </is>
      </c>
      <c r="C26" s="9">
        <f>'Model inputs'!C114*'Model inputs'!C111</f>
        <v>0</v>
      </c>
      <c r="D26" s="9">
        <f>'Model inputs'!D114*'Model inputs'!D111</f>
        <v>0</v>
      </c>
      <c r="E26" s="9">
        <f>'Model inputs'!E114*'Model inputs'!E111</f>
        <v>49.44</v>
      </c>
      <c r="F26" s="9">
        <f>'Model inputs'!F114*'Model inputs'!F111</f>
        <v>74.6544</v>
      </c>
      <c r="G26" s="9">
        <f>'Model inputs'!G114*'Model inputs'!G111</f>
        <v>100.12128733333331</v>
      </c>
      <c r="H26" s="9">
        <f>'Model inputs'!H114*'Model inputs'!H111</f>
        <v>125.92427677055551</v>
      </c>
      <c r="I26" s="9">
        <f>'Model inputs'!I114*'Model inputs'!I111</f>
        <v>152.1320458821708</v>
      </c>
      <c r="J26" s="9">
        <f>'Model inputs'!J114*'Model inputs'!J111</f>
        <v>178.81746944778058</v>
      </c>
      <c r="K26" s="9">
        <f>'Model inputs'!K114*'Model inputs'!K111</f>
        <v>206.05823180080523</v>
      </c>
      <c r="L26" s="9">
        <f>'Model inputs'!L114*'Model inputs'!L111</f>
        <v>233.9374822731637</v>
      </c>
      <c r="M26" s="9">
        <f>'Model inputs'!M114*'Model inputs'!M111</f>
        <v>262.544539131934</v>
      </c>
      <c r="N26" s="9">
        <f>'Model inputs'!N114*'Model inputs'!N111</f>
        <v>291.9756478456648</v>
      </c>
      <c r="O26" s="9">
        <f>'Model inputs'!O114*'Model inputs'!O111</f>
        <v>322.26254158307296</v>
      </c>
      <c r="P26" s="9">
        <f>'Model inputs'!P114*'Model inputs'!P111</f>
        <v>353.43666899020087</v>
      </c>
      <c r="Q26" s="9">
        <f>'Model inputs'!Q114*'Model inputs'!Q111</f>
        <v>385.5293783961673</v>
      </c>
      <c r="R26" s="9">
        <f>'Model inputs'!R114*'Model inputs'!R111</f>
        <v>418.57209266320126</v>
      </c>
      <c r="S26" s="9">
        <f>'Model inputs'!S114*'Model inputs'!S111</f>
        <v>452.59647555568466</v>
      </c>
      <c r="T26" s="9">
        <f>'Model inputs'!T114*'Model inputs'!T111</f>
        <v>487.6345904499511</v>
      </c>
      <c r="U26" s="9">
        <f>'Model inputs'!U114*'Model inputs'!U111</f>
        <v>523.7190521575209</v>
      </c>
      <c r="V26" s="9">
        <f>'Model inputs'!V114*'Model inputs'!V111</f>
        <v>560.8831725890432</v>
      </c>
    </row>
    <row r="27" outlineLevel="1">
      <c r="A27" t="inlineStr" s="18">
        <is>
          <t xml:space="preserve">Kit COGS &gt; Team</t>
        </is>
      </c>
      <c r="C27" s="9">
        <f>'Model inputs'!C115*'Model inputs'!C111</f>
        <v>0</v>
      </c>
      <c r="D27" s="9">
        <f>'Model inputs'!D115*'Model inputs'!D111</f>
        <v>0</v>
      </c>
      <c r="E27" s="9">
        <f>'Model inputs'!E115*'Model inputs'!E111</f>
        <v>67.67999999999999</v>
      </c>
      <c r="F27" s="9">
        <f>'Model inputs'!F115*'Model inputs'!F111</f>
        <v>102.21560000000001</v>
      </c>
      <c r="G27" s="9">
        <f>'Model inputs'!G115*'Model inputs'!G111</f>
        <v>141.53710033333334</v>
      </c>
      <c r="H27" s="9">
        <f>'Model inputs'!H115*'Model inputs'!H111</f>
        <v>184.89525829416667</v>
      </c>
      <c r="I27" s="9">
        <f>'Model inputs'!I115*'Model inputs'!I111</f>
        <v>232.5763105987456</v>
      </c>
      <c r="J27" s="9">
        <f>'Model inputs'!J115*'Model inputs'!J111</f>
        <v>284.9034717120539</v>
      </c>
      <c r="K27" s="9">
        <f>'Model inputs'!K115*'Model inputs'!K111</f>
        <v>342.2397968393176</v>
      </c>
      <c r="L27" s="9">
        <f>'Model inputs'!L115*'Model inputs'!L111</f>
        <v>404.99137557062204</v>
      </c>
      <c r="M27" s="9">
        <f>'Model inputs'!M115*'Model inputs'!M111</f>
        <v>473.61088500974284</v>
      </c>
      <c r="N27" s="9">
        <f>'Model inputs'!N115*'Model inputs'!N111</f>
        <v>544.6448590944183</v>
      </c>
      <c r="O27" s="9">
        <f>'Model inputs'!O115*'Model inputs'!O111</f>
        <v>618.1037824672775</v>
      </c>
      <c r="P27" s="9">
        <f>'Model inputs'!P115*'Model inputs'!P111</f>
        <v>694.007992681761</v>
      </c>
      <c r="Q27" s="9">
        <f>'Model inputs'!Q115*'Model inputs'!Q111</f>
        <v>772.3873192076423</v>
      </c>
      <c r="R27" s="9">
        <f>'Model inputs'!R115*'Model inputs'!R111</f>
        <v>853.2807626496458</v>
      </c>
      <c r="S27" s="9">
        <f>'Model inputs'!S115*'Model inputs'!S111</f>
        <v>936.7362119968307</v>
      </c>
      <c r="T27" s="9">
        <f>'Model inputs'!T115*'Model inputs'!T111</f>
        <v>1022.8101978908686</v>
      </c>
      <c r="U27" s="9">
        <f>'Model inputs'!U115*'Model inputs'!U111</f>
        <v>1111.5676800612773</v>
      </c>
      <c r="V27" s="9">
        <f>'Model inputs'!V115*'Model inputs'!V111</f>
        <v>1203.0818672257953</v>
      </c>
    </row>
    <row r="28">
      <c r="A28" t="inlineStr" s="16">
        <is>
          <t xml:space="preserve">Long-trailer revenue</t>
        </is>
      </c>
      <c r="C28" s="7">
        <f>SUM('Model inputs'!C29,'Model inputs'!C30,'Model inputs'!C31)</f>
        <v>0</v>
      </c>
      <c r="D28" s="7">
        <f>SUM('Model inputs'!D29,'Model inputs'!D30,'Model inputs'!D31)</f>
        <v>0</v>
      </c>
      <c r="E28" s="7">
        <f>SUM('Model inputs'!E29,'Model inputs'!E30,'Model inputs'!E31)</f>
        <v>49.68</v>
      </c>
      <c r="F28" s="7">
        <f>SUM('Model inputs'!F29,'Model inputs'!F30,'Model inputs'!F31)</f>
        <v>82.1275</v>
      </c>
      <c r="G28" s="7">
        <f>SUM('Model inputs'!G29,'Model inputs'!G30,'Model inputs'!G31)</f>
        <v>109.56726358333333</v>
      </c>
      <c r="H28" s="7">
        <f>SUM('Model inputs'!H29,'Model inputs'!H30,'Model inputs'!H31)</f>
        <v>138.45230598840277</v>
      </c>
      <c r="I28" s="7">
        <f>SUM('Model inputs'!I29,'Model inputs'!I30,'Model inputs'!I31)</f>
        <v>168.9360111943032</v>
      </c>
      <c r="J28" s="7">
        <f>SUM('Model inputs'!J29,'Model inputs'!J30,'Model inputs'!J31)</f>
        <v>201.18479679909444</v>
      </c>
      <c r="K28" s="7">
        <f>SUM('Model inputs'!K29,'Model inputs'!K30,'Model inputs'!K31)</f>
        <v>235.37936421442416</v>
      </c>
      <c r="L28" s="7">
        <f>SUM('Model inputs'!L29,'Model inputs'!L30,'Model inputs'!L31)</f>
        <v>271.71606199591633</v>
      </c>
      <c r="M28" s="7">
        <f>SUM('Model inputs'!M29,'Model inputs'!M30,'Model inputs'!M31)</f>
        <v>310.4083731616633</v>
      </c>
      <c r="N28" s="7">
        <f>SUM('Model inputs'!N29,'Model inputs'!N30,'Model inputs'!N31)</f>
        <v>349.8253191901984</v>
      </c>
      <c r="O28" s="7">
        <f>SUM('Model inputs'!O29,'Model inputs'!O30,'Model inputs'!O31)</f>
        <v>390.0180828335972</v>
      </c>
      <c r="P28" s="7">
        <f>SUM('Model inputs'!P29,'Model inputs'!P30,'Model inputs'!P31)</f>
        <v>431.0389288682903</v>
      </c>
      <c r="Q28" s="7">
        <f>SUM('Model inputs'!Q29,'Model inputs'!Q30,'Model inputs'!Q31)</f>
        <v>472.9413031752841</v>
      </c>
      <c r="R28" s="7">
        <f>SUM('Model inputs'!R29,'Model inputs'!R30,'Model inputs'!R31)</f>
        <v>515.7799322204686</v>
      </c>
      <c r="S28" s="7">
        <f>SUM('Model inputs'!S29,'Model inputs'!S30,'Model inputs'!S31)</f>
        <v>559.610923185231</v>
      </c>
      <c r="T28" s="7">
        <f>SUM('Model inputs'!T29,'Model inputs'!T30,'Model inputs'!T31)</f>
        <v>604.4918649920692</v>
      </c>
      <c r="U28" s="7">
        <f>SUM('Model inputs'!U29,'Model inputs'!U30,'Model inputs'!U31)</f>
        <v>650.4819304651912</v>
      </c>
      <c r="V28" s="7">
        <f>SUM('Model inputs'!V29,'Model inputs'!V30,'Model inputs'!V31)</f>
        <v>697.6419798621504</v>
      </c>
    </row>
    <row r="29" outlineLevel="1">
      <c r="A29" t="inlineStr" s="18">
        <is>
          <t xml:space="preserve">Long-trailer revenue &gt; Indie</t>
        </is>
      </c>
      <c r="C29" s="9">
        <f>'Model inputs'!C113*'Model inputs'!B165*'Model inputs'!B164</f>
        <v>0</v>
      </c>
      <c r="D29" s="9">
        <f>'Model inputs'!D113*'Model inputs'!B165*'Model inputs'!B164</f>
        <v>0</v>
      </c>
      <c r="E29" s="9">
        <f>'Model inputs'!E113*'Model inputs'!B165*'Model inputs'!B164</f>
        <v>20.400000000000002</v>
      </c>
      <c r="F29" s="9">
        <f>'Model inputs'!F113*'Model inputs'!B165*'Model inputs'!B164</f>
        <v>37.91</v>
      </c>
      <c r="G29" s="9">
        <f>'Model inputs'!G113*'Model inputs'!B165*'Model inputs'!B164</f>
        <v>49.15266666666667</v>
      </c>
      <c r="H29" s="9">
        <f>'Model inputs'!H113*'Model inputs'!B165*'Model inputs'!B164</f>
        <v>60.74742222222223</v>
      </c>
      <c r="I29" s="9">
        <f>'Model inputs'!I113*'Model inputs'!B165*'Model inputs'!B164</f>
        <v>72.75892207407409</v>
      </c>
      <c r="J29" s="9">
        <f>'Model inputs'!J113*'Model inputs'!B165*'Model inputs'!B164</f>
        <v>85.25456150913581</v>
      </c>
      <c r="K29" s="9">
        <f>'Model inputs'!K113*'Model inputs'!B165*'Model inputs'!B164</f>
        <v>98.30485705439344</v>
      </c>
      <c r="L29" s="9">
        <f>'Model inputs'!L113*'Model inputs'!B165*'Model inputs'!B164</f>
        <v>111.98384753496987</v>
      </c>
      <c r="M29" s="9">
        <f>'Model inputs'!M113*'Model inputs'!B165*'Model inputs'!B164</f>
        <v>126.36951712624409</v>
      </c>
      <c r="N29" s="9">
        <f>'Model inputs'!N113*'Model inputs'!B165*'Model inputs'!B164</f>
        <v>140.6701924551776</v>
      </c>
      <c r="O29" s="9">
        <f>'Model inputs'!O113*'Model inputs'!B165*'Model inputs'!B164</f>
        <v>154.92650182100957</v>
      </c>
      <c r="P29" s="9">
        <f>'Model inputs'!P113*'Model inputs'!B165*'Model inputs'!B164</f>
        <v>169.1777634502998</v>
      </c>
      <c r="Q29" s="9">
        <f>'Model inputs'!Q113*'Model inputs'!B165*'Model inputs'!B164</f>
        <v>183.46212877433163</v>
      </c>
      <c r="R29" s="9">
        <f>'Model inputs'!R113*'Model inputs'!B165*'Model inputs'!B164</f>
        <v>197.81671839225677</v>
      </c>
      <c r="S29" s="9">
        <f>'Model inputs'!S113*'Model inputs'!B165*'Model inputs'!B164</f>
        <v>212.27775129710213</v>
      </c>
      <c r="T29" s="9">
        <f>'Model inputs'!T113*'Model inputs'!B165*'Model inputs'!B164</f>
        <v>226.88066790686426</v>
      </c>
      <c r="U29" s="9">
        <f>'Model inputs'!U113*'Model inputs'!B165*'Model inputs'!B164</f>
        <v>241.66024741049173</v>
      </c>
      <c r="V29" s="9">
        <f>'Model inputs'!V113*'Model inputs'!B165*'Model inputs'!B164</f>
        <v>256.65071990844075</v>
      </c>
    </row>
    <row r="30" outlineLevel="1">
      <c r="A30" t="inlineStr" s="18">
        <is>
          <t xml:space="preserve">Long-trailer revenue &gt; Launch</t>
        </is>
      </c>
      <c r="C30" s="9">
        <f>'Model inputs'!C114*'Model inputs'!B165*'Model inputs'!B164</f>
        <v>0</v>
      </c>
      <c r="D30" s="9">
        <f>'Model inputs'!D114*'Model inputs'!B165*'Model inputs'!B164</f>
        <v>0</v>
      </c>
      <c r="E30" s="9">
        <f>'Model inputs'!E114*'Model inputs'!B165*'Model inputs'!B164</f>
        <v>12.36</v>
      </c>
      <c r="F30" s="9">
        <f>'Model inputs'!F114*'Model inputs'!B165*'Model inputs'!B164</f>
        <v>18.6636</v>
      </c>
      <c r="G30" s="9">
        <f>'Model inputs'!G114*'Model inputs'!B165*'Model inputs'!B164</f>
        <v>25.03032183333333</v>
      </c>
      <c r="H30" s="9">
        <f>'Model inputs'!H114*'Model inputs'!B165*'Model inputs'!B164</f>
        <v>31.481069192638877</v>
      </c>
      <c r="I30" s="9">
        <f>'Model inputs'!I114*'Model inputs'!B165*'Model inputs'!B164</f>
        <v>38.0330114705427</v>
      </c>
      <c r="J30" s="9">
        <f>'Model inputs'!J114*'Model inputs'!B165*'Model inputs'!B164</f>
        <v>44.704367361945145</v>
      </c>
      <c r="K30" s="9">
        <f>'Model inputs'!K114*'Model inputs'!B165*'Model inputs'!B164</f>
        <v>51.514557950201315</v>
      </c>
      <c r="L30" s="9">
        <f>'Model inputs'!L114*'Model inputs'!B165*'Model inputs'!B164</f>
        <v>58.48437056829093</v>
      </c>
      <c r="M30" s="9">
        <f>'Model inputs'!M114*'Model inputs'!B165*'Model inputs'!B164</f>
        <v>65.63613478298349</v>
      </c>
      <c r="N30" s="9">
        <f>'Model inputs'!N114*'Model inputs'!B165*'Model inputs'!B164</f>
        <v>72.9939119614162</v>
      </c>
      <c r="O30" s="9">
        <f>'Model inputs'!O114*'Model inputs'!B165*'Model inputs'!B164</f>
        <v>80.56563539576824</v>
      </c>
      <c r="P30" s="9">
        <f>'Model inputs'!P114*'Model inputs'!B165*'Model inputs'!B164</f>
        <v>88.35916724755023</v>
      </c>
      <c r="Q30" s="9">
        <f>'Model inputs'!Q114*'Model inputs'!B165*'Model inputs'!B164</f>
        <v>96.38234459904184</v>
      </c>
      <c r="R30" s="9">
        <f>'Model inputs'!R114*'Model inputs'!B165*'Model inputs'!B164</f>
        <v>104.64302316580032</v>
      </c>
      <c r="S30" s="9">
        <f>'Model inputs'!S114*'Model inputs'!B165*'Model inputs'!B164</f>
        <v>113.14911888892117</v>
      </c>
      <c r="T30" s="9">
        <f>'Model inputs'!T114*'Model inputs'!B165*'Model inputs'!B164</f>
        <v>121.90864761248777</v>
      </c>
      <c r="U30" s="9">
        <f>'Model inputs'!U114*'Model inputs'!B165*'Model inputs'!B164</f>
        <v>130.92976303938022</v>
      </c>
      <c r="V30" s="9">
        <f>'Model inputs'!V114*'Model inputs'!B165*'Model inputs'!B164</f>
        <v>140.2207931472608</v>
      </c>
    </row>
    <row r="31" outlineLevel="1">
      <c r="A31" t="inlineStr" s="18">
        <is>
          <t xml:space="preserve">Long-trailer revenue &gt; Team</t>
        </is>
      </c>
      <c r="C31" s="9">
        <f>'Model inputs'!C115*'Model inputs'!B165*'Model inputs'!B164</f>
        <v>0</v>
      </c>
      <c r="D31" s="9">
        <f>'Model inputs'!D115*'Model inputs'!B165*'Model inputs'!B164</f>
        <v>0</v>
      </c>
      <c r="E31" s="9">
        <f>'Model inputs'!E115*'Model inputs'!B165*'Model inputs'!B164</f>
        <v>16.919999999999998</v>
      </c>
      <c r="F31" s="9">
        <f>'Model inputs'!F115*'Model inputs'!B165*'Model inputs'!B164</f>
        <v>25.553900000000002</v>
      </c>
      <c r="G31" s="9">
        <f>'Model inputs'!G115*'Model inputs'!B165*'Model inputs'!B164</f>
        <v>35.384275083333335</v>
      </c>
      <c r="H31" s="9">
        <f>'Model inputs'!H115*'Model inputs'!B165*'Model inputs'!B164</f>
        <v>46.22381457354167</v>
      </c>
      <c r="I31" s="9">
        <f>'Model inputs'!I115*'Model inputs'!B165*'Model inputs'!B164</f>
        <v>58.14407764968641</v>
      </c>
      <c r="J31" s="9">
        <f>'Model inputs'!J115*'Model inputs'!B165*'Model inputs'!B164</f>
        <v>71.22586792801347</v>
      </c>
      <c r="K31" s="9">
        <f>'Model inputs'!K115*'Model inputs'!B165*'Model inputs'!B164</f>
        <v>85.5599492098294</v>
      </c>
      <c r="L31" s="9">
        <f>'Model inputs'!L115*'Model inputs'!B165*'Model inputs'!B164</f>
        <v>101.24784389265551</v>
      </c>
      <c r="M31" s="9">
        <f>'Model inputs'!M115*'Model inputs'!B165*'Model inputs'!B164</f>
        <v>118.40272125243571</v>
      </c>
      <c r="N31" s="9">
        <f>'Model inputs'!N115*'Model inputs'!B165*'Model inputs'!B164</f>
        <v>136.1612147736046</v>
      </c>
      <c r="O31" s="9">
        <f>'Model inputs'!O115*'Model inputs'!B165*'Model inputs'!B164</f>
        <v>154.52594561681937</v>
      </c>
      <c r="P31" s="9">
        <f>'Model inputs'!P115*'Model inputs'!B165*'Model inputs'!B164</f>
        <v>173.5019981704403</v>
      </c>
      <c r="Q31" s="9">
        <f>'Model inputs'!Q115*'Model inputs'!B165*'Model inputs'!B164</f>
        <v>193.09682980191062</v>
      </c>
      <c r="R31" s="9">
        <f>'Model inputs'!R115*'Model inputs'!B165*'Model inputs'!B164</f>
        <v>213.32019066241148</v>
      </c>
      <c r="S31" s="9">
        <f>'Model inputs'!S115*'Model inputs'!B165*'Model inputs'!B164</f>
        <v>234.18405299920767</v>
      </c>
      <c r="T31" s="9">
        <f>'Model inputs'!T115*'Model inputs'!B165*'Model inputs'!B164</f>
        <v>255.70254947271715</v>
      </c>
      <c r="U31" s="9">
        <f>'Model inputs'!U115*'Model inputs'!B165*'Model inputs'!B164</f>
        <v>277.89192001531933</v>
      </c>
      <c r="V31" s="9">
        <f>'Model inputs'!V115*'Model inputs'!B165*'Model inputs'!B164</f>
        <v>300.77046680644884</v>
      </c>
    </row>
    <row r="32">
      <c r="A32" t="inlineStr" s="16">
        <is>
          <t xml:space="preserve">Model month</t>
        </is>
      </c>
      <c r="C32" s="17">
        <f>(YEAR(DATE(2026,9,1))-2026)*12+MONTH(DATE(2026,9,1))-11</f>
        <v>-2</v>
      </c>
      <c r="D32" s="17">
        <f>(YEAR(DATE(2026,10,1))-2026)*12+MONTH(DATE(2026,10,1))-11</f>
        <v>-1</v>
      </c>
      <c r="E32" s="17">
        <f>(YEAR(DATE(2026,11,1))-2026)*12+MONTH(DATE(2026,11,1))-11</f>
        <v>0</v>
      </c>
      <c r="F32" s="17">
        <f>(YEAR(DATE(2026,12,1))-2026)*12+MONTH(DATE(2026,12,1))-11</f>
        <v>1</v>
      </c>
      <c r="G32" s="17">
        <f>(YEAR(DATE(2027,1,1))-2026)*12+MONTH(DATE(2027,1,1))-11</f>
        <v>2</v>
      </c>
      <c r="H32" s="17">
        <f>(YEAR(DATE(2027,2,1))-2026)*12+MONTH(DATE(2027,2,1))-11</f>
        <v>3</v>
      </c>
      <c r="I32" s="17">
        <f>(YEAR(DATE(2027,3,1))-2026)*12+MONTH(DATE(2027,3,1))-11</f>
        <v>4</v>
      </c>
      <c r="J32" s="17">
        <f>(YEAR(DATE(2027,4,1))-2026)*12+MONTH(DATE(2027,4,1))-11</f>
        <v>5</v>
      </c>
      <c r="K32" s="17">
        <f>(YEAR(DATE(2027,5,1))-2026)*12+MONTH(DATE(2027,5,1))-11</f>
        <v>6</v>
      </c>
      <c r="L32" s="17">
        <f>(YEAR(DATE(2027,6,1))-2026)*12+MONTH(DATE(2027,6,1))-11</f>
        <v>7</v>
      </c>
      <c r="M32" s="17">
        <f>(YEAR(DATE(2027,7,1))-2026)*12+MONTH(DATE(2027,7,1))-11</f>
        <v>8</v>
      </c>
      <c r="N32" s="17">
        <f>(YEAR(DATE(2027,8,1))-2026)*12+MONTH(DATE(2027,8,1))-11</f>
        <v>9</v>
      </c>
      <c r="O32" s="17">
        <f>(YEAR(DATE(2027,9,1))-2026)*12+MONTH(DATE(2027,9,1))-11</f>
        <v>10</v>
      </c>
      <c r="P32" s="17">
        <f>(YEAR(DATE(2027,10,1))-2026)*12+MONTH(DATE(2027,10,1))-11</f>
        <v>11</v>
      </c>
      <c r="Q32" s="17">
        <f>(YEAR(DATE(2027,11,1))-2026)*12+MONTH(DATE(2027,11,1))-11</f>
        <v>12</v>
      </c>
      <c r="R32" s="17">
        <f>(YEAR(DATE(2027,12,1))-2026)*12+MONTH(DATE(2027,12,1))-11</f>
        <v>13</v>
      </c>
      <c r="S32" s="17">
        <f>(YEAR(DATE(2028,1,1))-2026)*12+MONTH(DATE(2028,1,1))-11</f>
        <v>14</v>
      </c>
      <c r="T32" s="17">
        <f>(YEAR(DATE(2028,2,1))-2026)*12+MONTH(DATE(2028,2,1))-11</f>
        <v>15</v>
      </c>
      <c r="U32" s="17">
        <f>(YEAR(DATE(2028,3,1))-2026)*12+MONTH(DATE(2028,3,1))-11</f>
        <v>16</v>
      </c>
      <c r="V32" s="17">
        <f>(YEAR(DATE(2028,4,1))-2026)*12+MONTH(DATE(2028,4,1))-11</f>
        <v>17</v>
      </c>
    </row>
    <row r="33">
      <c r="A33" t="inlineStr" s="16">
        <is>
          <t xml:space="preserve">Net cash change</t>
        </is>
      </c>
      <c r="C33" s="9">
        <f>'Model inputs'!C9-'Model inputs'!C24-'Model inputs'!C62-'Model inputs'!C46+'Model inputs'!C23</f>
        <v>0</v>
      </c>
      <c r="D33" s="9">
        <f>'Model inputs'!D9-'Model inputs'!D24-'Model inputs'!D62-'Model inputs'!D46+'Model inputs'!D23</f>
        <v>0</v>
      </c>
      <c r="E33" s="9">
        <f>'Model inputs'!E9-'Model inputs'!E24-'Model inputs'!E62-'Model inputs'!E46+'Model inputs'!E23</f>
        <v>-6963.372719999999</v>
      </c>
      <c r="F33" s="9">
        <f>'Model inputs'!F9-'Model inputs'!F24-'Model inputs'!F62-'Model inputs'!F46+'Model inputs'!F23</f>
        <v>-129.79945512500035</v>
      </c>
      <c r="G33" s="9">
        <f>'Model inputs'!G9-'Model inputs'!G24-'Model inputs'!G62-'Model inputs'!G46+'Model inputs'!G23</f>
        <v>1907.1255520151108</v>
      </c>
      <c r="H33" s="9">
        <f>'Model inputs'!H9-'Model inputs'!H24-'Model inputs'!H62-'Model inputs'!H46+'Model inputs'!H23</f>
        <v>2387.470321192661</v>
      </c>
      <c r="I33" s="9">
        <f>'Model inputs'!I9-'Model inputs'!I24-'Model inputs'!I62-'Model inputs'!I46+'Model inputs'!I23</f>
        <v>4421.2451315619055</v>
      </c>
      <c r="J33" s="9">
        <f>'Model inputs'!J9-'Model inputs'!J24-'Model inputs'!J62-'Model inputs'!J46+'Model inputs'!J23</f>
        <v>6769.73017820916</v>
      </c>
      <c r="K33" s="9">
        <f>'Model inputs'!K9-'Model inputs'!K24-'Model inputs'!K62-'Model inputs'!K46+'Model inputs'!K23</f>
        <v>5245.565410583662</v>
      </c>
      <c r="L33" s="9">
        <f>'Model inputs'!L9-'Model inputs'!L24-'Model inputs'!L62-'Model inputs'!L46+'Model inputs'!L23</f>
        <v>3932.0991694718705</v>
      </c>
      <c r="M33" s="9">
        <f>'Model inputs'!M9-'Model inputs'!M24-'Model inputs'!M62-'Model inputs'!M46+'Model inputs'!M23</f>
        <v>5813.103235978975</v>
      </c>
      <c r="N33" s="9">
        <f>'Model inputs'!N9-'Model inputs'!N24-'Model inputs'!N62-'Model inputs'!N46+'Model inputs'!N23</f>
        <v>7570.260325917436</v>
      </c>
      <c r="O33" s="9">
        <f>'Model inputs'!O9-'Model inputs'!O24-'Model inputs'!O62-'Model inputs'!O46+'Model inputs'!O23</f>
        <v>9354.691194280353</v>
      </c>
      <c r="P33" s="9">
        <f>'Model inputs'!P9-'Model inputs'!P24-'Model inputs'!P62-'Model inputs'!P46+'Model inputs'!P23</f>
        <v>11169.329218827374</v>
      </c>
      <c r="Q33" s="9">
        <f>'Model inputs'!Q9-'Model inputs'!Q24-'Model inputs'!Q62-'Model inputs'!Q46+'Model inputs'!Q23</f>
        <v>8517.123309421157</v>
      </c>
      <c r="R33" s="9">
        <f>'Model inputs'!R9-'Model inputs'!R24-'Model inputs'!R62-'Model inputs'!R46+'Model inputs'!R23</f>
        <v>15787.540581002813</v>
      </c>
      <c r="S33" s="9">
        <f>'Model inputs'!S9-'Model inputs'!S24-'Model inputs'!S62-'Model inputs'!S46+'Model inputs'!S23</f>
        <v>18382.886882254454</v>
      </c>
      <c r="T33" s="9">
        <f>'Model inputs'!T9-'Model inputs'!T24-'Model inputs'!T62-'Model inputs'!T46+'Model inputs'!T23</f>
        <v>21103.946857552688</v>
      </c>
      <c r="U33" s="9">
        <f>'Model inputs'!U9-'Model inputs'!U24-'Model inputs'!U62-'Model inputs'!U46+'Model inputs'!U23</f>
        <v>23963.009488394346</v>
      </c>
      <c r="V33" s="9">
        <f>'Model inputs'!V9-'Model inputs'!V24-'Model inputs'!V62-'Model inputs'!V46+'Model inputs'!V23</f>
        <v>26973.67031421868</v>
      </c>
    </row>
    <row r="34">
      <c r="A34" t="inlineStr" s="16">
        <is>
          <t xml:space="preserve">Opex</t>
        </is>
      </c>
      <c r="C34" s="7">
        <f>SUM('Model inputs'!C35,'Model inputs'!C36,'Model inputs'!C37,'Model inputs'!C38,'Model inputs'!C39,'Model inputs'!C40,'Model inputs'!C41,'Model inputs'!C42,'Model inputs'!C43,'Model inputs'!C44,'Model inputs'!C45)</f>
        <v>0</v>
      </c>
      <c r="D34" s="7">
        <f>SUM('Model inputs'!D35,'Model inputs'!D36,'Model inputs'!D37,'Model inputs'!D38,'Model inputs'!D39,'Model inputs'!D40,'Model inputs'!D41,'Model inputs'!D42,'Model inputs'!D43,'Model inputs'!D44,'Model inputs'!D45)</f>
        <v>0</v>
      </c>
      <c r="E34" s="7">
        <f>SUM('Model inputs'!E35,'Model inputs'!E36,'Model inputs'!E37,'Model inputs'!E38,'Model inputs'!E39,'Model inputs'!E40,'Model inputs'!E41,'Model inputs'!E42,'Model inputs'!E43,'Model inputs'!E44,'Model inputs'!E45)</f>
        <v>5245</v>
      </c>
      <c r="F34" s="7">
        <f>SUM('Model inputs'!F35,'Model inputs'!F36,'Model inputs'!F37,'Model inputs'!F38,'Model inputs'!F39,'Model inputs'!F40,'Model inputs'!F41,'Model inputs'!F42,'Model inputs'!F43,'Model inputs'!F44,'Model inputs'!F45)</f>
        <v>5595</v>
      </c>
      <c r="G34" s="7">
        <f>SUM('Model inputs'!G35,'Model inputs'!G36,'Model inputs'!G37,'Model inputs'!G38,'Model inputs'!G39,'Model inputs'!G40,'Model inputs'!G41,'Model inputs'!G42,'Model inputs'!G43,'Model inputs'!G44,'Model inputs'!G45)</f>
        <v>5595</v>
      </c>
      <c r="H34" s="7">
        <f>SUM('Model inputs'!H35,'Model inputs'!H36,'Model inputs'!H37,'Model inputs'!H38,'Model inputs'!H39,'Model inputs'!H40,'Model inputs'!H41,'Model inputs'!H42,'Model inputs'!H43,'Model inputs'!H44,'Model inputs'!H45)</f>
        <v>7245</v>
      </c>
      <c r="I34" s="7">
        <f>SUM('Model inputs'!I35,'Model inputs'!I36,'Model inputs'!I37,'Model inputs'!I38,'Model inputs'!I39,'Model inputs'!I40,'Model inputs'!I41,'Model inputs'!I42,'Model inputs'!I43,'Model inputs'!I44,'Model inputs'!I45)</f>
        <v>7445</v>
      </c>
      <c r="J34" s="7">
        <f>SUM('Model inputs'!J35,'Model inputs'!J36,'Model inputs'!J37,'Model inputs'!J38,'Model inputs'!J39,'Model inputs'!J40,'Model inputs'!J41,'Model inputs'!J42,'Model inputs'!J43,'Model inputs'!J44,'Model inputs'!J45)</f>
        <v>7445</v>
      </c>
      <c r="K34" s="7">
        <f>SUM('Model inputs'!K35,'Model inputs'!K36,'Model inputs'!K37,'Model inputs'!K38,'Model inputs'!K39,'Model inputs'!K40,'Model inputs'!K41,'Model inputs'!K42,'Model inputs'!K43,'Model inputs'!K44,'Model inputs'!K45)</f>
        <v>11445</v>
      </c>
      <c r="L34" s="7">
        <f>SUM('Model inputs'!L35,'Model inputs'!L36,'Model inputs'!L37,'Model inputs'!L38,'Model inputs'!L39,'Model inputs'!L40,'Model inputs'!L41,'Model inputs'!L42,'Model inputs'!L43,'Model inputs'!L44,'Model inputs'!L45)</f>
        <v>11445</v>
      </c>
      <c r="M34" s="7">
        <f>SUM('Model inputs'!M35,'Model inputs'!M36,'Model inputs'!M37,'Model inputs'!M38,'Model inputs'!M39,'Model inputs'!M40,'Model inputs'!M41,'Model inputs'!M42,'Model inputs'!M43,'Model inputs'!M44,'Model inputs'!M45)</f>
        <v>11445</v>
      </c>
      <c r="N34" s="7">
        <f>SUM('Model inputs'!N35,'Model inputs'!N36,'Model inputs'!N37,'Model inputs'!N38,'Model inputs'!N39,'Model inputs'!N40,'Model inputs'!N41,'Model inputs'!N42,'Model inputs'!N43,'Model inputs'!N44,'Model inputs'!N45)</f>
        <v>11445</v>
      </c>
      <c r="O34" s="7">
        <f>SUM('Model inputs'!O35,'Model inputs'!O36,'Model inputs'!O37,'Model inputs'!O38,'Model inputs'!O39,'Model inputs'!O40,'Model inputs'!O41,'Model inputs'!O42,'Model inputs'!O43,'Model inputs'!O44,'Model inputs'!O45)</f>
        <v>11445</v>
      </c>
      <c r="P34" s="7">
        <f>SUM('Model inputs'!P35,'Model inputs'!P36,'Model inputs'!P37,'Model inputs'!P38,'Model inputs'!P39,'Model inputs'!P40,'Model inputs'!P41,'Model inputs'!P42,'Model inputs'!P43,'Model inputs'!P44,'Model inputs'!P45)</f>
        <v>11445</v>
      </c>
      <c r="Q34" s="7">
        <f>SUM('Model inputs'!Q35,'Model inputs'!Q36,'Model inputs'!Q37,'Model inputs'!Q38,'Model inputs'!Q39,'Model inputs'!Q40,'Model inputs'!Q41,'Model inputs'!Q42,'Model inputs'!Q43,'Model inputs'!Q44,'Model inputs'!Q45)</f>
        <v>11445</v>
      </c>
      <c r="R34" s="7">
        <f>SUM('Model inputs'!R35,'Model inputs'!R36,'Model inputs'!R37,'Model inputs'!R38,'Model inputs'!R39,'Model inputs'!R40,'Model inputs'!R41,'Model inputs'!R42,'Model inputs'!R43,'Model inputs'!R44,'Model inputs'!R45)</f>
        <v>11445</v>
      </c>
      <c r="S34" s="7">
        <f>SUM('Model inputs'!S35,'Model inputs'!S36,'Model inputs'!S37,'Model inputs'!S38,'Model inputs'!S39,'Model inputs'!S40,'Model inputs'!S41,'Model inputs'!S42,'Model inputs'!S43,'Model inputs'!S44,'Model inputs'!S45)</f>
        <v>11445</v>
      </c>
      <c r="T34" s="7">
        <f>SUM('Model inputs'!T35,'Model inputs'!T36,'Model inputs'!T37,'Model inputs'!T38,'Model inputs'!T39,'Model inputs'!T40,'Model inputs'!T41,'Model inputs'!T42,'Model inputs'!T43,'Model inputs'!T44,'Model inputs'!T45)</f>
        <v>11445</v>
      </c>
      <c r="U34" s="7">
        <f>SUM('Model inputs'!U35,'Model inputs'!U36,'Model inputs'!U37,'Model inputs'!U38,'Model inputs'!U39,'Model inputs'!U40,'Model inputs'!U41,'Model inputs'!U42,'Model inputs'!U43,'Model inputs'!U44,'Model inputs'!U45)</f>
        <v>11445</v>
      </c>
      <c r="V34" s="7">
        <f>SUM('Model inputs'!V35,'Model inputs'!V36,'Model inputs'!V37,'Model inputs'!V38,'Model inputs'!V39,'Model inputs'!V40,'Model inputs'!V41,'Model inputs'!V42,'Model inputs'!V43,'Model inputs'!V44,'Model inputs'!V45)</f>
        <v>11445</v>
      </c>
    </row>
    <row r="35" outlineLevel="1">
      <c r="A35" t="inlineStr" s="18">
        <is>
          <t xml:space="preserve">Opex &gt; Domain, email, extras</t>
        </is>
      </c>
      <c r="C35" s="9">
        <f>'Model inputs'!B129*IF(IF(IF(IF(IFERROR('Model inputs'!B399=FALSE,FALSE),FALSE,IF(IFERROR('Model inputs'!B400=FALSE,FALSE),FALSE,IF(OR('Model inputs'!B399="",'Model inputs'!B400=""),"",AND('Model inputs'!B399,'Model inputs'!B400))))="",FALSE,IF(IFERROR('Model inputs'!B399=FALSE,FALSE),FALSE,IF(IFERROR('Model inputs'!B400=FALSE,FALSE),FALSE,IF(OR('Model inputs'!B399="",'Model inputs'!B400=""),"",AND('Model inputs'!B399,'Model inputs'!B400))))),IF('Model inputs'!B141="","",'Model inputs'!B141),0)="",0,IF(IF(IF(IFERROR('Model inputs'!B399=FALSE,FALSE),FALSE,IF(IFERROR('Model inputs'!B400=FALSE,FALSE),FALSE,IF(OR('Model inputs'!B399="",'Model inputs'!B400=""),"",AND('Model inputs'!B399,'Model inputs'!B400))))="",FALSE,IF(IFERROR('Model inputs'!B399=FALSE,FALSE),FALSE,IF(IFERROR('Model inputs'!B400=FALSE,FALSE),FALSE,IF(OR('Model inputs'!B399="",'Model inputs'!B400=""),"",AND('Model inputs'!B399,'Model inputs'!B400))))),IF('Model inputs'!B141="","",'Model inputs'!B141),0))</f>
        <v>0</v>
      </c>
      <c r="D35" s="9">
        <f>'Model inputs'!B129*IF(IF(IF(IF(IFERROR('Model inputs'!B402=FALSE,FALSE),FALSE,IF(IFERROR('Model inputs'!B403=FALSE,FALSE),FALSE,IF(OR('Model inputs'!B402="",'Model inputs'!B403=""),"",AND('Model inputs'!B402,'Model inputs'!B403))))="",FALSE,IF(IFERROR('Model inputs'!B402=FALSE,FALSE),FALSE,IF(IFERROR('Model inputs'!B403=FALSE,FALSE),FALSE,IF(OR('Model inputs'!B402="",'Model inputs'!B403=""),"",AND('Model inputs'!B402,'Model inputs'!B403))))),IF('Model inputs'!B141="","",'Model inputs'!B141),0)="",0,IF(IF(IF(IFERROR('Model inputs'!B402=FALSE,FALSE),FALSE,IF(IFERROR('Model inputs'!B403=FALSE,FALSE),FALSE,IF(OR('Model inputs'!B402="",'Model inputs'!B403=""),"",AND('Model inputs'!B402,'Model inputs'!B403))))="",FALSE,IF(IFERROR('Model inputs'!B402=FALSE,FALSE),FALSE,IF(IFERROR('Model inputs'!B403=FALSE,FALSE),FALSE,IF(OR('Model inputs'!B402="",'Model inputs'!B403=""),"",AND('Model inputs'!B402,'Model inputs'!B403))))),IF('Model inputs'!B141="","",'Model inputs'!B141),0))</f>
        <v>0</v>
      </c>
      <c r="E35" s="9">
        <f>'Model inputs'!B129*IF(IF(IF(IF(IFERROR('Model inputs'!B405=FALSE,FALSE),FALSE,IF(IFERROR('Model inputs'!B406=FALSE,FALSE),FALSE,IF(OR('Model inputs'!B405="",'Model inputs'!B406=""),"",AND('Model inputs'!B405,'Model inputs'!B406))))="",FALSE,IF(IFERROR('Model inputs'!B405=FALSE,FALSE),FALSE,IF(IFERROR('Model inputs'!B406=FALSE,FALSE),FALSE,IF(OR('Model inputs'!B405="",'Model inputs'!B406=""),"",AND('Model inputs'!B405,'Model inputs'!B406))))),IF('Model inputs'!B141="","",'Model inputs'!B141),0)="",0,IF(IF(IF(IFERROR('Model inputs'!B405=FALSE,FALSE),FALSE,IF(IFERROR('Model inputs'!B406=FALSE,FALSE),FALSE,IF(OR('Model inputs'!B405="",'Model inputs'!B406=""),"",AND('Model inputs'!B405,'Model inputs'!B406))))="",FALSE,IF(IFERROR('Model inputs'!B405=FALSE,FALSE),FALSE,IF(IFERROR('Model inputs'!B406=FALSE,FALSE),FALSE,IF(OR('Model inputs'!B405="",'Model inputs'!B406=""),"",AND('Model inputs'!B405,'Model inputs'!B406))))),IF('Model inputs'!B141="","",'Model inputs'!B141),0))</f>
        <v>40</v>
      </c>
      <c r="F35" s="9">
        <f>'Model inputs'!B129*IF(IF(IF(IF(IFERROR('Model inputs'!B408=FALSE,FALSE),FALSE,IF(IFERROR('Model inputs'!B409=FALSE,FALSE),FALSE,IF(OR('Model inputs'!B408="",'Model inputs'!B409=""),"",AND('Model inputs'!B408,'Model inputs'!B409))))="",FALSE,IF(IFERROR('Model inputs'!B408=FALSE,FALSE),FALSE,IF(IFERROR('Model inputs'!B409=FALSE,FALSE),FALSE,IF(OR('Model inputs'!B408="",'Model inputs'!B409=""),"",AND('Model inputs'!B408,'Model inputs'!B409))))),IF('Model inputs'!B141="","",'Model inputs'!B141),0)="",0,IF(IF(IF(IFERROR('Model inputs'!B408=FALSE,FALSE),FALSE,IF(IFERROR('Model inputs'!B409=FALSE,FALSE),FALSE,IF(OR('Model inputs'!B408="",'Model inputs'!B409=""),"",AND('Model inputs'!B408,'Model inputs'!B409))))="",FALSE,IF(IFERROR('Model inputs'!B408=FALSE,FALSE),FALSE,IF(IFERROR('Model inputs'!B409=FALSE,FALSE),FALSE,IF(OR('Model inputs'!B408="",'Model inputs'!B409=""),"",AND('Model inputs'!B408,'Model inputs'!B409))))),IF('Model inputs'!B141="","",'Model inputs'!B141),0))</f>
        <v>40</v>
      </c>
      <c r="G35" s="9">
        <f>'Model inputs'!B129*IF(IF(IF(IF(IFERROR('Model inputs'!B411=FALSE,FALSE),FALSE,IF(IFERROR('Model inputs'!B412=FALSE,FALSE),FALSE,IF(OR('Model inputs'!B411="",'Model inputs'!B412=""),"",AND('Model inputs'!B411,'Model inputs'!B412))))="",FALSE,IF(IFERROR('Model inputs'!B411=FALSE,FALSE),FALSE,IF(IFERROR('Model inputs'!B412=FALSE,FALSE),FALSE,IF(OR('Model inputs'!B411="",'Model inputs'!B412=""),"",AND('Model inputs'!B411,'Model inputs'!B412))))),IF('Model inputs'!B141="","",'Model inputs'!B141),0)="",0,IF(IF(IF(IFERROR('Model inputs'!B411=FALSE,FALSE),FALSE,IF(IFERROR('Model inputs'!B412=FALSE,FALSE),FALSE,IF(OR('Model inputs'!B411="",'Model inputs'!B412=""),"",AND('Model inputs'!B411,'Model inputs'!B412))))="",FALSE,IF(IFERROR('Model inputs'!B411=FALSE,FALSE),FALSE,IF(IFERROR('Model inputs'!B412=FALSE,FALSE),FALSE,IF(OR('Model inputs'!B411="",'Model inputs'!B412=""),"",AND('Model inputs'!B411,'Model inputs'!B412))))),IF('Model inputs'!B141="","",'Model inputs'!B141),0))</f>
        <v>40</v>
      </c>
      <c r="H35" s="9">
        <f>'Model inputs'!B129*IF(IF(IF(IF(IFERROR('Model inputs'!B414=FALSE,FALSE),FALSE,IF(IFERROR('Model inputs'!B415=FALSE,FALSE),FALSE,IF(OR('Model inputs'!B414="",'Model inputs'!B415=""),"",AND('Model inputs'!B414,'Model inputs'!B415))))="",FALSE,IF(IFERROR('Model inputs'!B414=FALSE,FALSE),FALSE,IF(IFERROR('Model inputs'!B415=FALSE,FALSE),FALSE,IF(OR('Model inputs'!B414="",'Model inputs'!B415=""),"",AND('Model inputs'!B414,'Model inputs'!B415))))),IF('Model inputs'!B141="","",'Model inputs'!B141),0)="",0,IF(IF(IF(IFERROR('Model inputs'!B414=FALSE,FALSE),FALSE,IF(IFERROR('Model inputs'!B415=FALSE,FALSE),FALSE,IF(OR('Model inputs'!B414="",'Model inputs'!B415=""),"",AND('Model inputs'!B414,'Model inputs'!B415))))="",FALSE,IF(IFERROR('Model inputs'!B414=FALSE,FALSE),FALSE,IF(IFERROR('Model inputs'!B415=FALSE,FALSE),FALSE,IF(OR('Model inputs'!B414="",'Model inputs'!B415=""),"",AND('Model inputs'!B414,'Model inputs'!B415))))),IF('Model inputs'!B141="","",'Model inputs'!B141),0))</f>
        <v>40</v>
      </c>
      <c r="I35" s="9">
        <f>'Model inputs'!B129*IF(IF(IF(IF(IFERROR('Model inputs'!B417=FALSE,FALSE),FALSE,IF(IFERROR('Model inputs'!B418=FALSE,FALSE),FALSE,IF(OR('Model inputs'!B417="",'Model inputs'!B418=""),"",AND('Model inputs'!B417,'Model inputs'!B418))))="",FALSE,IF(IFERROR('Model inputs'!B417=FALSE,FALSE),FALSE,IF(IFERROR('Model inputs'!B418=FALSE,FALSE),FALSE,IF(OR('Model inputs'!B417="",'Model inputs'!B418=""),"",AND('Model inputs'!B417,'Model inputs'!B418))))),IF('Model inputs'!B141="","",'Model inputs'!B141),0)="",0,IF(IF(IF(IFERROR('Model inputs'!B417=FALSE,FALSE),FALSE,IF(IFERROR('Model inputs'!B418=FALSE,FALSE),FALSE,IF(OR('Model inputs'!B417="",'Model inputs'!B418=""),"",AND('Model inputs'!B417,'Model inputs'!B418))))="",FALSE,IF(IFERROR('Model inputs'!B417=FALSE,FALSE),FALSE,IF(IFERROR('Model inputs'!B418=FALSE,FALSE),FALSE,IF(OR('Model inputs'!B417="",'Model inputs'!B418=""),"",AND('Model inputs'!B417,'Model inputs'!B418))))),IF('Model inputs'!B141="","",'Model inputs'!B141),0))</f>
        <v>40</v>
      </c>
      <c r="J35" s="9">
        <f>'Model inputs'!B129*IF(IF(IF(IF(IFERROR('Model inputs'!B420=FALSE,FALSE),FALSE,IF(IFERROR('Model inputs'!B421=FALSE,FALSE),FALSE,IF(OR('Model inputs'!B420="",'Model inputs'!B421=""),"",AND('Model inputs'!B420,'Model inputs'!B421))))="",FALSE,IF(IFERROR('Model inputs'!B420=FALSE,FALSE),FALSE,IF(IFERROR('Model inputs'!B421=FALSE,FALSE),FALSE,IF(OR('Model inputs'!B420="",'Model inputs'!B421=""),"",AND('Model inputs'!B420,'Model inputs'!B421))))),IF('Model inputs'!B141="","",'Model inputs'!B141),0)="",0,IF(IF(IF(IFERROR('Model inputs'!B420=FALSE,FALSE),FALSE,IF(IFERROR('Model inputs'!B421=FALSE,FALSE),FALSE,IF(OR('Model inputs'!B420="",'Model inputs'!B421=""),"",AND('Model inputs'!B420,'Model inputs'!B421))))="",FALSE,IF(IFERROR('Model inputs'!B420=FALSE,FALSE),FALSE,IF(IFERROR('Model inputs'!B421=FALSE,FALSE),FALSE,IF(OR('Model inputs'!B420="",'Model inputs'!B421=""),"",AND('Model inputs'!B420,'Model inputs'!B421))))),IF('Model inputs'!B141="","",'Model inputs'!B141),0))</f>
        <v>40</v>
      </c>
      <c r="K35" s="9">
        <f>'Model inputs'!B129*IF(IF(IF(IF(IFERROR('Model inputs'!B423=FALSE,FALSE),FALSE,IF(IFERROR('Model inputs'!B424=FALSE,FALSE),FALSE,IF(OR('Model inputs'!B423="",'Model inputs'!B424=""),"",AND('Model inputs'!B423,'Model inputs'!B424))))="",FALSE,IF(IFERROR('Model inputs'!B423=FALSE,FALSE),FALSE,IF(IFERROR('Model inputs'!B424=FALSE,FALSE),FALSE,IF(OR('Model inputs'!B423="",'Model inputs'!B424=""),"",AND('Model inputs'!B423,'Model inputs'!B424))))),IF('Model inputs'!B141="","",'Model inputs'!B141),0)="",0,IF(IF(IF(IFERROR('Model inputs'!B423=FALSE,FALSE),FALSE,IF(IFERROR('Model inputs'!B424=FALSE,FALSE),FALSE,IF(OR('Model inputs'!B423="",'Model inputs'!B424=""),"",AND('Model inputs'!B423,'Model inputs'!B424))))="",FALSE,IF(IFERROR('Model inputs'!B423=FALSE,FALSE),FALSE,IF(IFERROR('Model inputs'!B424=FALSE,FALSE),FALSE,IF(OR('Model inputs'!B423="",'Model inputs'!B424=""),"",AND('Model inputs'!B423,'Model inputs'!B424))))),IF('Model inputs'!B141="","",'Model inputs'!B141),0))</f>
        <v>40</v>
      </c>
      <c r="L35" s="9">
        <f>'Model inputs'!B129*IF(IF(IF(IF(IFERROR('Model inputs'!B426=FALSE,FALSE),FALSE,IF(IFERROR('Model inputs'!B427=FALSE,FALSE),FALSE,IF(OR('Model inputs'!B426="",'Model inputs'!B427=""),"",AND('Model inputs'!B426,'Model inputs'!B427))))="",FALSE,IF(IFERROR('Model inputs'!B426=FALSE,FALSE),FALSE,IF(IFERROR('Model inputs'!B427=FALSE,FALSE),FALSE,IF(OR('Model inputs'!B426="",'Model inputs'!B427=""),"",AND('Model inputs'!B426,'Model inputs'!B427))))),IF('Model inputs'!B141="","",'Model inputs'!B141),0)="",0,IF(IF(IF(IFERROR('Model inputs'!B426=FALSE,FALSE),FALSE,IF(IFERROR('Model inputs'!B427=FALSE,FALSE),FALSE,IF(OR('Model inputs'!B426="",'Model inputs'!B427=""),"",AND('Model inputs'!B426,'Model inputs'!B427))))="",FALSE,IF(IFERROR('Model inputs'!B426=FALSE,FALSE),FALSE,IF(IFERROR('Model inputs'!B427=FALSE,FALSE),FALSE,IF(OR('Model inputs'!B426="",'Model inputs'!B427=""),"",AND('Model inputs'!B426,'Model inputs'!B427))))),IF('Model inputs'!B141="","",'Model inputs'!B141),0))</f>
        <v>40</v>
      </c>
      <c r="M35" s="9">
        <f>'Model inputs'!B129*IF(IF(IF(IF(IFERROR('Model inputs'!B429=FALSE,FALSE),FALSE,IF(IFERROR('Model inputs'!B430=FALSE,FALSE),FALSE,IF(OR('Model inputs'!B429="",'Model inputs'!B430=""),"",AND('Model inputs'!B429,'Model inputs'!B430))))="",FALSE,IF(IFERROR('Model inputs'!B429=FALSE,FALSE),FALSE,IF(IFERROR('Model inputs'!B430=FALSE,FALSE),FALSE,IF(OR('Model inputs'!B429="",'Model inputs'!B430=""),"",AND('Model inputs'!B429,'Model inputs'!B430))))),IF('Model inputs'!B141="","",'Model inputs'!B141),0)="",0,IF(IF(IF(IFERROR('Model inputs'!B429=FALSE,FALSE),FALSE,IF(IFERROR('Model inputs'!B430=FALSE,FALSE),FALSE,IF(OR('Model inputs'!B429="",'Model inputs'!B430=""),"",AND('Model inputs'!B429,'Model inputs'!B430))))="",FALSE,IF(IFERROR('Model inputs'!B429=FALSE,FALSE),FALSE,IF(IFERROR('Model inputs'!B430=FALSE,FALSE),FALSE,IF(OR('Model inputs'!B429="",'Model inputs'!B430=""),"",AND('Model inputs'!B429,'Model inputs'!B430))))),IF('Model inputs'!B141="","",'Model inputs'!B141),0))</f>
        <v>40</v>
      </c>
      <c r="N35" s="9">
        <f>'Model inputs'!B129*IF(IF(IF(IF(IFERROR('Model inputs'!B432=FALSE,FALSE),FALSE,IF(IFERROR('Model inputs'!B433=FALSE,FALSE),FALSE,IF(OR('Model inputs'!B432="",'Model inputs'!B433=""),"",AND('Model inputs'!B432,'Model inputs'!B433))))="",FALSE,IF(IFERROR('Model inputs'!B432=FALSE,FALSE),FALSE,IF(IFERROR('Model inputs'!B433=FALSE,FALSE),FALSE,IF(OR('Model inputs'!B432="",'Model inputs'!B433=""),"",AND('Model inputs'!B432,'Model inputs'!B433))))),IF('Model inputs'!B141="","",'Model inputs'!B141),0)="",0,IF(IF(IF(IFERROR('Model inputs'!B432=FALSE,FALSE),FALSE,IF(IFERROR('Model inputs'!B433=FALSE,FALSE),FALSE,IF(OR('Model inputs'!B432="",'Model inputs'!B433=""),"",AND('Model inputs'!B432,'Model inputs'!B433))))="",FALSE,IF(IFERROR('Model inputs'!B432=FALSE,FALSE),FALSE,IF(IFERROR('Model inputs'!B433=FALSE,FALSE),FALSE,IF(OR('Model inputs'!B432="",'Model inputs'!B433=""),"",AND('Model inputs'!B432,'Model inputs'!B433))))),IF('Model inputs'!B141="","",'Model inputs'!B141),0))</f>
        <v>40</v>
      </c>
      <c r="O35" s="9">
        <f>'Model inputs'!B129*IF(IF(IF(IF(IFERROR('Model inputs'!B435=FALSE,FALSE),FALSE,IF(IFERROR('Model inputs'!B436=FALSE,FALSE),FALSE,IF(OR('Model inputs'!B435="",'Model inputs'!B436=""),"",AND('Model inputs'!B435,'Model inputs'!B436))))="",FALSE,IF(IFERROR('Model inputs'!B435=FALSE,FALSE),FALSE,IF(IFERROR('Model inputs'!B436=FALSE,FALSE),FALSE,IF(OR('Model inputs'!B435="",'Model inputs'!B436=""),"",AND('Model inputs'!B435,'Model inputs'!B436))))),IF('Model inputs'!B141="","",'Model inputs'!B141),0)="",0,IF(IF(IF(IFERROR('Model inputs'!B435=FALSE,FALSE),FALSE,IF(IFERROR('Model inputs'!B436=FALSE,FALSE),FALSE,IF(OR('Model inputs'!B435="",'Model inputs'!B436=""),"",AND('Model inputs'!B435,'Model inputs'!B436))))="",FALSE,IF(IFERROR('Model inputs'!B435=FALSE,FALSE),FALSE,IF(IFERROR('Model inputs'!B436=FALSE,FALSE),FALSE,IF(OR('Model inputs'!B435="",'Model inputs'!B436=""),"",AND('Model inputs'!B435,'Model inputs'!B436))))),IF('Model inputs'!B141="","",'Model inputs'!B141),0))</f>
        <v>40</v>
      </c>
      <c r="P35" s="9">
        <f>'Model inputs'!B129*IF(IF(IF(IF(IFERROR('Model inputs'!B438=FALSE,FALSE),FALSE,IF(IFERROR('Model inputs'!B439=FALSE,FALSE),FALSE,IF(OR('Model inputs'!B438="",'Model inputs'!B439=""),"",AND('Model inputs'!B438,'Model inputs'!B439))))="",FALSE,IF(IFERROR('Model inputs'!B438=FALSE,FALSE),FALSE,IF(IFERROR('Model inputs'!B439=FALSE,FALSE),FALSE,IF(OR('Model inputs'!B438="",'Model inputs'!B439=""),"",AND('Model inputs'!B438,'Model inputs'!B439))))),IF('Model inputs'!B141="","",'Model inputs'!B141),0)="",0,IF(IF(IF(IFERROR('Model inputs'!B438=FALSE,FALSE),FALSE,IF(IFERROR('Model inputs'!B439=FALSE,FALSE),FALSE,IF(OR('Model inputs'!B438="",'Model inputs'!B439=""),"",AND('Model inputs'!B438,'Model inputs'!B439))))="",FALSE,IF(IFERROR('Model inputs'!B438=FALSE,FALSE),FALSE,IF(IFERROR('Model inputs'!B439=FALSE,FALSE),FALSE,IF(OR('Model inputs'!B438="",'Model inputs'!B439=""),"",AND('Model inputs'!B438,'Model inputs'!B439))))),IF('Model inputs'!B141="","",'Model inputs'!B141),0))</f>
        <v>40</v>
      </c>
      <c r="Q35" s="9">
        <f>'Model inputs'!B129*IF(IF(IF(IF(IFERROR('Model inputs'!B441=FALSE,FALSE),FALSE,IF(IFERROR('Model inputs'!B442=FALSE,FALSE),FALSE,IF(OR('Model inputs'!B441="",'Model inputs'!B442=""),"",AND('Model inputs'!B441,'Model inputs'!B442))))="",FALSE,IF(IFERROR('Model inputs'!B441=FALSE,FALSE),FALSE,IF(IFERROR('Model inputs'!B442=FALSE,FALSE),FALSE,IF(OR('Model inputs'!B441="",'Model inputs'!B442=""),"",AND('Model inputs'!B441,'Model inputs'!B442))))),IF('Model inputs'!B141="","",'Model inputs'!B141),0)="",0,IF(IF(IF(IFERROR('Model inputs'!B441=FALSE,FALSE),FALSE,IF(IFERROR('Model inputs'!B442=FALSE,FALSE),FALSE,IF(OR('Model inputs'!B441="",'Model inputs'!B442=""),"",AND('Model inputs'!B441,'Model inputs'!B442))))="",FALSE,IF(IFERROR('Model inputs'!B441=FALSE,FALSE),FALSE,IF(IFERROR('Model inputs'!B442=FALSE,FALSE),FALSE,IF(OR('Model inputs'!B441="",'Model inputs'!B442=""),"",AND('Model inputs'!B441,'Model inputs'!B442))))),IF('Model inputs'!B141="","",'Model inputs'!B141),0))</f>
        <v>40</v>
      </c>
      <c r="R35" s="9">
        <f>'Model inputs'!B129*IF(IF(IF(IF(IFERROR('Model inputs'!B444=FALSE,FALSE),FALSE,IF(IFERROR('Model inputs'!B445=FALSE,FALSE),FALSE,IF(OR('Model inputs'!B444="",'Model inputs'!B445=""),"",AND('Model inputs'!B444,'Model inputs'!B445))))="",FALSE,IF(IFERROR('Model inputs'!B444=FALSE,FALSE),FALSE,IF(IFERROR('Model inputs'!B445=FALSE,FALSE),FALSE,IF(OR('Model inputs'!B444="",'Model inputs'!B445=""),"",AND('Model inputs'!B444,'Model inputs'!B445))))),IF('Model inputs'!B141="","",'Model inputs'!B141),0)="",0,IF(IF(IF(IFERROR('Model inputs'!B444=FALSE,FALSE),FALSE,IF(IFERROR('Model inputs'!B445=FALSE,FALSE),FALSE,IF(OR('Model inputs'!B444="",'Model inputs'!B445=""),"",AND('Model inputs'!B444,'Model inputs'!B445))))="",FALSE,IF(IFERROR('Model inputs'!B444=FALSE,FALSE),FALSE,IF(IFERROR('Model inputs'!B445=FALSE,FALSE),FALSE,IF(OR('Model inputs'!B444="",'Model inputs'!B445=""),"",AND('Model inputs'!B444,'Model inputs'!B445))))),IF('Model inputs'!B141="","",'Model inputs'!B141),0))</f>
        <v>40</v>
      </c>
      <c r="S35" s="9">
        <f>'Model inputs'!B129*IF(IF(IF(IF(IFERROR('Model inputs'!B447=FALSE,FALSE),FALSE,IF(IFERROR('Model inputs'!B448=FALSE,FALSE),FALSE,IF(OR('Model inputs'!B447="",'Model inputs'!B448=""),"",AND('Model inputs'!B447,'Model inputs'!B448))))="",FALSE,IF(IFERROR('Model inputs'!B447=FALSE,FALSE),FALSE,IF(IFERROR('Model inputs'!B448=FALSE,FALSE),FALSE,IF(OR('Model inputs'!B447="",'Model inputs'!B448=""),"",AND('Model inputs'!B447,'Model inputs'!B448))))),IF('Model inputs'!B141="","",'Model inputs'!B141),0)="",0,IF(IF(IF(IFERROR('Model inputs'!B447=FALSE,FALSE),FALSE,IF(IFERROR('Model inputs'!B448=FALSE,FALSE),FALSE,IF(OR('Model inputs'!B447="",'Model inputs'!B448=""),"",AND('Model inputs'!B447,'Model inputs'!B448))))="",FALSE,IF(IFERROR('Model inputs'!B447=FALSE,FALSE),FALSE,IF(IFERROR('Model inputs'!B448=FALSE,FALSE),FALSE,IF(OR('Model inputs'!B447="",'Model inputs'!B448=""),"",AND('Model inputs'!B447,'Model inputs'!B448))))),IF('Model inputs'!B141="","",'Model inputs'!B141),0))</f>
        <v>40</v>
      </c>
      <c r="T35" s="9">
        <f>'Model inputs'!B129*IF(IF(IF(IF(IFERROR('Model inputs'!B450=FALSE,FALSE),FALSE,IF(IFERROR('Model inputs'!B451=FALSE,FALSE),FALSE,IF(OR('Model inputs'!B450="",'Model inputs'!B451=""),"",AND('Model inputs'!B450,'Model inputs'!B451))))="",FALSE,IF(IFERROR('Model inputs'!B450=FALSE,FALSE),FALSE,IF(IFERROR('Model inputs'!B451=FALSE,FALSE),FALSE,IF(OR('Model inputs'!B450="",'Model inputs'!B451=""),"",AND('Model inputs'!B450,'Model inputs'!B451))))),IF('Model inputs'!B141="","",'Model inputs'!B141),0)="",0,IF(IF(IF(IFERROR('Model inputs'!B450=FALSE,FALSE),FALSE,IF(IFERROR('Model inputs'!B451=FALSE,FALSE),FALSE,IF(OR('Model inputs'!B450="",'Model inputs'!B451=""),"",AND('Model inputs'!B450,'Model inputs'!B451))))="",FALSE,IF(IFERROR('Model inputs'!B450=FALSE,FALSE),FALSE,IF(IFERROR('Model inputs'!B451=FALSE,FALSE),FALSE,IF(OR('Model inputs'!B450="",'Model inputs'!B451=""),"",AND('Model inputs'!B450,'Model inputs'!B451))))),IF('Model inputs'!B141="","",'Model inputs'!B141),0))</f>
        <v>40</v>
      </c>
      <c r="U35" s="9">
        <f>'Model inputs'!B129*IF(IF(IF(IF(IFERROR('Model inputs'!B453=FALSE,FALSE),FALSE,IF(IFERROR('Model inputs'!B454=FALSE,FALSE),FALSE,IF(OR('Model inputs'!B453="",'Model inputs'!B454=""),"",AND('Model inputs'!B453,'Model inputs'!B454))))="",FALSE,IF(IFERROR('Model inputs'!B453=FALSE,FALSE),FALSE,IF(IFERROR('Model inputs'!B454=FALSE,FALSE),FALSE,IF(OR('Model inputs'!B453="",'Model inputs'!B454=""),"",AND('Model inputs'!B453,'Model inputs'!B454))))),IF('Model inputs'!B141="","",'Model inputs'!B141),0)="",0,IF(IF(IF(IFERROR('Model inputs'!B453=FALSE,FALSE),FALSE,IF(IFERROR('Model inputs'!B454=FALSE,FALSE),FALSE,IF(OR('Model inputs'!B453="",'Model inputs'!B454=""),"",AND('Model inputs'!B453,'Model inputs'!B454))))="",FALSE,IF(IFERROR('Model inputs'!B453=FALSE,FALSE),FALSE,IF(IFERROR('Model inputs'!B454=FALSE,FALSE),FALSE,IF(OR('Model inputs'!B453="",'Model inputs'!B454=""),"",AND('Model inputs'!B453,'Model inputs'!B454))))),IF('Model inputs'!B141="","",'Model inputs'!B141),0))</f>
        <v>40</v>
      </c>
      <c r="V35" s="9">
        <f>'Model inputs'!B129*IF(IF(IF(IF(IFERROR('Model inputs'!B456=FALSE,FALSE),FALSE,IF(IFERROR('Model inputs'!B457=FALSE,FALSE),FALSE,IF(OR('Model inputs'!B456="",'Model inputs'!B457=""),"",AND('Model inputs'!B456,'Model inputs'!B457))))="",FALSE,IF(IFERROR('Model inputs'!B456=FALSE,FALSE),FALSE,IF(IFERROR('Model inputs'!B457=FALSE,FALSE),FALSE,IF(OR('Model inputs'!B456="",'Model inputs'!B457=""),"",AND('Model inputs'!B456,'Model inputs'!B457))))),IF('Model inputs'!B141="","",'Model inputs'!B141),0)="",0,IF(IF(IF(IFERROR('Model inputs'!B456=FALSE,FALSE),FALSE,IF(IFERROR('Model inputs'!B457=FALSE,FALSE),FALSE,IF(OR('Model inputs'!B456="",'Model inputs'!B457=""),"",AND('Model inputs'!B456,'Model inputs'!B457))))="",FALSE,IF(IFERROR('Model inputs'!B456=FALSE,FALSE),FALSE,IF(IFERROR('Model inputs'!B457=FALSE,FALSE),FALSE,IF(OR('Model inputs'!B456="",'Model inputs'!B457=""),"",AND('Model inputs'!B456,'Model inputs'!B457))))),IF('Model inputs'!B141="","",'Model inputs'!B141),0))</f>
        <v>40</v>
      </c>
    </row>
    <row r="36" outlineLevel="1">
      <c r="A36" t="inlineStr" s="18">
        <is>
          <t xml:space="preserve">Opex &gt; Entire cloud workspace</t>
        </is>
      </c>
      <c r="C36" s="9">
        <f>'Model inputs'!B130*IF(IF(IF(IF(IFERROR('Model inputs'!B459=FALSE,FALSE),FALSE,IF(IFERROR('Model inputs'!B460=FALSE,FALSE),FALSE,IF(OR('Model inputs'!B459="",'Model inputs'!B460=""),"",AND('Model inputs'!B459,'Model inputs'!B460))))="",FALSE,IF(IFERROR('Model inputs'!B459=FALSE,FALSE),FALSE,IF(IFERROR('Model inputs'!B460=FALSE,FALSE),FALSE,IF(OR('Model inputs'!B459="",'Model inputs'!B460=""),"",AND('Model inputs'!B459,'Model inputs'!B460))))),IF('Model inputs'!B142="","",'Model inputs'!B142),0)="",0,IF(IF(IF(IFERROR('Model inputs'!B459=FALSE,FALSE),FALSE,IF(IFERROR('Model inputs'!B460=FALSE,FALSE),FALSE,IF(OR('Model inputs'!B459="",'Model inputs'!B460=""),"",AND('Model inputs'!B459,'Model inputs'!B460))))="",FALSE,IF(IFERROR('Model inputs'!B459=FALSE,FALSE),FALSE,IF(IFERROR('Model inputs'!B460=FALSE,FALSE),FALSE,IF(OR('Model inputs'!B459="",'Model inputs'!B460=""),"",AND('Model inputs'!B459,'Model inputs'!B460))))),IF('Model inputs'!B142="","",'Model inputs'!B142),0))</f>
        <v>0</v>
      </c>
      <c r="D36" s="9">
        <f>'Model inputs'!B130*IF(IF(IF(IF(IFERROR('Model inputs'!B462=FALSE,FALSE),FALSE,IF(IFERROR('Model inputs'!B463=FALSE,FALSE),FALSE,IF(OR('Model inputs'!B462="",'Model inputs'!B463=""),"",AND('Model inputs'!B462,'Model inputs'!B463))))="",FALSE,IF(IFERROR('Model inputs'!B462=FALSE,FALSE),FALSE,IF(IFERROR('Model inputs'!B463=FALSE,FALSE),FALSE,IF(OR('Model inputs'!B462="",'Model inputs'!B463=""),"",AND('Model inputs'!B462,'Model inputs'!B463))))),IF('Model inputs'!B142="","",'Model inputs'!B142),0)="",0,IF(IF(IF(IFERROR('Model inputs'!B462=FALSE,FALSE),FALSE,IF(IFERROR('Model inputs'!B463=FALSE,FALSE),FALSE,IF(OR('Model inputs'!B462="",'Model inputs'!B463=""),"",AND('Model inputs'!B462,'Model inputs'!B463))))="",FALSE,IF(IFERROR('Model inputs'!B462=FALSE,FALSE),FALSE,IF(IFERROR('Model inputs'!B463=FALSE,FALSE),FALSE,IF(OR('Model inputs'!B462="",'Model inputs'!B463=""),"",AND('Model inputs'!B462,'Model inputs'!B463))))),IF('Model inputs'!B142="","",'Model inputs'!B142),0))</f>
        <v>0</v>
      </c>
      <c r="E36" s="9">
        <f>'Model inputs'!B130*IF(IF(IF(IF(IFERROR('Model inputs'!B465=FALSE,FALSE),FALSE,IF(IFERROR('Model inputs'!B466=FALSE,FALSE),FALSE,IF(OR('Model inputs'!B465="",'Model inputs'!B466=""),"",AND('Model inputs'!B465,'Model inputs'!B466))))="",FALSE,IF(IFERROR('Model inputs'!B465=FALSE,FALSE),FALSE,IF(IFERROR('Model inputs'!B466=FALSE,FALSE),FALSE,IF(OR('Model inputs'!B465="",'Model inputs'!B466=""),"",AND('Model inputs'!B465,'Model inputs'!B466))))),IF('Model inputs'!B142="","",'Model inputs'!B142),0)="",0,IF(IF(IF(IFERROR('Model inputs'!B465=FALSE,FALSE),FALSE,IF(IFERROR('Model inputs'!B466=FALSE,FALSE),FALSE,IF(OR('Model inputs'!B465="",'Model inputs'!B466=""),"",AND('Model inputs'!B465,'Model inputs'!B466))))="",FALSE,IF(IFERROR('Model inputs'!B465=FALSE,FALSE),FALSE,IF(IFERROR('Model inputs'!B466=FALSE,FALSE),FALSE,IF(OR('Model inputs'!B465="",'Model inputs'!B466=""),"",AND('Model inputs'!B465,'Model inputs'!B466))))),IF('Model inputs'!B142="","",'Model inputs'!B142),0))</f>
        <v>0</v>
      </c>
      <c r="F36" s="9">
        <f>'Model inputs'!B130*IF(IF(IF(IF(IFERROR('Model inputs'!B468=FALSE,FALSE),FALSE,IF(IFERROR('Model inputs'!B469=FALSE,FALSE),FALSE,IF(OR('Model inputs'!B468="",'Model inputs'!B469=""),"",AND('Model inputs'!B468,'Model inputs'!B469))))="",FALSE,IF(IFERROR('Model inputs'!B468=FALSE,FALSE),FALSE,IF(IFERROR('Model inputs'!B469=FALSE,FALSE),FALSE,IF(OR('Model inputs'!B468="",'Model inputs'!B469=""),"",AND('Model inputs'!B468,'Model inputs'!B469))))),IF('Model inputs'!B142="","",'Model inputs'!B142),0)="",0,IF(IF(IF(IFERROR('Model inputs'!B468=FALSE,FALSE),FALSE,IF(IFERROR('Model inputs'!B469=FALSE,FALSE),FALSE,IF(OR('Model inputs'!B468="",'Model inputs'!B469=""),"",AND('Model inputs'!B468,'Model inputs'!B469))))="",FALSE,IF(IFERROR('Model inputs'!B468=FALSE,FALSE),FALSE,IF(IFERROR('Model inputs'!B469=FALSE,FALSE),FALSE,IF(OR('Model inputs'!B468="",'Model inputs'!B469=""),"",AND('Model inputs'!B468,'Model inputs'!B469))))),IF('Model inputs'!B142="","",'Model inputs'!B142),0))</f>
        <v>0</v>
      </c>
      <c r="G36" s="9">
        <f>'Model inputs'!B130*IF(IF(IF(IF(IFERROR('Model inputs'!B471=FALSE,FALSE),FALSE,IF(IFERROR('Model inputs'!B472=FALSE,FALSE),FALSE,IF(OR('Model inputs'!B471="",'Model inputs'!B472=""),"",AND('Model inputs'!B471,'Model inputs'!B472))))="",FALSE,IF(IFERROR('Model inputs'!B471=FALSE,FALSE),FALSE,IF(IFERROR('Model inputs'!B472=FALSE,FALSE),FALSE,IF(OR('Model inputs'!B471="",'Model inputs'!B472=""),"",AND('Model inputs'!B471,'Model inputs'!B472))))),IF('Model inputs'!B142="","",'Model inputs'!B142),0)="",0,IF(IF(IF(IFERROR('Model inputs'!B471=FALSE,FALSE),FALSE,IF(IFERROR('Model inputs'!B472=FALSE,FALSE),FALSE,IF(OR('Model inputs'!B471="",'Model inputs'!B472=""),"",AND('Model inputs'!B471,'Model inputs'!B472))))="",FALSE,IF(IFERROR('Model inputs'!B471=FALSE,FALSE),FALSE,IF(IFERROR('Model inputs'!B472=FALSE,FALSE),FALSE,IF(OR('Model inputs'!B471="",'Model inputs'!B472=""),"",AND('Model inputs'!B471,'Model inputs'!B472))))),IF('Model inputs'!B142="","",'Model inputs'!B142),0))</f>
        <v>0</v>
      </c>
      <c r="H36" s="9">
        <f>'Model inputs'!B130*IF(IF(IF(IF(IFERROR('Model inputs'!B474=FALSE,FALSE),FALSE,IF(IFERROR('Model inputs'!B475=FALSE,FALSE),FALSE,IF(OR('Model inputs'!B474="",'Model inputs'!B475=""),"",AND('Model inputs'!B474,'Model inputs'!B475))))="",FALSE,IF(IFERROR('Model inputs'!B474=FALSE,FALSE),FALSE,IF(IFERROR('Model inputs'!B475=FALSE,FALSE),FALSE,IF(OR('Model inputs'!B474="",'Model inputs'!B475=""),"",AND('Model inputs'!B474,'Model inputs'!B475))))),IF('Model inputs'!B142="","",'Model inputs'!B142),0)="",0,IF(IF(IF(IFERROR('Model inputs'!B474=FALSE,FALSE),FALSE,IF(IFERROR('Model inputs'!B475=FALSE,FALSE),FALSE,IF(OR('Model inputs'!B474="",'Model inputs'!B475=""),"",AND('Model inputs'!B474,'Model inputs'!B475))))="",FALSE,IF(IFERROR('Model inputs'!B474=FALSE,FALSE),FALSE,IF(IFERROR('Model inputs'!B475=FALSE,FALSE),FALSE,IF(OR('Model inputs'!B474="",'Model inputs'!B475=""),"",AND('Model inputs'!B474,'Model inputs'!B475))))),IF('Model inputs'!B142="","",'Model inputs'!B142),0))</f>
        <v>0</v>
      </c>
      <c r="I36" s="9">
        <f>'Model inputs'!B130*IF(IF(IF(IF(IFERROR('Model inputs'!B477=FALSE,FALSE),FALSE,IF(IFERROR('Model inputs'!B478=FALSE,FALSE),FALSE,IF(OR('Model inputs'!B477="",'Model inputs'!B478=""),"",AND('Model inputs'!B477,'Model inputs'!B478))))="",FALSE,IF(IFERROR('Model inputs'!B477=FALSE,FALSE),FALSE,IF(IFERROR('Model inputs'!B478=FALSE,FALSE),FALSE,IF(OR('Model inputs'!B477="",'Model inputs'!B478=""),"",AND('Model inputs'!B477,'Model inputs'!B478))))),IF('Model inputs'!B142="","",'Model inputs'!B142),0)="",0,IF(IF(IF(IFERROR('Model inputs'!B477=FALSE,FALSE),FALSE,IF(IFERROR('Model inputs'!B478=FALSE,FALSE),FALSE,IF(OR('Model inputs'!B477="",'Model inputs'!B478=""),"",AND('Model inputs'!B477,'Model inputs'!B478))))="",FALSE,IF(IFERROR('Model inputs'!B477=FALSE,FALSE),FALSE,IF(IFERROR('Model inputs'!B478=FALSE,FALSE),FALSE,IF(OR('Model inputs'!B477="",'Model inputs'!B478=""),"",AND('Model inputs'!B477,'Model inputs'!B478))))),IF('Model inputs'!B142="","",'Model inputs'!B142),0))</f>
        <v>200</v>
      </c>
      <c r="J36" s="9">
        <f>'Model inputs'!B130*IF(IF(IF(IF(IFERROR('Model inputs'!B480=FALSE,FALSE),FALSE,IF(IFERROR('Model inputs'!B481=FALSE,FALSE),FALSE,IF(OR('Model inputs'!B480="",'Model inputs'!B481=""),"",AND('Model inputs'!B480,'Model inputs'!B481))))="",FALSE,IF(IFERROR('Model inputs'!B480=FALSE,FALSE),FALSE,IF(IFERROR('Model inputs'!B481=FALSE,FALSE),FALSE,IF(OR('Model inputs'!B480="",'Model inputs'!B481=""),"",AND('Model inputs'!B480,'Model inputs'!B481))))),IF('Model inputs'!B142="","",'Model inputs'!B142),0)="",0,IF(IF(IF(IFERROR('Model inputs'!B480=FALSE,FALSE),FALSE,IF(IFERROR('Model inputs'!B481=FALSE,FALSE),FALSE,IF(OR('Model inputs'!B480="",'Model inputs'!B481=""),"",AND('Model inputs'!B480,'Model inputs'!B481))))="",FALSE,IF(IFERROR('Model inputs'!B480=FALSE,FALSE),FALSE,IF(IFERROR('Model inputs'!B481=FALSE,FALSE),FALSE,IF(OR('Model inputs'!B480="",'Model inputs'!B481=""),"",AND('Model inputs'!B480,'Model inputs'!B481))))),IF('Model inputs'!B142="","",'Model inputs'!B142),0))</f>
        <v>200</v>
      </c>
      <c r="K36" s="9">
        <f>'Model inputs'!B130*IF(IF(IF(IF(IFERROR('Model inputs'!B483=FALSE,FALSE),FALSE,IF(IFERROR('Model inputs'!B484=FALSE,FALSE),FALSE,IF(OR('Model inputs'!B483="",'Model inputs'!B484=""),"",AND('Model inputs'!B483,'Model inputs'!B484))))="",FALSE,IF(IFERROR('Model inputs'!B483=FALSE,FALSE),FALSE,IF(IFERROR('Model inputs'!B484=FALSE,FALSE),FALSE,IF(OR('Model inputs'!B483="",'Model inputs'!B484=""),"",AND('Model inputs'!B483,'Model inputs'!B484))))),IF('Model inputs'!B142="","",'Model inputs'!B142),0)="",0,IF(IF(IF(IFERROR('Model inputs'!B483=FALSE,FALSE),FALSE,IF(IFERROR('Model inputs'!B484=FALSE,FALSE),FALSE,IF(OR('Model inputs'!B483="",'Model inputs'!B484=""),"",AND('Model inputs'!B483,'Model inputs'!B484))))="",FALSE,IF(IFERROR('Model inputs'!B483=FALSE,FALSE),FALSE,IF(IFERROR('Model inputs'!B484=FALSE,FALSE),FALSE,IF(OR('Model inputs'!B483="",'Model inputs'!B484=""),"",AND('Model inputs'!B483,'Model inputs'!B484))))),IF('Model inputs'!B142="","",'Model inputs'!B142),0))</f>
        <v>200</v>
      </c>
      <c r="L36" s="9">
        <f>'Model inputs'!B130*IF(IF(IF(IF(IFERROR('Model inputs'!B486=FALSE,FALSE),FALSE,IF(IFERROR('Model inputs'!B487=FALSE,FALSE),FALSE,IF(OR('Model inputs'!B486="",'Model inputs'!B487=""),"",AND('Model inputs'!B486,'Model inputs'!B487))))="",FALSE,IF(IFERROR('Model inputs'!B486=FALSE,FALSE),FALSE,IF(IFERROR('Model inputs'!B487=FALSE,FALSE),FALSE,IF(OR('Model inputs'!B486="",'Model inputs'!B487=""),"",AND('Model inputs'!B486,'Model inputs'!B487))))),IF('Model inputs'!B142="","",'Model inputs'!B142),0)="",0,IF(IF(IF(IFERROR('Model inputs'!B486=FALSE,FALSE),FALSE,IF(IFERROR('Model inputs'!B487=FALSE,FALSE),FALSE,IF(OR('Model inputs'!B486="",'Model inputs'!B487=""),"",AND('Model inputs'!B486,'Model inputs'!B487))))="",FALSE,IF(IFERROR('Model inputs'!B486=FALSE,FALSE),FALSE,IF(IFERROR('Model inputs'!B487=FALSE,FALSE),FALSE,IF(OR('Model inputs'!B486="",'Model inputs'!B487=""),"",AND('Model inputs'!B486,'Model inputs'!B487))))),IF('Model inputs'!B142="","",'Model inputs'!B142),0))</f>
        <v>200</v>
      </c>
      <c r="M36" s="9">
        <f>'Model inputs'!B130*IF(IF(IF(IF(IFERROR('Model inputs'!B489=FALSE,FALSE),FALSE,IF(IFERROR('Model inputs'!B490=FALSE,FALSE),FALSE,IF(OR('Model inputs'!B489="",'Model inputs'!B490=""),"",AND('Model inputs'!B489,'Model inputs'!B490))))="",FALSE,IF(IFERROR('Model inputs'!B489=FALSE,FALSE),FALSE,IF(IFERROR('Model inputs'!B490=FALSE,FALSE),FALSE,IF(OR('Model inputs'!B489="",'Model inputs'!B490=""),"",AND('Model inputs'!B489,'Model inputs'!B490))))),IF('Model inputs'!B142="","",'Model inputs'!B142),0)="",0,IF(IF(IF(IFERROR('Model inputs'!B489=FALSE,FALSE),FALSE,IF(IFERROR('Model inputs'!B490=FALSE,FALSE),FALSE,IF(OR('Model inputs'!B489="",'Model inputs'!B490=""),"",AND('Model inputs'!B489,'Model inputs'!B490))))="",FALSE,IF(IFERROR('Model inputs'!B489=FALSE,FALSE),FALSE,IF(IFERROR('Model inputs'!B490=FALSE,FALSE),FALSE,IF(OR('Model inputs'!B489="",'Model inputs'!B490=""),"",AND('Model inputs'!B489,'Model inputs'!B490))))),IF('Model inputs'!B142="","",'Model inputs'!B142),0))</f>
        <v>200</v>
      </c>
      <c r="N36" s="9">
        <f>'Model inputs'!B130*IF(IF(IF(IF(IFERROR('Model inputs'!B492=FALSE,FALSE),FALSE,IF(IFERROR('Model inputs'!B493=FALSE,FALSE),FALSE,IF(OR('Model inputs'!B492="",'Model inputs'!B493=""),"",AND('Model inputs'!B492,'Model inputs'!B493))))="",FALSE,IF(IFERROR('Model inputs'!B492=FALSE,FALSE),FALSE,IF(IFERROR('Model inputs'!B493=FALSE,FALSE),FALSE,IF(OR('Model inputs'!B492="",'Model inputs'!B493=""),"",AND('Model inputs'!B492,'Model inputs'!B493))))),IF('Model inputs'!B142="","",'Model inputs'!B142),0)="",0,IF(IF(IF(IFERROR('Model inputs'!B492=FALSE,FALSE),FALSE,IF(IFERROR('Model inputs'!B493=FALSE,FALSE),FALSE,IF(OR('Model inputs'!B492="",'Model inputs'!B493=""),"",AND('Model inputs'!B492,'Model inputs'!B493))))="",FALSE,IF(IFERROR('Model inputs'!B492=FALSE,FALSE),FALSE,IF(IFERROR('Model inputs'!B493=FALSE,FALSE),FALSE,IF(OR('Model inputs'!B492="",'Model inputs'!B493=""),"",AND('Model inputs'!B492,'Model inputs'!B493))))),IF('Model inputs'!B142="","",'Model inputs'!B142),0))</f>
        <v>200</v>
      </c>
      <c r="O36" s="9">
        <f>'Model inputs'!B130*IF(IF(IF(IF(IFERROR('Model inputs'!B495=FALSE,FALSE),FALSE,IF(IFERROR('Model inputs'!B496=FALSE,FALSE),FALSE,IF(OR('Model inputs'!B495="",'Model inputs'!B496=""),"",AND('Model inputs'!B495,'Model inputs'!B496))))="",FALSE,IF(IFERROR('Model inputs'!B495=FALSE,FALSE),FALSE,IF(IFERROR('Model inputs'!B496=FALSE,FALSE),FALSE,IF(OR('Model inputs'!B495="",'Model inputs'!B496=""),"",AND('Model inputs'!B495,'Model inputs'!B496))))),IF('Model inputs'!B142="","",'Model inputs'!B142),0)="",0,IF(IF(IF(IFERROR('Model inputs'!B495=FALSE,FALSE),FALSE,IF(IFERROR('Model inputs'!B496=FALSE,FALSE),FALSE,IF(OR('Model inputs'!B495="",'Model inputs'!B496=""),"",AND('Model inputs'!B495,'Model inputs'!B496))))="",FALSE,IF(IFERROR('Model inputs'!B495=FALSE,FALSE),FALSE,IF(IFERROR('Model inputs'!B496=FALSE,FALSE),FALSE,IF(OR('Model inputs'!B495="",'Model inputs'!B496=""),"",AND('Model inputs'!B495,'Model inputs'!B496))))),IF('Model inputs'!B142="","",'Model inputs'!B142),0))</f>
        <v>200</v>
      </c>
      <c r="P36" s="9">
        <f>'Model inputs'!B130*IF(IF(IF(IF(IFERROR('Model inputs'!B498=FALSE,FALSE),FALSE,IF(IFERROR('Model inputs'!B499=FALSE,FALSE),FALSE,IF(OR('Model inputs'!B498="",'Model inputs'!B499=""),"",AND('Model inputs'!B498,'Model inputs'!B499))))="",FALSE,IF(IFERROR('Model inputs'!B498=FALSE,FALSE),FALSE,IF(IFERROR('Model inputs'!B499=FALSE,FALSE),FALSE,IF(OR('Model inputs'!B498="",'Model inputs'!B499=""),"",AND('Model inputs'!B498,'Model inputs'!B499))))),IF('Model inputs'!B142="","",'Model inputs'!B142),0)="",0,IF(IF(IF(IFERROR('Model inputs'!B498=FALSE,FALSE),FALSE,IF(IFERROR('Model inputs'!B499=FALSE,FALSE),FALSE,IF(OR('Model inputs'!B498="",'Model inputs'!B499=""),"",AND('Model inputs'!B498,'Model inputs'!B499))))="",FALSE,IF(IFERROR('Model inputs'!B498=FALSE,FALSE),FALSE,IF(IFERROR('Model inputs'!B499=FALSE,FALSE),FALSE,IF(OR('Model inputs'!B498="",'Model inputs'!B499=""),"",AND('Model inputs'!B498,'Model inputs'!B499))))),IF('Model inputs'!B142="","",'Model inputs'!B142),0))</f>
        <v>200</v>
      </c>
      <c r="Q36" s="9">
        <f>'Model inputs'!B130*IF(IF(IF(IF(IFERROR('Model inputs'!B501=FALSE,FALSE),FALSE,IF(IFERROR('Model inputs'!B502=FALSE,FALSE),FALSE,IF(OR('Model inputs'!B501="",'Model inputs'!B502=""),"",AND('Model inputs'!B501,'Model inputs'!B502))))="",FALSE,IF(IFERROR('Model inputs'!B501=FALSE,FALSE),FALSE,IF(IFERROR('Model inputs'!B502=FALSE,FALSE),FALSE,IF(OR('Model inputs'!B501="",'Model inputs'!B502=""),"",AND('Model inputs'!B501,'Model inputs'!B502))))),IF('Model inputs'!B142="","",'Model inputs'!B142),0)="",0,IF(IF(IF(IFERROR('Model inputs'!B501=FALSE,FALSE),FALSE,IF(IFERROR('Model inputs'!B502=FALSE,FALSE),FALSE,IF(OR('Model inputs'!B501="",'Model inputs'!B502=""),"",AND('Model inputs'!B501,'Model inputs'!B502))))="",FALSE,IF(IFERROR('Model inputs'!B501=FALSE,FALSE),FALSE,IF(IFERROR('Model inputs'!B502=FALSE,FALSE),FALSE,IF(OR('Model inputs'!B501="",'Model inputs'!B502=""),"",AND('Model inputs'!B501,'Model inputs'!B502))))),IF('Model inputs'!B142="","",'Model inputs'!B142),0))</f>
        <v>200</v>
      </c>
      <c r="R36" s="9">
        <f>'Model inputs'!B130*IF(IF(IF(IF(IFERROR('Model inputs'!B504=FALSE,FALSE),FALSE,IF(IFERROR('Model inputs'!B505=FALSE,FALSE),FALSE,IF(OR('Model inputs'!B504="",'Model inputs'!B505=""),"",AND('Model inputs'!B504,'Model inputs'!B505))))="",FALSE,IF(IFERROR('Model inputs'!B504=FALSE,FALSE),FALSE,IF(IFERROR('Model inputs'!B505=FALSE,FALSE),FALSE,IF(OR('Model inputs'!B504="",'Model inputs'!B505=""),"",AND('Model inputs'!B504,'Model inputs'!B505))))),IF('Model inputs'!B142="","",'Model inputs'!B142),0)="",0,IF(IF(IF(IFERROR('Model inputs'!B504=FALSE,FALSE),FALSE,IF(IFERROR('Model inputs'!B505=FALSE,FALSE),FALSE,IF(OR('Model inputs'!B504="",'Model inputs'!B505=""),"",AND('Model inputs'!B504,'Model inputs'!B505))))="",FALSE,IF(IFERROR('Model inputs'!B504=FALSE,FALSE),FALSE,IF(IFERROR('Model inputs'!B505=FALSE,FALSE),FALSE,IF(OR('Model inputs'!B504="",'Model inputs'!B505=""),"",AND('Model inputs'!B504,'Model inputs'!B505))))),IF('Model inputs'!B142="","",'Model inputs'!B142),0))</f>
        <v>200</v>
      </c>
      <c r="S36" s="9">
        <f>'Model inputs'!B130*IF(IF(IF(IF(IFERROR('Model inputs'!B507=FALSE,FALSE),FALSE,IF(IFERROR('Model inputs'!B508=FALSE,FALSE),FALSE,IF(OR('Model inputs'!B507="",'Model inputs'!B508=""),"",AND('Model inputs'!B507,'Model inputs'!B508))))="",FALSE,IF(IFERROR('Model inputs'!B507=FALSE,FALSE),FALSE,IF(IFERROR('Model inputs'!B508=FALSE,FALSE),FALSE,IF(OR('Model inputs'!B507="",'Model inputs'!B508=""),"",AND('Model inputs'!B507,'Model inputs'!B508))))),IF('Model inputs'!B142="","",'Model inputs'!B142),0)="",0,IF(IF(IF(IFERROR('Model inputs'!B507=FALSE,FALSE),FALSE,IF(IFERROR('Model inputs'!B508=FALSE,FALSE),FALSE,IF(OR('Model inputs'!B507="",'Model inputs'!B508=""),"",AND('Model inputs'!B507,'Model inputs'!B508))))="",FALSE,IF(IFERROR('Model inputs'!B507=FALSE,FALSE),FALSE,IF(IFERROR('Model inputs'!B508=FALSE,FALSE),FALSE,IF(OR('Model inputs'!B507="",'Model inputs'!B508=""),"",AND('Model inputs'!B507,'Model inputs'!B508))))),IF('Model inputs'!B142="","",'Model inputs'!B142),0))</f>
        <v>200</v>
      </c>
      <c r="T36" s="9">
        <f>'Model inputs'!B130*IF(IF(IF(IF(IFERROR('Model inputs'!B510=FALSE,FALSE),FALSE,IF(IFERROR('Model inputs'!B511=FALSE,FALSE),FALSE,IF(OR('Model inputs'!B510="",'Model inputs'!B511=""),"",AND('Model inputs'!B510,'Model inputs'!B511))))="",FALSE,IF(IFERROR('Model inputs'!B510=FALSE,FALSE),FALSE,IF(IFERROR('Model inputs'!B511=FALSE,FALSE),FALSE,IF(OR('Model inputs'!B510="",'Model inputs'!B511=""),"",AND('Model inputs'!B510,'Model inputs'!B511))))),IF('Model inputs'!B142="","",'Model inputs'!B142),0)="",0,IF(IF(IF(IFERROR('Model inputs'!B510=FALSE,FALSE),FALSE,IF(IFERROR('Model inputs'!B511=FALSE,FALSE),FALSE,IF(OR('Model inputs'!B510="",'Model inputs'!B511=""),"",AND('Model inputs'!B510,'Model inputs'!B511))))="",FALSE,IF(IFERROR('Model inputs'!B510=FALSE,FALSE),FALSE,IF(IFERROR('Model inputs'!B511=FALSE,FALSE),FALSE,IF(OR('Model inputs'!B510="",'Model inputs'!B511=""),"",AND('Model inputs'!B510,'Model inputs'!B511))))),IF('Model inputs'!B142="","",'Model inputs'!B142),0))</f>
        <v>200</v>
      </c>
      <c r="U36" s="9">
        <f>'Model inputs'!B130*IF(IF(IF(IF(IFERROR('Model inputs'!B513=FALSE,FALSE),FALSE,IF(IFERROR('Model inputs'!B514=FALSE,FALSE),FALSE,IF(OR('Model inputs'!B513="",'Model inputs'!B514=""),"",AND('Model inputs'!B513,'Model inputs'!B514))))="",FALSE,IF(IFERROR('Model inputs'!B513=FALSE,FALSE),FALSE,IF(IFERROR('Model inputs'!B514=FALSE,FALSE),FALSE,IF(OR('Model inputs'!B513="",'Model inputs'!B514=""),"",AND('Model inputs'!B513,'Model inputs'!B514))))),IF('Model inputs'!B142="","",'Model inputs'!B142),0)="",0,IF(IF(IF(IFERROR('Model inputs'!B513=FALSE,FALSE),FALSE,IF(IFERROR('Model inputs'!B514=FALSE,FALSE),FALSE,IF(OR('Model inputs'!B513="",'Model inputs'!B514=""),"",AND('Model inputs'!B513,'Model inputs'!B514))))="",FALSE,IF(IFERROR('Model inputs'!B513=FALSE,FALSE),FALSE,IF(IFERROR('Model inputs'!B514=FALSE,FALSE),FALSE,IF(OR('Model inputs'!B513="",'Model inputs'!B514=""),"",AND('Model inputs'!B513,'Model inputs'!B514))))),IF('Model inputs'!B142="","",'Model inputs'!B142),0))</f>
        <v>200</v>
      </c>
      <c r="V36" s="9">
        <f>'Model inputs'!B130*IF(IF(IF(IF(IFERROR('Model inputs'!B516=FALSE,FALSE),FALSE,IF(IFERROR('Model inputs'!B517=FALSE,FALSE),FALSE,IF(OR('Model inputs'!B516="",'Model inputs'!B517=""),"",AND('Model inputs'!B516,'Model inputs'!B517))))="",FALSE,IF(IFERROR('Model inputs'!B516=FALSE,FALSE),FALSE,IF(IFERROR('Model inputs'!B517=FALSE,FALSE),FALSE,IF(OR('Model inputs'!B516="",'Model inputs'!B517=""),"",AND('Model inputs'!B516,'Model inputs'!B517))))),IF('Model inputs'!B142="","",'Model inputs'!B142),0)="",0,IF(IF(IF(IFERROR('Model inputs'!B516=FALSE,FALSE),FALSE,IF(IFERROR('Model inputs'!B517=FALSE,FALSE),FALSE,IF(OR('Model inputs'!B516="",'Model inputs'!B517=""),"",AND('Model inputs'!B516,'Model inputs'!B517))))="",FALSE,IF(IFERROR('Model inputs'!B516=FALSE,FALSE),FALSE,IF(IFERROR('Model inputs'!B517=FALSE,FALSE),FALSE,IF(OR('Model inputs'!B516="",'Model inputs'!B517=""),"",AND('Model inputs'!B516,'Model inputs'!B517))))),IF('Model inputs'!B142="","",'Model inputs'!B142),0))</f>
        <v>200</v>
      </c>
    </row>
    <row r="37" outlineLevel="1">
      <c r="A37" t="inlineStr" s="18">
        <is>
          <t xml:space="preserve">Opex &gt; First engineer (loaded)</t>
        </is>
      </c>
      <c r="C37" s="9">
        <f>'Model inputs'!B131*IF(IF(IF(IF(IFERROR('Model inputs'!B519=FALSE,FALSE),FALSE,IF(IFERROR('Model inputs'!B520=FALSE,FALSE),FALSE,IF(OR('Model inputs'!B519="",'Model inputs'!B520=""),"",AND('Model inputs'!B519,'Model inputs'!B520))))="",FALSE,IF(IFERROR('Model inputs'!B519=FALSE,FALSE),FALSE,IF(IFERROR('Model inputs'!B520=FALSE,FALSE),FALSE,IF(OR('Model inputs'!B519="",'Model inputs'!B520=""),"",AND('Model inputs'!B519,'Model inputs'!B520))))),IF('Model inputs'!B143="","",'Model inputs'!B143),0)="",0,IF(IF(IF(IFERROR('Model inputs'!B519=FALSE,FALSE),FALSE,IF(IFERROR('Model inputs'!B520=FALSE,FALSE),FALSE,IF(OR('Model inputs'!B519="",'Model inputs'!B520=""),"",AND('Model inputs'!B519,'Model inputs'!B520))))="",FALSE,IF(IFERROR('Model inputs'!B519=FALSE,FALSE),FALSE,IF(IFERROR('Model inputs'!B520=FALSE,FALSE),FALSE,IF(OR('Model inputs'!B519="",'Model inputs'!B520=""),"",AND('Model inputs'!B519,'Model inputs'!B520))))),IF('Model inputs'!B143="","",'Model inputs'!B143),0))</f>
        <v>0</v>
      </c>
      <c r="D37" s="9">
        <f>'Model inputs'!B131*IF(IF(IF(IF(IFERROR('Model inputs'!B522=FALSE,FALSE),FALSE,IF(IFERROR('Model inputs'!B523=FALSE,FALSE),FALSE,IF(OR('Model inputs'!B522="",'Model inputs'!B523=""),"",AND('Model inputs'!B522,'Model inputs'!B523))))="",FALSE,IF(IFERROR('Model inputs'!B522=FALSE,FALSE),FALSE,IF(IFERROR('Model inputs'!B523=FALSE,FALSE),FALSE,IF(OR('Model inputs'!B522="",'Model inputs'!B523=""),"",AND('Model inputs'!B522,'Model inputs'!B523))))),IF('Model inputs'!B143="","",'Model inputs'!B143),0)="",0,IF(IF(IF(IFERROR('Model inputs'!B522=FALSE,FALSE),FALSE,IF(IFERROR('Model inputs'!B523=FALSE,FALSE),FALSE,IF(OR('Model inputs'!B522="",'Model inputs'!B523=""),"",AND('Model inputs'!B522,'Model inputs'!B523))))="",FALSE,IF(IFERROR('Model inputs'!B522=FALSE,FALSE),FALSE,IF(IFERROR('Model inputs'!B523=FALSE,FALSE),FALSE,IF(OR('Model inputs'!B522="",'Model inputs'!B523=""),"",AND('Model inputs'!B522,'Model inputs'!B523))))),IF('Model inputs'!B143="","",'Model inputs'!B143),0))</f>
        <v>0</v>
      </c>
      <c r="E37" s="9">
        <f>'Model inputs'!B131*IF(IF(IF(IF(IFERROR('Model inputs'!B525=FALSE,FALSE),FALSE,IF(IFERROR('Model inputs'!B526=FALSE,FALSE),FALSE,IF(OR('Model inputs'!B525="",'Model inputs'!B526=""),"",AND('Model inputs'!B525,'Model inputs'!B526))))="",FALSE,IF(IFERROR('Model inputs'!B525=FALSE,FALSE),FALSE,IF(IFERROR('Model inputs'!B526=FALSE,FALSE),FALSE,IF(OR('Model inputs'!B525="",'Model inputs'!B526=""),"",AND('Model inputs'!B525,'Model inputs'!B526))))),IF('Model inputs'!B143="","",'Model inputs'!B143),0)="",0,IF(IF(IF(IFERROR('Model inputs'!B525=FALSE,FALSE),FALSE,IF(IFERROR('Model inputs'!B526=FALSE,FALSE),FALSE,IF(OR('Model inputs'!B525="",'Model inputs'!B526=""),"",AND('Model inputs'!B525,'Model inputs'!B526))))="",FALSE,IF(IFERROR('Model inputs'!B525=FALSE,FALSE),FALSE,IF(IFERROR('Model inputs'!B526=FALSE,FALSE),FALSE,IF(OR('Model inputs'!B525="",'Model inputs'!B526=""),"",AND('Model inputs'!B525,'Model inputs'!B526))))),IF('Model inputs'!B143="","",'Model inputs'!B143),0))</f>
        <v>0</v>
      </c>
      <c r="F37" s="9">
        <f>'Model inputs'!B131*IF(IF(IF(IF(IFERROR('Model inputs'!B528=FALSE,FALSE),FALSE,IF(IFERROR('Model inputs'!B529=FALSE,FALSE),FALSE,IF(OR('Model inputs'!B528="",'Model inputs'!B529=""),"",AND('Model inputs'!B528,'Model inputs'!B529))))="",FALSE,IF(IFERROR('Model inputs'!B528=FALSE,FALSE),FALSE,IF(IFERROR('Model inputs'!B529=FALSE,FALSE),FALSE,IF(OR('Model inputs'!B528="",'Model inputs'!B529=""),"",AND('Model inputs'!B528,'Model inputs'!B529))))),IF('Model inputs'!B143="","",'Model inputs'!B143),0)="",0,IF(IF(IF(IFERROR('Model inputs'!B528=FALSE,FALSE),FALSE,IF(IFERROR('Model inputs'!B529=FALSE,FALSE),FALSE,IF(OR('Model inputs'!B528="",'Model inputs'!B529=""),"",AND('Model inputs'!B528,'Model inputs'!B529))))="",FALSE,IF(IFERROR('Model inputs'!B528=FALSE,FALSE),FALSE,IF(IFERROR('Model inputs'!B529=FALSE,FALSE),FALSE,IF(OR('Model inputs'!B528="",'Model inputs'!B529=""),"",AND('Model inputs'!B528,'Model inputs'!B529))))),IF('Model inputs'!B143="","",'Model inputs'!B143),0))</f>
        <v>0</v>
      </c>
      <c r="G37" s="9">
        <f>'Model inputs'!B131*IF(IF(IF(IF(IFERROR('Model inputs'!B531=FALSE,FALSE),FALSE,IF(IFERROR('Model inputs'!B532=FALSE,FALSE),FALSE,IF(OR('Model inputs'!B531="",'Model inputs'!B532=""),"",AND('Model inputs'!B531,'Model inputs'!B532))))="",FALSE,IF(IFERROR('Model inputs'!B531=FALSE,FALSE),FALSE,IF(IFERROR('Model inputs'!B532=FALSE,FALSE),FALSE,IF(OR('Model inputs'!B531="",'Model inputs'!B532=""),"",AND('Model inputs'!B531,'Model inputs'!B532))))),IF('Model inputs'!B143="","",'Model inputs'!B143),0)="",0,IF(IF(IF(IFERROR('Model inputs'!B531=FALSE,FALSE),FALSE,IF(IFERROR('Model inputs'!B532=FALSE,FALSE),FALSE,IF(OR('Model inputs'!B531="",'Model inputs'!B532=""),"",AND('Model inputs'!B531,'Model inputs'!B532))))="",FALSE,IF(IFERROR('Model inputs'!B531=FALSE,FALSE),FALSE,IF(IFERROR('Model inputs'!B532=FALSE,FALSE),FALSE,IF(OR('Model inputs'!B531="",'Model inputs'!B532=""),"",AND('Model inputs'!B531,'Model inputs'!B532))))),IF('Model inputs'!B143="","",'Model inputs'!B143),0))</f>
        <v>0</v>
      </c>
      <c r="H37" s="9">
        <f>'Model inputs'!B131*IF(IF(IF(IF(IFERROR('Model inputs'!B534=FALSE,FALSE),FALSE,IF(IFERROR('Model inputs'!B535=FALSE,FALSE),FALSE,IF(OR('Model inputs'!B534="",'Model inputs'!B535=""),"",AND('Model inputs'!B534,'Model inputs'!B535))))="",FALSE,IF(IFERROR('Model inputs'!B534=FALSE,FALSE),FALSE,IF(IFERROR('Model inputs'!B535=FALSE,FALSE),FALSE,IF(OR('Model inputs'!B534="",'Model inputs'!B535=""),"",AND('Model inputs'!B534,'Model inputs'!B535))))),IF('Model inputs'!B143="","",'Model inputs'!B143),0)="",0,IF(IF(IF(IFERROR('Model inputs'!B534=FALSE,FALSE),FALSE,IF(IFERROR('Model inputs'!B535=FALSE,FALSE),FALSE,IF(OR('Model inputs'!B534="",'Model inputs'!B535=""),"",AND('Model inputs'!B534,'Model inputs'!B535))))="",FALSE,IF(IFERROR('Model inputs'!B534=FALSE,FALSE),FALSE,IF(IFERROR('Model inputs'!B535=FALSE,FALSE),FALSE,IF(OR('Model inputs'!B534="",'Model inputs'!B535=""),"",AND('Model inputs'!B534,'Model inputs'!B535))))),IF('Model inputs'!B143="","",'Model inputs'!B143),0))</f>
        <v>0</v>
      </c>
      <c r="I37" s="9">
        <f>'Model inputs'!B131*IF(IF(IF(IF(IFERROR('Model inputs'!B537=FALSE,FALSE),FALSE,IF(IFERROR('Model inputs'!B538=FALSE,FALSE),FALSE,IF(OR('Model inputs'!B537="",'Model inputs'!B538=""),"",AND('Model inputs'!B537,'Model inputs'!B538))))="",FALSE,IF(IFERROR('Model inputs'!B537=FALSE,FALSE),FALSE,IF(IFERROR('Model inputs'!B538=FALSE,FALSE),FALSE,IF(OR('Model inputs'!B537="",'Model inputs'!B538=""),"",AND('Model inputs'!B537,'Model inputs'!B538))))),IF('Model inputs'!B143="","",'Model inputs'!B143),0)="",0,IF(IF(IF(IFERROR('Model inputs'!B537=FALSE,FALSE),FALSE,IF(IFERROR('Model inputs'!B538=FALSE,FALSE),FALSE,IF(OR('Model inputs'!B537="",'Model inputs'!B538=""),"",AND('Model inputs'!B537,'Model inputs'!B538))))="",FALSE,IF(IFERROR('Model inputs'!B537=FALSE,FALSE),FALSE,IF(IFERROR('Model inputs'!B538=FALSE,FALSE),FALSE,IF(OR('Model inputs'!B537="",'Model inputs'!B538=""),"",AND('Model inputs'!B537,'Model inputs'!B538))))),IF('Model inputs'!B143="","",'Model inputs'!B143),0))</f>
        <v>0</v>
      </c>
      <c r="J37" s="9">
        <f>'Model inputs'!B131*IF(IF(IF(IF(IFERROR('Model inputs'!B540=FALSE,FALSE),FALSE,IF(IFERROR('Model inputs'!B541=FALSE,FALSE),FALSE,IF(OR('Model inputs'!B540="",'Model inputs'!B541=""),"",AND('Model inputs'!B540,'Model inputs'!B541))))="",FALSE,IF(IFERROR('Model inputs'!B540=FALSE,FALSE),FALSE,IF(IFERROR('Model inputs'!B541=FALSE,FALSE),FALSE,IF(OR('Model inputs'!B540="",'Model inputs'!B541=""),"",AND('Model inputs'!B540,'Model inputs'!B541))))),IF('Model inputs'!B143="","",'Model inputs'!B143),0)="",0,IF(IF(IF(IFERROR('Model inputs'!B540=FALSE,FALSE),FALSE,IF(IFERROR('Model inputs'!B541=FALSE,FALSE),FALSE,IF(OR('Model inputs'!B540="",'Model inputs'!B541=""),"",AND('Model inputs'!B540,'Model inputs'!B541))))="",FALSE,IF(IFERROR('Model inputs'!B540=FALSE,FALSE),FALSE,IF(IFERROR('Model inputs'!B541=FALSE,FALSE),FALSE,IF(OR('Model inputs'!B540="",'Model inputs'!B541=""),"",AND('Model inputs'!B540,'Model inputs'!B541))))),IF('Model inputs'!B143="","",'Model inputs'!B143),0))</f>
        <v>0</v>
      </c>
      <c r="K37" s="9">
        <f>'Model inputs'!B131*IF(IF(IF(IF(IFERROR('Model inputs'!B543=FALSE,FALSE),FALSE,IF(IFERROR('Model inputs'!B544=FALSE,FALSE),FALSE,IF(OR('Model inputs'!B543="",'Model inputs'!B544=""),"",AND('Model inputs'!B543,'Model inputs'!B544))))="",FALSE,IF(IFERROR('Model inputs'!B543=FALSE,FALSE),FALSE,IF(IFERROR('Model inputs'!B544=FALSE,FALSE),FALSE,IF(OR('Model inputs'!B543="",'Model inputs'!B544=""),"",AND('Model inputs'!B543,'Model inputs'!B544))))),IF('Model inputs'!B143="","",'Model inputs'!B143),0)="",0,IF(IF(IF(IFERROR('Model inputs'!B543=FALSE,FALSE),FALSE,IF(IFERROR('Model inputs'!B544=FALSE,FALSE),FALSE,IF(OR('Model inputs'!B543="",'Model inputs'!B544=""),"",AND('Model inputs'!B543,'Model inputs'!B544))))="",FALSE,IF(IFERROR('Model inputs'!B543=FALSE,FALSE),FALSE,IF(IFERROR('Model inputs'!B544=FALSE,FALSE),FALSE,IF(OR('Model inputs'!B543="",'Model inputs'!B544=""),"",AND('Model inputs'!B543,'Model inputs'!B544))))),IF('Model inputs'!B143="","",'Model inputs'!B143),0))</f>
        <v>0</v>
      </c>
      <c r="L37" s="9">
        <f>'Model inputs'!B131*IF(IF(IF(IF(IFERROR('Model inputs'!B546=FALSE,FALSE),FALSE,IF(IFERROR('Model inputs'!B547=FALSE,FALSE),FALSE,IF(OR('Model inputs'!B546="",'Model inputs'!B547=""),"",AND('Model inputs'!B546,'Model inputs'!B547))))="",FALSE,IF(IFERROR('Model inputs'!B546=FALSE,FALSE),FALSE,IF(IFERROR('Model inputs'!B547=FALSE,FALSE),FALSE,IF(OR('Model inputs'!B546="",'Model inputs'!B547=""),"",AND('Model inputs'!B546,'Model inputs'!B547))))),IF('Model inputs'!B143="","",'Model inputs'!B143),0)="",0,IF(IF(IF(IFERROR('Model inputs'!B546=FALSE,FALSE),FALSE,IF(IFERROR('Model inputs'!B547=FALSE,FALSE),FALSE,IF(OR('Model inputs'!B546="",'Model inputs'!B547=""),"",AND('Model inputs'!B546,'Model inputs'!B547))))="",FALSE,IF(IFERROR('Model inputs'!B546=FALSE,FALSE),FALSE,IF(IFERROR('Model inputs'!B547=FALSE,FALSE),FALSE,IF(OR('Model inputs'!B546="",'Model inputs'!B547=""),"",AND('Model inputs'!B546,'Model inputs'!B547))))),IF('Model inputs'!B143="","",'Model inputs'!B143),0))</f>
        <v>0</v>
      </c>
      <c r="M37" s="9">
        <f>'Model inputs'!B131*IF(IF(IF(IF(IFERROR('Model inputs'!B549=FALSE,FALSE),FALSE,IF(IFERROR('Model inputs'!B550=FALSE,FALSE),FALSE,IF(OR('Model inputs'!B549="",'Model inputs'!B550=""),"",AND('Model inputs'!B549,'Model inputs'!B550))))="",FALSE,IF(IFERROR('Model inputs'!B549=FALSE,FALSE),FALSE,IF(IFERROR('Model inputs'!B550=FALSE,FALSE),FALSE,IF(OR('Model inputs'!B549="",'Model inputs'!B550=""),"",AND('Model inputs'!B549,'Model inputs'!B550))))),IF('Model inputs'!B143="","",'Model inputs'!B143),0)="",0,IF(IF(IF(IFERROR('Model inputs'!B549=FALSE,FALSE),FALSE,IF(IFERROR('Model inputs'!B550=FALSE,FALSE),FALSE,IF(OR('Model inputs'!B549="",'Model inputs'!B550=""),"",AND('Model inputs'!B549,'Model inputs'!B550))))="",FALSE,IF(IFERROR('Model inputs'!B549=FALSE,FALSE),FALSE,IF(IFERROR('Model inputs'!B550=FALSE,FALSE),FALSE,IF(OR('Model inputs'!B549="",'Model inputs'!B550=""),"",AND('Model inputs'!B549,'Model inputs'!B550))))),IF('Model inputs'!B143="","",'Model inputs'!B143),0))</f>
        <v>0</v>
      </c>
      <c r="N37" s="9">
        <f>'Model inputs'!B131*IF(IF(IF(IF(IFERROR('Model inputs'!B552=FALSE,FALSE),FALSE,IF(IFERROR('Model inputs'!B553=FALSE,FALSE),FALSE,IF(OR('Model inputs'!B552="",'Model inputs'!B553=""),"",AND('Model inputs'!B552,'Model inputs'!B553))))="",FALSE,IF(IFERROR('Model inputs'!B552=FALSE,FALSE),FALSE,IF(IFERROR('Model inputs'!B553=FALSE,FALSE),FALSE,IF(OR('Model inputs'!B552="",'Model inputs'!B553=""),"",AND('Model inputs'!B552,'Model inputs'!B553))))),IF('Model inputs'!B143="","",'Model inputs'!B143),0)="",0,IF(IF(IF(IFERROR('Model inputs'!B552=FALSE,FALSE),FALSE,IF(IFERROR('Model inputs'!B553=FALSE,FALSE),FALSE,IF(OR('Model inputs'!B552="",'Model inputs'!B553=""),"",AND('Model inputs'!B552,'Model inputs'!B553))))="",FALSE,IF(IFERROR('Model inputs'!B552=FALSE,FALSE),FALSE,IF(IFERROR('Model inputs'!B553=FALSE,FALSE),FALSE,IF(OR('Model inputs'!B552="",'Model inputs'!B553=""),"",AND('Model inputs'!B552,'Model inputs'!B553))))),IF('Model inputs'!B143="","",'Model inputs'!B143),0))</f>
        <v>0</v>
      </c>
      <c r="O37" s="9">
        <f>'Model inputs'!B131*IF(IF(IF(IF(IFERROR('Model inputs'!B555=FALSE,FALSE),FALSE,IF(IFERROR('Model inputs'!B556=FALSE,FALSE),FALSE,IF(OR('Model inputs'!B555="",'Model inputs'!B556=""),"",AND('Model inputs'!B555,'Model inputs'!B556))))="",FALSE,IF(IFERROR('Model inputs'!B555=FALSE,FALSE),FALSE,IF(IFERROR('Model inputs'!B556=FALSE,FALSE),FALSE,IF(OR('Model inputs'!B555="",'Model inputs'!B556=""),"",AND('Model inputs'!B555,'Model inputs'!B556))))),IF('Model inputs'!B143="","",'Model inputs'!B143),0)="",0,IF(IF(IF(IFERROR('Model inputs'!B555=FALSE,FALSE),FALSE,IF(IFERROR('Model inputs'!B556=FALSE,FALSE),FALSE,IF(OR('Model inputs'!B555="",'Model inputs'!B556=""),"",AND('Model inputs'!B555,'Model inputs'!B556))))="",FALSE,IF(IFERROR('Model inputs'!B555=FALSE,FALSE),FALSE,IF(IFERROR('Model inputs'!B556=FALSE,FALSE),FALSE,IF(OR('Model inputs'!B555="",'Model inputs'!B556=""),"",AND('Model inputs'!B555,'Model inputs'!B556))))),IF('Model inputs'!B143="","",'Model inputs'!B143),0))</f>
        <v>0</v>
      </c>
      <c r="P37" s="9">
        <f>'Model inputs'!B131*IF(IF(IF(IF(IFERROR('Model inputs'!B558=FALSE,FALSE),FALSE,IF(IFERROR('Model inputs'!B559=FALSE,FALSE),FALSE,IF(OR('Model inputs'!B558="",'Model inputs'!B559=""),"",AND('Model inputs'!B558,'Model inputs'!B559))))="",FALSE,IF(IFERROR('Model inputs'!B558=FALSE,FALSE),FALSE,IF(IFERROR('Model inputs'!B559=FALSE,FALSE),FALSE,IF(OR('Model inputs'!B558="",'Model inputs'!B559=""),"",AND('Model inputs'!B558,'Model inputs'!B559))))),IF('Model inputs'!B143="","",'Model inputs'!B143),0)="",0,IF(IF(IF(IFERROR('Model inputs'!B558=FALSE,FALSE),FALSE,IF(IFERROR('Model inputs'!B559=FALSE,FALSE),FALSE,IF(OR('Model inputs'!B558="",'Model inputs'!B559=""),"",AND('Model inputs'!B558,'Model inputs'!B559))))="",FALSE,IF(IFERROR('Model inputs'!B558=FALSE,FALSE),FALSE,IF(IFERROR('Model inputs'!B559=FALSE,FALSE),FALSE,IF(OR('Model inputs'!B558="",'Model inputs'!B559=""),"",AND('Model inputs'!B558,'Model inputs'!B559))))),IF('Model inputs'!B143="","",'Model inputs'!B143),0))</f>
        <v>0</v>
      </c>
      <c r="Q37" s="9">
        <f>'Model inputs'!B131*IF(IF(IF(IF(IFERROR('Model inputs'!B561=FALSE,FALSE),FALSE,IF(IFERROR('Model inputs'!B562=FALSE,FALSE),FALSE,IF(OR('Model inputs'!B561="",'Model inputs'!B562=""),"",AND('Model inputs'!B561,'Model inputs'!B562))))="",FALSE,IF(IFERROR('Model inputs'!B561=FALSE,FALSE),FALSE,IF(IFERROR('Model inputs'!B562=FALSE,FALSE),FALSE,IF(OR('Model inputs'!B561="",'Model inputs'!B562=""),"",AND('Model inputs'!B561,'Model inputs'!B562))))),IF('Model inputs'!B143="","",'Model inputs'!B143),0)="",0,IF(IF(IF(IFERROR('Model inputs'!B561=FALSE,FALSE),FALSE,IF(IFERROR('Model inputs'!B562=FALSE,FALSE),FALSE,IF(OR('Model inputs'!B561="",'Model inputs'!B562=""),"",AND('Model inputs'!B561,'Model inputs'!B562))))="",FALSE,IF(IFERROR('Model inputs'!B561=FALSE,FALSE),FALSE,IF(IFERROR('Model inputs'!B562=FALSE,FALSE),FALSE,IF(OR('Model inputs'!B561="",'Model inputs'!B562=""),"",AND('Model inputs'!B561,'Model inputs'!B562))))),IF('Model inputs'!B143="","",'Model inputs'!B143),0))</f>
        <v>0</v>
      </c>
      <c r="R37" s="9">
        <f>'Model inputs'!B131*IF(IF(IF(IF(IFERROR('Model inputs'!B564=FALSE,FALSE),FALSE,IF(IFERROR('Model inputs'!B565=FALSE,FALSE),FALSE,IF(OR('Model inputs'!B564="",'Model inputs'!B565=""),"",AND('Model inputs'!B564,'Model inputs'!B565))))="",FALSE,IF(IFERROR('Model inputs'!B564=FALSE,FALSE),FALSE,IF(IFERROR('Model inputs'!B565=FALSE,FALSE),FALSE,IF(OR('Model inputs'!B564="",'Model inputs'!B565=""),"",AND('Model inputs'!B564,'Model inputs'!B565))))),IF('Model inputs'!B143="","",'Model inputs'!B143),0)="",0,IF(IF(IF(IFERROR('Model inputs'!B564=FALSE,FALSE),FALSE,IF(IFERROR('Model inputs'!B565=FALSE,FALSE),FALSE,IF(OR('Model inputs'!B564="",'Model inputs'!B565=""),"",AND('Model inputs'!B564,'Model inputs'!B565))))="",FALSE,IF(IFERROR('Model inputs'!B564=FALSE,FALSE),FALSE,IF(IFERROR('Model inputs'!B565=FALSE,FALSE),FALSE,IF(OR('Model inputs'!B564="",'Model inputs'!B565=""),"",AND('Model inputs'!B564,'Model inputs'!B565))))),IF('Model inputs'!B143="","",'Model inputs'!B143),0))</f>
        <v>0</v>
      </c>
      <c r="S37" s="9">
        <f>'Model inputs'!B131*IF(IF(IF(IF(IFERROR('Model inputs'!B567=FALSE,FALSE),FALSE,IF(IFERROR('Model inputs'!B568=FALSE,FALSE),FALSE,IF(OR('Model inputs'!B567="",'Model inputs'!B568=""),"",AND('Model inputs'!B567,'Model inputs'!B568))))="",FALSE,IF(IFERROR('Model inputs'!B567=FALSE,FALSE),FALSE,IF(IFERROR('Model inputs'!B568=FALSE,FALSE),FALSE,IF(OR('Model inputs'!B567="",'Model inputs'!B568=""),"",AND('Model inputs'!B567,'Model inputs'!B568))))),IF('Model inputs'!B143="","",'Model inputs'!B143),0)="",0,IF(IF(IF(IFERROR('Model inputs'!B567=FALSE,FALSE),FALSE,IF(IFERROR('Model inputs'!B568=FALSE,FALSE),FALSE,IF(OR('Model inputs'!B567="",'Model inputs'!B568=""),"",AND('Model inputs'!B567,'Model inputs'!B568))))="",FALSE,IF(IFERROR('Model inputs'!B567=FALSE,FALSE),FALSE,IF(IFERROR('Model inputs'!B568=FALSE,FALSE),FALSE,IF(OR('Model inputs'!B567="",'Model inputs'!B568=""),"",AND('Model inputs'!B567,'Model inputs'!B568))))),IF('Model inputs'!B143="","",'Model inputs'!B143),0))</f>
        <v>0</v>
      </c>
      <c r="T37" s="9">
        <f>'Model inputs'!B131*IF(IF(IF(IF(IFERROR('Model inputs'!B570=FALSE,FALSE),FALSE,IF(IFERROR('Model inputs'!B571=FALSE,FALSE),FALSE,IF(OR('Model inputs'!B570="",'Model inputs'!B571=""),"",AND('Model inputs'!B570,'Model inputs'!B571))))="",FALSE,IF(IFERROR('Model inputs'!B570=FALSE,FALSE),FALSE,IF(IFERROR('Model inputs'!B571=FALSE,FALSE),FALSE,IF(OR('Model inputs'!B570="",'Model inputs'!B571=""),"",AND('Model inputs'!B570,'Model inputs'!B571))))),IF('Model inputs'!B143="","",'Model inputs'!B143),0)="",0,IF(IF(IF(IFERROR('Model inputs'!B570=FALSE,FALSE),FALSE,IF(IFERROR('Model inputs'!B571=FALSE,FALSE),FALSE,IF(OR('Model inputs'!B570="",'Model inputs'!B571=""),"",AND('Model inputs'!B570,'Model inputs'!B571))))="",FALSE,IF(IFERROR('Model inputs'!B570=FALSE,FALSE),FALSE,IF(IFERROR('Model inputs'!B571=FALSE,FALSE),FALSE,IF(OR('Model inputs'!B570="",'Model inputs'!B571=""),"",AND('Model inputs'!B570,'Model inputs'!B571))))),IF('Model inputs'!B143="","",'Model inputs'!B143),0))</f>
        <v>0</v>
      </c>
      <c r="U37" s="9">
        <f>'Model inputs'!B131*IF(IF(IF(IF(IFERROR('Model inputs'!B573=FALSE,FALSE),FALSE,IF(IFERROR('Model inputs'!B574=FALSE,FALSE),FALSE,IF(OR('Model inputs'!B573="",'Model inputs'!B574=""),"",AND('Model inputs'!B573,'Model inputs'!B574))))="",FALSE,IF(IFERROR('Model inputs'!B573=FALSE,FALSE),FALSE,IF(IFERROR('Model inputs'!B574=FALSE,FALSE),FALSE,IF(OR('Model inputs'!B573="",'Model inputs'!B574=""),"",AND('Model inputs'!B573,'Model inputs'!B574))))),IF('Model inputs'!B143="","",'Model inputs'!B143),0)="",0,IF(IF(IF(IFERROR('Model inputs'!B573=FALSE,FALSE),FALSE,IF(IFERROR('Model inputs'!B574=FALSE,FALSE),FALSE,IF(OR('Model inputs'!B573="",'Model inputs'!B574=""),"",AND('Model inputs'!B573,'Model inputs'!B574))))="",FALSE,IF(IFERROR('Model inputs'!B573=FALSE,FALSE),FALSE,IF(IFERROR('Model inputs'!B574=FALSE,FALSE),FALSE,IF(OR('Model inputs'!B573="",'Model inputs'!B574=""),"",AND('Model inputs'!B573,'Model inputs'!B574))))),IF('Model inputs'!B143="","",'Model inputs'!B143),0))</f>
        <v>0</v>
      </c>
      <c r="V37" s="9">
        <f>'Model inputs'!B131*IF(IF(IF(IF(IFERROR('Model inputs'!B576=FALSE,FALSE),FALSE,IF(IFERROR('Model inputs'!B577=FALSE,FALSE),FALSE,IF(OR('Model inputs'!B576="",'Model inputs'!B577=""),"",AND('Model inputs'!B576,'Model inputs'!B577))))="",FALSE,IF(IFERROR('Model inputs'!B576=FALSE,FALSE),FALSE,IF(IFERROR('Model inputs'!B577=FALSE,FALSE),FALSE,IF(OR('Model inputs'!B576="",'Model inputs'!B577=""),"",AND('Model inputs'!B576,'Model inputs'!B577))))),IF('Model inputs'!B143="","",'Model inputs'!B143),0)="",0,IF(IF(IF(IFERROR('Model inputs'!B576=FALSE,FALSE),FALSE,IF(IFERROR('Model inputs'!B577=FALSE,FALSE),FALSE,IF(OR('Model inputs'!B576="",'Model inputs'!B577=""),"",AND('Model inputs'!B576,'Model inputs'!B577))))="",FALSE,IF(IFERROR('Model inputs'!B576=FALSE,FALSE),FALSE,IF(IFERROR('Model inputs'!B577=FALSE,FALSE),FALSE,IF(OR('Model inputs'!B576="",'Model inputs'!B577=""),"",AND('Model inputs'!B576,'Model inputs'!B577))))),IF('Model inputs'!B143="","",'Model inputs'!B143),0))</f>
        <v>0</v>
      </c>
    </row>
    <row r="38" outlineLevel="1">
      <c r="A38" t="inlineStr" s="18">
        <is>
          <t xml:space="preserve">Opex &gt; Founder full-time step-up</t>
        </is>
      </c>
      <c r="C38" s="9">
        <f>'Model inputs'!B132*IF(IF(IF(IF(IFERROR('Model inputs'!B579=FALSE,FALSE),FALSE,IF(IFERROR('Model inputs'!B580=FALSE,FALSE),FALSE,IF(OR('Model inputs'!B579="",'Model inputs'!B580=""),"",AND('Model inputs'!B579,'Model inputs'!B580))))="",FALSE,IF(IFERROR('Model inputs'!B579=FALSE,FALSE),FALSE,IF(IFERROR('Model inputs'!B580=FALSE,FALSE),FALSE,IF(OR('Model inputs'!B579="",'Model inputs'!B580=""),"",AND('Model inputs'!B579,'Model inputs'!B580))))),IF('Model inputs'!B144="","",'Model inputs'!B144),0)="",0,IF(IF(IF(IFERROR('Model inputs'!B579=FALSE,FALSE),FALSE,IF(IFERROR('Model inputs'!B580=FALSE,FALSE),FALSE,IF(OR('Model inputs'!B579="",'Model inputs'!B580=""),"",AND('Model inputs'!B579,'Model inputs'!B580))))="",FALSE,IF(IFERROR('Model inputs'!B579=FALSE,FALSE),FALSE,IF(IFERROR('Model inputs'!B580=FALSE,FALSE),FALSE,IF(OR('Model inputs'!B579="",'Model inputs'!B580=""),"",AND('Model inputs'!B579,'Model inputs'!B580))))),IF('Model inputs'!B144="","",'Model inputs'!B144),0))</f>
        <v>0</v>
      </c>
      <c r="D38" s="9">
        <f>'Model inputs'!B132*IF(IF(IF(IF(IFERROR('Model inputs'!B582=FALSE,FALSE),FALSE,IF(IFERROR('Model inputs'!B583=FALSE,FALSE),FALSE,IF(OR('Model inputs'!B582="",'Model inputs'!B583=""),"",AND('Model inputs'!B582,'Model inputs'!B583))))="",FALSE,IF(IFERROR('Model inputs'!B582=FALSE,FALSE),FALSE,IF(IFERROR('Model inputs'!B583=FALSE,FALSE),FALSE,IF(OR('Model inputs'!B582="",'Model inputs'!B583=""),"",AND('Model inputs'!B582,'Model inputs'!B583))))),IF('Model inputs'!B144="","",'Model inputs'!B144),0)="",0,IF(IF(IF(IFERROR('Model inputs'!B582=FALSE,FALSE),FALSE,IF(IFERROR('Model inputs'!B583=FALSE,FALSE),FALSE,IF(OR('Model inputs'!B582="",'Model inputs'!B583=""),"",AND('Model inputs'!B582,'Model inputs'!B583))))="",FALSE,IF(IFERROR('Model inputs'!B582=FALSE,FALSE),FALSE,IF(IFERROR('Model inputs'!B583=FALSE,FALSE),FALSE,IF(OR('Model inputs'!B582="",'Model inputs'!B583=""),"",AND('Model inputs'!B582,'Model inputs'!B583))))),IF('Model inputs'!B144="","",'Model inputs'!B144),0))</f>
        <v>0</v>
      </c>
      <c r="E38" s="9">
        <f>'Model inputs'!B132*IF(IF(IF(IF(IFERROR('Model inputs'!B585=FALSE,FALSE),FALSE,IF(IFERROR('Model inputs'!B586=FALSE,FALSE),FALSE,IF(OR('Model inputs'!B585="",'Model inputs'!B586=""),"",AND('Model inputs'!B585,'Model inputs'!B586))))="",FALSE,IF(IFERROR('Model inputs'!B585=FALSE,FALSE),FALSE,IF(IFERROR('Model inputs'!B586=FALSE,FALSE),FALSE,IF(OR('Model inputs'!B585="",'Model inputs'!B586=""),"",AND('Model inputs'!B585,'Model inputs'!B586))))),IF('Model inputs'!B144="","",'Model inputs'!B144),0)="",0,IF(IF(IF(IFERROR('Model inputs'!B585=FALSE,FALSE),FALSE,IF(IFERROR('Model inputs'!B586=FALSE,FALSE),FALSE,IF(OR('Model inputs'!B585="",'Model inputs'!B586=""),"",AND('Model inputs'!B585,'Model inputs'!B586))))="",FALSE,IF(IFERROR('Model inputs'!B585=FALSE,FALSE),FALSE,IF(IFERROR('Model inputs'!B586=FALSE,FALSE),FALSE,IF(OR('Model inputs'!B585="",'Model inputs'!B586=""),"",AND('Model inputs'!B585,'Model inputs'!B586))))),IF('Model inputs'!B144="","",'Model inputs'!B144),0))</f>
        <v>0</v>
      </c>
      <c r="F38" s="9">
        <f>'Model inputs'!B132*IF(IF(IF(IF(IFERROR('Model inputs'!B588=FALSE,FALSE),FALSE,IF(IFERROR('Model inputs'!B589=FALSE,FALSE),FALSE,IF(OR('Model inputs'!B588="",'Model inputs'!B589=""),"",AND('Model inputs'!B588,'Model inputs'!B589))))="",FALSE,IF(IFERROR('Model inputs'!B588=FALSE,FALSE),FALSE,IF(IFERROR('Model inputs'!B589=FALSE,FALSE),FALSE,IF(OR('Model inputs'!B588="",'Model inputs'!B589=""),"",AND('Model inputs'!B588,'Model inputs'!B589))))),IF('Model inputs'!B144="","",'Model inputs'!B144),0)="",0,IF(IF(IF(IFERROR('Model inputs'!B588=FALSE,FALSE),FALSE,IF(IFERROR('Model inputs'!B589=FALSE,FALSE),FALSE,IF(OR('Model inputs'!B588="",'Model inputs'!B589=""),"",AND('Model inputs'!B588,'Model inputs'!B589))))="",FALSE,IF(IFERROR('Model inputs'!B588=FALSE,FALSE),FALSE,IF(IFERROR('Model inputs'!B589=FALSE,FALSE),FALSE,IF(OR('Model inputs'!B588="",'Model inputs'!B589=""),"",AND('Model inputs'!B588,'Model inputs'!B589))))),IF('Model inputs'!B144="","",'Model inputs'!B144),0))</f>
        <v>0</v>
      </c>
      <c r="G38" s="9">
        <f>'Model inputs'!B132*IF(IF(IF(IF(IFERROR('Model inputs'!B591=FALSE,FALSE),FALSE,IF(IFERROR('Model inputs'!B592=FALSE,FALSE),FALSE,IF(OR('Model inputs'!B591="",'Model inputs'!B592=""),"",AND('Model inputs'!B591,'Model inputs'!B592))))="",FALSE,IF(IFERROR('Model inputs'!B591=FALSE,FALSE),FALSE,IF(IFERROR('Model inputs'!B592=FALSE,FALSE),FALSE,IF(OR('Model inputs'!B591="",'Model inputs'!B592=""),"",AND('Model inputs'!B591,'Model inputs'!B592))))),IF('Model inputs'!B144="","",'Model inputs'!B144),0)="",0,IF(IF(IF(IFERROR('Model inputs'!B591=FALSE,FALSE),FALSE,IF(IFERROR('Model inputs'!B592=FALSE,FALSE),FALSE,IF(OR('Model inputs'!B591="",'Model inputs'!B592=""),"",AND('Model inputs'!B591,'Model inputs'!B592))))="",FALSE,IF(IFERROR('Model inputs'!B591=FALSE,FALSE),FALSE,IF(IFERROR('Model inputs'!B592=FALSE,FALSE),FALSE,IF(OR('Model inputs'!B591="",'Model inputs'!B592=""),"",AND('Model inputs'!B591,'Model inputs'!B592))))),IF('Model inputs'!B144="","",'Model inputs'!B144),0))</f>
        <v>0</v>
      </c>
      <c r="H38" s="9">
        <f>'Model inputs'!B132*IF(IF(IF(IF(IFERROR('Model inputs'!B594=FALSE,FALSE),FALSE,IF(IFERROR('Model inputs'!B595=FALSE,FALSE),FALSE,IF(OR('Model inputs'!B594="",'Model inputs'!B595=""),"",AND('Model inputs'!B594,'Model inputs'!B595))))="",FALSE,IF(IFERROR('Model inputs'!B594=FALSE,FALSE),FALSE,IF(IFERROR('Model inputs'!B595=FALSE,FALSE),FALSE,IF(OR('Model inputs'!B594="",'Model inputs'!B595=""),"",AND('Model inputs'!B594,'Model inputs'!B595))))),IF('Model inputs'!B144="","",'Model inputs'!B144),0)="",0,IF(IF(IF(IFERROR('Model inputs'!B594=FALSE,FALSE),FALSE,IF(IFERROR('Model inputs'!B595=FALSE,FALSE),FALSE,IF(OR('Model inputs'!B594="",'Model inputs'!B595=""),"",AND('Model inputs'!B594,'Model inputs'!B595))))="",FALSE,IF(IFERROR('Model inputs'!B594=FALSE,FALSE),FALSE,IF(IFERROR('Model inputs'!B595=FALSE,FALSE),FALSE,IF(OR('Model inputs'!B594="",'Model inputs'!B595=""),"",AND('Model inputs'!B594,'Model inputs'!B595))))),IF('Model inputs'!B144="","",'Model inputs'!B144),0))</f>
        <v>0</v>
      </c>
      <c r="I38" s="9">
        <f>'Model inputs'!B132*IF(IF(IF(IF(IFERROR('Model inputs'!B597=FALSE,FALSE),FALSE,IF(IFERROR('Model inputs'!B598=FALSE,FALSE),FALSE,IF(OR('Model inputs'!B597="",'Model inputs'!B598=""),"",AND('Model inputs'!B597,'Model inputs'!B598))))="",FALSE,IF(IFERROR('Model inputs'!B597=FALSE,FALSE),FALSE,IF(IFERROR('Model inputs'!B598=FALSE,FALSE),FALSE,IF(OR('Model inputs'!B597="",'Model inputs'!B598=""),"",AND('Model inputs'!B597,'Model inputs'!B598))))),IF('Model inputs'!B144="","",'Model inputs'!B144),0)="",0,IF(IF(IF(IFERROR('Model inputs'!B597=FALSE,FALSE),FALSE,IF(IFERROR('Model inputs'!B598=FALSE,FALSE),FALSE,IF(OR('Model inputs'!B597="",'Model inputs'!B598=""),"",AND('Model inputs'!B597,'Model inputs'!B598))))="",FALSE,IF(IFERROR('Model inputs'!B597=FALSE,FALSE),FALSE,IF(IFERROR('Model inputs'!B598=FALSE,FALSE),FALSE,IF(OR('Model inputs'!B597="",'Model inputs'!B598=""),"",AND('Model inputs'!B597,'Model inputs'!B598))))),IF('Model inputs'!B144="","",'Model inputs'!B144),0))</f>
        <v>0</v>
      </c>
      <c r="J38" s="9">
        <f>'Model inputs'!B132*IF(IF(IF(IF(IFERROR('Model inputs'!B600=FALSE,FALSE),FALSE,IF(IFERROR('Model inputs'!B601=FALSE,FALSE),FALSE,IF(OR('Model inputs'!B600="",'Model inputs'!B601=""),"",AND('Model inputs'!B600,'Model inputs'!B601))))="",FALSE,IF(IFERROR('Model inputs'!B600=FALSE,FALSE),FALSE,IF(IFERROR('Model inputs'!B601=FALSE,FALSE),FALSE,IF(OR('Model inputs'!B600="",'Model inputs'!B601=""),"",AND('Model inputs'!B600,'Model inputs'!B601))))),IF('Model inputs'!B144="","",'Model inputs'!B144),0)="",0,IF(IF(IF(IFERROR('Model inputs'!B600=FALSE,FALSE),FALSE,IF(IFERROR('Model inputs'!B601=FALSE,FALSE),FALSE,IF(OR('Model inputs'!B600="",'Model inputs'!B601=""),"",AND('Model inputs'!B600,'Model inputs'!B601))))="",FALSE,IF(IFERROR('Model inputs'!B600=FALSE,FALSE),FALSE,IF(IFERROR('Model inputs'!B601=FALSE,FALSE),FALSE,IF(OR('Model inputs'!B600="",'Model inputs'!B601=""),"",AND('Model inputs'!B600,'Model inputs'!B601))))),IF('Model inputs'!B144="","",'Model inputs'!B144),0))</f>
        <v>0</v>
      </c>
      <c r="K38" s="9">
        <f>'Model inputs'!B132*IF(IF(IF(IF(IFERROR('Model inputs'!B603=FALSE,FALSE),FALSE,IF(IFERROR('Model inputs'!B604=FALSE,FALSE),FALSE,IF(OR('Model inputs'!B603="",'Model inputs'!B604=""),"",AND('Model inputs'!B603,'Model inputs'!B604))))="",FALSE,IF(IFERROR('Model inputs'!B603=FALSE,FALSE),FALSE,IF(IFERROR('Model inputs'!B604=FALSE,FALSE),FALSE,IF(OR('Model inputs'!B603="",'Model inputs'!B604=""),"",AND('Model inputs'!B603,'Model inputs'!B604))))),IF('Model inputs'!B144="","",'Model inputs'!B144),0)="",0,IF(IF(IF(IFERROR('Model inputs'!B603=FALSE,FALSE),FALSE,IF(IFERROR('Model inputs'!B604=FALSE,FALSE),FALSE,IF(OR('Model inputs'!B603="",'Model inputs'!B604=""),"",AND('Model inputs'!B603,'Model inputs'!B604))))="",FALSE,IF(IFERROR('Model inputs'!B603=FALSE,FALSE),FALSE,IF(IFERROR('Model inputs'!B604=FALSE,FALSE),FALSE,IF(OR('Model inputs'!B603="",'Model inputs'!B604=""),"",AND('Model inputs'!B603,'Model inputs'!B604))))),IF('Model inputs'!B144="","",'Model inputs'!B144),0))</f>
        <v>4000</v>
      </c>
      <c r="L38" s="9">
        <f>'Model inputs'!B132*IF(IF(IF(IF(IFERROR('Model inputs'!B606=FALSE,FALSE),FALSE,IF(IFERROR('Model inputs'!B607=FALSE,FALSE),FALSE,IF(OR('Model inputs'!B606="",'Model inputs'!B607=""),"",AND('Model inputs'!B606,'Model inputs'!B607))))="",FALSE,IF(IFERROR('Model inputs'!B606=FALSE,FALSE),FALSE,IF(IFERROR('Model inputs'!B607=FALSE,FALSE),FALSE,IF(OR('Model inputs'!B606="",'Model inputs'!B607=""),"",AND('Model inputs'!B606,'Model inputs'!B607))))),IF('Model inputs'!B144="","",'Model inputs'!B144),0)="",0,IF(IF(IF(IFERROR('Model inputs'!B606=FALSE,FALSE),FALSE,IF(IFERROR('Model inputs'!B607=FALSE,FALSE),FALSE,IF(OR('Model inputs'!B606="",'Model inputs'!B607=""),"",AND('Model inputs'!B606,'Model inputs'!B607))))="",FALSE,IF(IFERROR('Model inputs'!B606=FALSE,FALSE),FALSE,IF(IFERROR('Model inputs'!B607=FALSE,FALSE),FALSE,IF(OR('Model inputs'!B606="",'Model inputs'!B607=""),"",AND('Model inputs'!B606,'Model inputs'!B607))))),IF('Model inputs'!B144="","",'Model inputs'!B144),0))</f>
        <v>4000</v>
      </c>
      <c r="M38" s="9">
        <f>'Model inputs'!B132*IF(IF(IF(IF(IFERROR('Model inputs'!B609=FALSE,FALSE),FALSE,IF(IFERROR('Model inputs'!B610=FALSE,FALSE),FALSE,IF(OR('Model inputs'!B609="",'Model inputs'!B610=""),"",AND('Model inputs'!B609,'Model inputs'!B610))))="",FALSE,IF(IFERROR('Model inputs'!B609=FALSE,FALSE),FALSE,IF(IFERROR('Model inputs'!B610=FALSE,FALSE),FALSE,IF(OR('Model inputs'!B609="",'Model inputs'!B610=""),"",AND('Model inputs'!B609,'Model inputs'!B610))))),IF('Model inputs'!B144="","",'Model inputs'!B144),0)="",0,IF(IF(IF(IFERROR('Model inputs'!B609=FALSE,FALSE),FALSE,IF(IFERROR('Model inputs'!B610=FALSE,FALSE),FALSE,IF(OR('Model inputs'!B609="",'Model inputs'!B610=""),"",AND('Model inputs'!B609,'Model inputs'!B610))))="",FALSE,IF(IFERROR('Model inputs'!B609=FALSE,FALSE),FALSE,IF(IFERROR('Model inputs'!B610=FALSE,FALSE),FALSE,IF(OR('Model inputs'!B609="",'Model inputs'!B610=""),"",AND('Model inputs'!B609,'Model inputs'!B610))))),IF('Model inputs'!B144="","",'Model inputs'!B144),0))</f>
        <v>4000</v>
      </c>
      <c r="N38" s="9">
        <f>'Model inputs'!B132*IF(IF(IF(IF(IFERROR('Model inputs'!B612=FALSE,FALSE),FALSE,IF(IFERROR('Model inputs'!B613=FALSE,FALSE),FALSE,IF(OR('Model inputs'!B612="",'Model inputs'!B613=""),"",AND('Model inputs'!B612,'Model inputs'!B613))))="",FALSE,IF(IFERROR('Model inputs'!B612=FALSE,FALSE),FALSE,IF(IFERROR('Model inputs'!B613=FALSE,FALSE),FALSE,IF(OR('Model inputs'!B612="",'Model inputs'!B613=""),"",AND('Model inputs'!B612,'Model inputs'!B613))))),IF('Model inputs'!B144="","",'Model inputs'!B144),0)="",0,IF(IF(IF(IFERROR('Model inputs'!B612=FALSE,FALSE),FALSE,IF(IFERROR('Model inputs'!B613=FALSE,FALSE),FALSE,IF(OR('Model inputs'!B612="",'Model inputs'!B613=""),"",AND('Model inputs'!B612,'Model inputs'!B613))))="",FALSE,IF(IFERROR('Model inputs'!B612=FALSE,FALSE),FALSE,IF(IFERROR('Model inputs'!B613=FALSE,FALSE),FALSE,IF(OR('Model inputs'!B612="",'Model inputs'!B613=""),"",AND('Model inputs'!B612,'Model inputs'!B613))))),IF('Model inputs'!B144="","",'Model inputs'!B144),0))</f>
        <v>4000</v>
      </c>
      <c r="O38" s="9">
        <f>'Model inputs'!B132*IF(IF(IF(IF(IFERROR('Model inputs'!B615=FALSE,FALSE),FALSE,IF(IFERROR('Model inputs'!B616=FALSE,FALSE),FALSE,IF(OR('Model inputs'!B615="",'Model inputs'!B616=""),"",AND('Model inputs'!B615,'Model inputs'!B616))))="",FALSE,IF(IFERROR('Model inputs'!B615=FALSE,FALSE),FALSE,IF(IFERROR('Model inputs'!B616=FALSE,FALSE),FALSE,IF(OR('Model inputs'!B615="",'Model inputs'!B616=""),"",AND('Model inputs'!B615,'Model inputs'!B616))))),IF('Model inputs'!B144="","",'Model inputs'!B144),0)="",0,IF(IF(IF(IFERROR('Model inputs'!B615=FALSE,FALSE),FALSE,IF(IFERROR('Model inputs'!B616=FALSE,FALSE),FALSE,IF(OR('Model inputs'!B615="",'Model inputs'!B616=""),"",AND('Model inputs'!B615,'Model inputs'!B616))))="",FALSE,IF(IFERROR('Model inputs'!B615=FALSE,FALSE),FALSE,IF(IFERROR('Model inputs'!B616=FALSE,FALSE),FALSE,IF(OR('Model inputs'!B615="",'Model inputs'!B616=""),"",AND('Model inputs'!B615,'Model inputs'!B616))))),IF('Model inputs'!B144="","",'Model inputs'!B144),0))</f>
        <v>4000</v>
      </c>
      <c r="P38" s="9">
        <f>'Model inputs'!B132*IF(IF(IF(IF(IFERROR('Model inputs'!B618=FALSE,FALSE),FALSE,IF(IFERROR('Model inputs'!B619=FALSE,FALSE),FALSE,IF(OR('Model inputs'!B618="",'Model inputs'!B619=""),"",AND('Model inputs'!B618,'Model inputs'!B619))))="",FALSE,IF(IFERROR('Model inputs'!B618=FALSE,FALSE),FALSE,IF(IFERROR('Model inputs'!B619=FALSE,FALSE),FALSE,IF(OR('Model inputs'!B618="",'Model inputs'!B619=""),"",AND('Model inputs'!B618,'Model inputs'!B619))))),IF('Model inputs'!B144="","",'Model inputs'!B144),0)="",0,IF(IF(IF(IFERROR('Model inputs'!B618=FALSE,FALSE),FALSE,IF(IFERROR('Model inputs'!B619=FALSE,FALSE),FALSE,IF(OR('Model inputs'!B618="",'Model inputs'!B619=""),"",AND('Model inputs'!B618,'Model inputs'!B619))))="",FALSE,IF(IFERROR('Model inputs'!B618=FALSE,FALSE),FALSE,IF(IFERROR('Model inputs'!B619=FALSE,FALSE),FALSE,IF(OR('Model inputs'!B618="",'Model inputs'!B619=""),"",AND('Model inputs'!B618,'Model inputs'!B619))))),IF('Model inputs'!B144="","",'Model inputs'!B144),0))</f>
        <v>4000</v>
      </c>
      <c r="Q38" s="9">
        <f>'Model inputs'!B132*IF(IF(IF(IF(IFERROR('Model inputs'!B621=FALSE,FALSE),FALSE,IF(IFERROR('Model inputs'!B622=FALSE,FALSE),FALSE,IF(OR('Model inputs'!B621="",'Model inputs'!B622=""),"",AND('Model inputs'!B621,'Model inputs'!B622))))="",FALSE,IF(IFERROR('Model inputs'!B621=FALSE,FALSE),FALSE,IF(IFERROR('Model inputs'!B622=FALSE,FALSE),FALSE,IF(OR('Model inputs'!B621="",'Model inputs'!B622=""),"",AND('Model inputs'!B621,'Model inputs'!B622))))),IF('Model inputs'!B144="","",'Model inputs'!B144),0)="",0,IF(IF(IF(IFERROR('Model inputs'!B621=FALSE,FALSE),FALSE,IF(IFERROR('Model inputs'!B622=FALSE,FALSE),FALSE,IF(OR('Model inputs'!B621="",'Model inputs'!B622=""),"",AND('Model inputs'!B621,'Model inputs'!B622))))="",FALSE,IF(IFERROR('Model inputs'!B621=FALSE,FALSE),FALSE,IF(IFERROR('Model inputs'!B622=FALSE,FALSE),FALSE,IF(OR('Model inputs'!B621="",'Model inputs'!B622=""),"",AND('Model inputs'!B621,'Model inputs'!B622))))),IF('Model inputs'!B144="","",'Model inputs'!B144),0))</f>
        <v>4000</v>
      </c>
      <c r="R38" s="9">
        <f>'Model inputs'!B132*IF(IF(IF(IF(IFERROR('Model inputs'!B624=FALSE,FALSE),FALSE,IF(IFERROR('Model inputs'!B625=FALSE,FALSE),FALSE,IF(OR('Model inputs'!B624="",'Model inputs'!B625=""),"",AND('Model inputs'!B624,'Model inputs'!B625))))="",FALSE,IF(IFERROR('Model inputs'!B624=FALSE,FALSE),FALSE,IF(IFERROR('Model inputs'!B625=FALSE,FALSE),FALSE,IF(OR('Model inputs'!B624="",'Model inputs'!B625=""),"",AND('Model inputs'!B624,'Model inputs'!B625))))),IF('Model inputs'!B144="","",'Model inputs'!B144),0)="",0,IF(IF(IF(IFERROR('Model inputs'!B624=FALSE,FALSE),FALSE,IF(IFERROR('Model inputs'!B625=FALSE,FALSE),FALSE,IF(OR('Model inputs'!B624="",'Model inputs'!B625=""),"",AND('Model inputs'!B624,'Model inputs'!B625))))="",FALSE,IF(IFERROR('Model inputs'!B624=FALSE,FALSE),FALSE,IF(IFERROR('Model inputs'!B625=FALSE,FALSE),FALSE,IF(OR('Model inputs'!B624="",'Model inputs'!B625=""),"",AND('Model inputs'!B624,'Model inputs'!B625))))),IF('Model inputs'!B144="","",'Model inputs'!B144),0))</f>
        <v>4000</v>
      </c>
      <c r="S38" s="9">
        <f>'Model inputs'!B132*IF(IF(IF(IF(IFERROR('Model inputs'!B627=FALSE,FALSE),FALSE,IF(IFERROR('Model inputs'!B628=FALSE,FALSE),FALSE,IF(OR('Model inputs'!B627="",'Model inputs'!B628=""),"",AND('Model inputs'!B627,'Model inputs'!B628))))="",FALSE,IF(IFERROR('Model inputs'!B627=FALSE,FALSE),FALSE,IF(IFERROR('Model inputs'!B628=FALSE,FALSE),FALSE,IF(OR('Model inputs'!B627="",'Model inputs'!B628=""),"",AND('Model inputs'!B627,'Model inputs'!B628))))),IF('Model inputs'!B144="","",'Model inputs'!B144),0)="",0,IF(IF(IF(IFERROR('Model inputs'!B627=FALSE,FALSE),FALSE,IF(IFERROR('Model inputs'!B628=FALSE,FALSE),FALSE,IF(OR('Model inputs'!B627="",'Model inputs'!B628=""),"",AND('Model inputs'!B627,'Model inputs'!B628))))="",FALSE,IF(IFERROR('Model inputs'!B627=FALSE,FALSE),FALSE,IF(IFERROR('Model inputs'!B628=FALSE,FALSE),FALSE,IF(OR('Model inputs'!B627="",'Model inputs'!B628=""),"",AND('Model inputs'!B627,'Model inputs'!B628))))),IF('Model inputs'!B144="","",'Model inputs'!B144),0))</f>
        <v>4000</v>
      </c>
      <c r="T38" s="9">
        <f>'Model inputs'!B132*IF(IF(IF(IF(IFERROR('Model inputs'!B630=FALSE,FALSE),FALSE,IF(IFERROR('Model inputs'!B631=FALSE,FALSE),FALSE,IF(OR('Model inputs'!B630="",'Model inputs'!B631=""),"",AND('Model inputs'!B630,'Model inputs'!B631))))="",FALSE,IF(IFERROR('Model inputs'!B630=FALSE,FALSE),FALSE,IF(IFERROR('Model inputs'!B631=FALSE,FALSE),FALSE,IF(OR('Model inputs'!B630="",'Model inputs'!B631=""),"",AND('Model inputs'!B630,'Model inputs'!B631))))),IF('Model inputs'!B144="","",'Model inputs'!B144),0)="",0,IF(IF(IF(IFERROR('Model inputs'!B630=FALSE,FALSE),FALSE,IF(IFERROR('Model inputs'!B631=FALSE,FALSE),FALSE,IF(OR('Model inputs'!B630="",'Model inputs'!B631=""),"",AND('Model inputs'!B630,'Model inputs'!B631))))="",FALSE,IF(IFERROR('Model inputs'!B630=FALSE,FALSE),FALSE,IF(IFERROR('Model inputs'!B631=FALSE,FALSE),FALSE,IF(OR('Model inputs'!B630="",'Model inputs'!B631=""),"",AND('Model inputs'!B630,'Model inputs'!B631))))),IF('Model inputs'!B144="","",'Model inputs'!B144),0))</f>
        <v>4000</v>
      </c>
      <c r="U38" s="9">
        <f>'Model inputs'!B132*IF(IF(IF(IF(IFERROR('Model inputs'!B633=FALSE,FALSE),FALSE,IF(IFERROR('Model inputs'!B634=FALSE,FALSE),FALSE,IF(OR('Model inputs'!B633="",'Model inputs'!B634=""),"",AND('Model inputs'!B633,'Model inputs'!B634))))="",FALSE,IF(IFERROR('Model inputs'!B633=FALSE,FALSE),FALSE,IF(IFERROR('Model inputs'!B634=FALSE,FALSE),FALSE,IF(OR('Model inputs'!B633="",'Model inputs'!B634=""),"",AND('Model inputs'!B633,'Model inputs'!B634))))),IF('Model inputs'!B144="","",'Model inputs'!B144),0)="",0,IF(IF(IF(IFERROR('Model inputs'!B633=FALSE,FALSE),FALSE,IF(IFERROR('Model inputs'!B634=FALSE,FALSE),FALSE,IF(OR('Model inputs'!B633="",'Model inputs'!B634=""),"",AND('Model inputs'!B633,'Model inputs'!B634))))="",FALSE,IF(IFERROR('Model inputs'!B633=FALSE,FALSE),FALSE,IF(IFERROR('Model inputs'!B634=FALSE,FALSE),FALSE,IF(OR('Model inputs'!B633="",'Model inputs'!B634=""),"",AND('Model inputs'!B633,'Model inputs'!B634))))),IF('Model inputs'!B144="","",'Model inputs'!B144),0))</f>
        <v>4000</v>
      </c>
      <c r="V38" s="9">
        <f>'Model inputs'!B132*IF(IF(IF(IF(IFERROR('Model inputs'!B636=FALSE,FALSE),FALSE,IF(IFERROR('Model inputs'!B637=FALSE,FALSE),FALSE,IF(OR('Model inputs'!B636="",'Model inputs'!B637=""),"",AND('Model inputs'!B636,'Model inputs'!B637))))="",FALSE,IF(IFERROR('Model inputs'!B636=FALSE,FALSE),FALSE,IF(IFERROR('Model inputs'!B637=FALSE,FALSE),FALSE,IF(OR('Model inputs'!B636="",'Model inputs'!B637=""),"",AND('Model inputs'!B636,'Model inputs'!B637))))),IF('Model inputs'!B144="","",'Model inputs'!B144),0)="",0,IF(IF(IF(IFERROR('Model inputs'!B636=FALSE,FALSE),FALSE,IF(IFERROR('Model inputs'!B637=FALSE,FALSE),FALSE,IF(OR('Model inputs'!B636="",'Model inputs'!B637=""),"",AND('Model inputs'!B636,'Model inputs'!B637))))="",FALSE,IF(IFERROR('Model inputs'!B636=FALSE,FALSE),FALSE,IF(IFERROR('Model inputs'!B637=FALSE,FALSE),FALSE,IF(OR('Model inputs'!B636="",'Model inputs'!B637=""),"",AND('Model inputs'!B636,'Model inputs'!B637))))),IF('Model inputs'!B144="","",'Model inputs'!B144),0))</f>
        <v>4000</v>
      </c>
    </row>
    <row r="39" outlineLevel="1">
      <c r="A39" t="inlineStr" s="18">
        <is>
          <t xml:space="preserve">Opex &gt; Founder salary (0.5 FTE)</t>
        </is>
      </c>
      <c r="C39" s="9">
        <f>'Model inputs'!B133*IF(IF(IF(IF(IFERROR('Model inputs'!B639=FALSE,FALSE),FALSE,IF(IFERROR('Model inputs'!B640=FALSE,FALSE),FALSE,IF(OR('Model inputs'!B639="",'Model inputs'!B640=""),"",AND('Model inputs'!B639,'Model inputs'!B640))))="",FALSE,IF(IFERROR('Model inputs'!B639=FALSE,FALSE),FALSE,IF(IFERROR('Model inputs'!B640=FALSE,FALSE),FALSE,IF(OR('Model inputs'!B639="",'Model inputs'!B640=""),"",AND('Model inputs'!B639,'Model inputs'!B640))))),IF('Model inputs'!B145="","",'Model inputs'!B145),0)="",0,IF(IF(IF(IFERROR('Model inputs'!B639=FALSE,FALSE),FALSE,IF(IFERROR('Model inputs'!B640=FALSE,FALSE),FALSE,IF(OR('Model inputs'!B639="",'Model inputs'!B640=""),"",AND('Model inputs'!B639,'Model inputs'!B640))))="",FALSE,IF(IFERROR('Model inputs'!B639=FALSE,FALSE),FALSE,IF(IFERROR('Model inputs'!B640=FALSE,FALSE),FALSE,IF(OR('Model inputs'!B639="",'Model inputs'!B640=""),"",AND('Model inputs'!B639,'Model inputs'!B640))))),IF('Model inputs'!B145="","",'Model inputs'!B145),0))</f>
        <v>0</v>
      </c>
      <c r="D39" s="9">
        <f>'Model inputs'!B133*IF(IF(IF(IF(IFERROR('Model inputs'!B642=FALSE,FALSE),FALSE,IF(IFERROR('Model inputs'!B643=FALSE,FALSE),FALSE,IF(OR('Model inputs'!B642="",'Model inputs'!B643=""),"",AND('Model inputs'!B642,'Model inputs'!B643))))="",FALSE,IF(IFERROR('Model inputs'!B642=FALSE,FALSE),FALSE,IF(IFERROR('Model inputs'!B643=FALSE,FALSE),FALSE,IF(OR('Model inputs'!B642="",'Model inputs'!B643=""),"",AND('Model inputs'!B642,'Model inputs'!B643))))),IF('Model inputs'!B145="","",'Model inputs'!B145),0)="",0,IF(IF(IF(IFERROR('Model inputs'!B642=FALSE,FALSE),FALSE,IF(IFERROR('Model inputs'!B643=FALSE,FALSE),FALSE,IF(OR('Model inputs'!B642="",'Model inputs'!B643=""),"",AND('Model inputs'!B642,'Model inputs'!B643))))="",FALSE,IF(IFERROR('Model inputs'!B642=FALSE,FALSE),FALSE,IF(IFERROR('Model inputs'!B643=FALSE,FALSE),FALSE,IF(OR('Model inputs'!B642="",'Model inputs'!B643=""),"",AND('Model inputs'!B642,'Model inputs'!B643))))),IF('Model inputs'!B145="","",'Model inputs'!B145),0))</f>
        <v>0</v>
      </c>
      <c r="E39" s="9">
        <f>'Model inputs'!B133*IF(IF(IF(IF(IFERROR('Model inputs'!B645=FALSE,FALSE),FALSE,IF(IFERROR('Model inputs'!B646=FALSE,FALSE),FALSE,IF(OR('Model inputs'!B645="",'Model inputs'!B646=""),"",AND('Model inputs'!B645,'Model inputs'!B646))))="",FALSE,IF(IFERROR('Model inputs'!B645=FALSE,FALSE),FALSE,IF(IFERROR('Model inputs'!B646=FALSE,FALSE),FALSE,IF(OR('Model inputs'!B645="",'Model inputs'!B646=""),"",AND('Model inputs'!B645,'Model inputs'!B646))))),IF('Model inputs'!B145="","",'Model inputs'!B145),0)="",0,IF(IF(IF(IFERROR('Model inputs'!B645=FALSE,FALSE),FALSE,IF(IFERROR('Model inputs'!B646=FALSE,FALSE),FALSE,IF(OR('Model inputs'!B645="",'Model inputs'!B646=""),"",AND('Model inputs'!B645,'Model inputs'!B646))))="",FALSE,IF(IFERROR('Model inputs'!B645=FALSE,FALSE),FALSE,IF(IFERROR('Model inputs'!B646=FALSE,FALSE),FALSE,IF(OR('Model inputs'!B645="",'Model inputs'!B646=""),"",AND('Model inputs'!B645,'Model inputs'!B646))))),IF('Model inputs'!B145="","",'Model inputs'!B145),0))</f>
        <v>4000</v>
      </c>
      <c r="F39" s="9">
        <f>'Model inputs'!B133*IF(IF(IF(IF(IFERROR('Model inputs'!B648=FALSE,FALSE),FALSE,IF(IFERROR('Model inputs'!B649=FALSE,FALSE),FALSE,IF(OR('Model inputs'!B648="",'Model inputs'!B649=""),"",AND('Model inputs'!B648,'Model inputs'!B649))))="",FALSE,IF(IFERROR('Model inputs'!B648=FALSE,FALSE),FALSE,IF(IFERROR('Model inputs'!B649=FALSE,FALSE),FALSE,IF(OR('Model inputs'!B648="",'Model inputs'!B649=""),"",AND('Model inputs'!B648,'Model inputs'!B649))))),IF('Model inputs'!B145="","",'Model inputs'!B145),0)="",0,IF(IF(IF(IFERROR('Model inputs'!B648=FALSE,FALSE),FALSE,IF(IFERROR('Model inputs'!B649=FALSE,FALSE),FALSE,IF(OR('Model inputs'!B648="",'Model inputs'!B649=""),"",AND('Model inputs'!B648,'Model inputs'!B649))))="",FALSE,IF(IFERROR('Model inputs'!B648=FALSE,FALSE),FALSE,IF(IFERROR('Model inputs'!B649=FALSE,FALSE),FALSE,IF(OR('Model inputs'!B648="",'Model inputs'!B649=""),"",AND('Model inputs'!B648,'Model inputs'!B649))))),IF('Model inputs'!B145="","",'Model inputs'!B145),0))</f>
        <v>4000</v>
      </c>
      <c r="G39" s="9">
        <f>'Model inputs'!B133*IF(IF(IF(IF(IFERROR('Model inputs'!B651=FALSE,FALSE),FALSE,IF(IFERROR('Model inputs'!B652=FALSE,FALSE),FALSE,IF(OR('Model inputs'!B651="",'Model inputs'!B652=""),"",AND('Model inputs'!B651,'Model inputs'!B652))))="",FALSE,IF(IFERROR('Model inputs'!B651=FALSE,FALSE),FALSE,IF(IFERROR('Model inputs'!B652=FALSE,FALSE),FALSE,IF(OR('Model inputs'!B651="",'Model inputs'!B652=""),"",AND('Model inputs'!B651,'Model inputs'!B652))))),IF('Model inputs'!B145="","",'Model inputs'!B145),0)="",0,IF(IF(IF(IFERROR('Model inputs'!B651=FALSE,FALSE),FALSE,IF(IFERROR('Model inputs'!B652=FALSE,FALSE),FALSE,IF(OR('Model inputs'!B651="",'Model inputs'!B652=""),"",AND('Model inputs'!B651,'Model inputs'!B652))))="",FALSE,IF(IFERROR('Model inputs'!B651=FALSE,FALSE),FALSE,IF(IFERROR('Model inputs'!B652=FALSE,FALSE),FALSE,IF(OR('Model inputs'!B651="",'Model inputs'!B652=""),"",AND('Model inputs'!B651,'Model inputs'!B652))))),IF('Model inputs'!B145="","",'Model inputs'!B145),0))</f>
        <v>4000</v>
      </c>
      <c r="H39" s="9">
        <f>'Model inputs'!B133*IF(IF(IF(IF(IFERROR('Model inputs'!B654=FALSE,FALSE),FALSE,IF(IFERROR('Model inputs'!B655=FALSE,FALSE),FALSE,IF(OR('Model inputs'!B654="",'Model inputs'!B655=""),"",AND('Model inputs'!B654,'Model inputs'!B655))))="",FALSE,IF(IFERROR('Model inputs'!B654=FALSE,FALSE),FALSE,IF(IFERROR('Model inputs'!B655=FALSE,FALSE),FALSE,IF(OR('Model inputs'!B654="",'Model inputs'!B655=""),"",AND('Model inputs'!B654,'Model inputs'!B655))))),IF('Model inputs'!B145="","",'Model inputs'!B145),0)="",0,IF(IF(IF(IFERROR('Model inputs'!B654=FALSE,FALSE),FALSE,IF(IFERROR('Model inputs'!B655=FALSE,FALSE),FALSE,IF(OR('Model inputs'!B654="",'Model inputs'!B655=""),"",AND('Model inputs'!B654,'Model inputs'!B655))))="",FALSE,IF(IFERROR('Model inputs'!B654=FALSE,FALSE),FALSE,IF(IFERROR('Model inputs'!B655=FALSE,FALSE),FALSE,IF(OR('Model inputs'!B654="",'Model inputs'!B655=""),"",AND('Model inputs'!B654,'Model inputs'!B655))))),IF('Model inputs'!B145="","",'Model inputs'!B145),0))</f>
        <v>4000</v>
      </c>
      <c r="I39" s="9">
        <f>'Model inputs'!B133*IF(IF(IF(IF(IFERROR('Model inputs'!B657=FALSE,FALSE),FALSE,IF(IFERROR('Model inputs'!B658=FALSE,FALSE),FALSE,IF(OR('Model inputs'!B657="",'Model inputs'!B658=""),"",AND('Model inputs'!B657,'Model inputs'!B658))))="",FALSE,IF(IFERROR('Model inputs'!B657=FALSE,FALSE),FALSE,IF(IFERROR('Model inputs'!B658=FALSE,FALSE),FALSE,IF(OR('Model inputs'!B657="",'Model inputs'!B658=""),"",AND('Model inputs'!B657,'Model inputs'!B658))))),IF('Model inputs'!B145="","",'Model inputs'!B145),0)="",0,IF(IF(IF(IFERROR('Model inputs'!B657=FALSE,FALSE),FALSE,IF(IFERROR('Model inputs'!B658=FALSE,FALSE),FALSE,IF(OR('Model inputs'!B657="",'Model inputs'!B658=""),"",AND('Model inputs'!B657,'Model inputs'!B658))))="",FALSE,IF(IFERROR('Model inputs'!B657=FALSE,FALSE),FALSE,IF(IFERROR('Model inputs'!B658=FALSE,FALSE),FALSE,IF(OR('Model inputs'!B657="",'Model inputs'!B658=""),"",AND('Model inputs'!B657,'Model inputs'!B658))))),IF('Model inputs'!B145="","",'Model inputs'!B145),0))</f>
        <v>4000</v>
      </c>
      <c r="J39" s="9">
        <f>'Model inputs'!B133*IF(IF(IF(IF(IFERROR('Model inputs'!B660=FALSE,FALSE),FALSE,IF(IFERROR('Model inputs'!B661=FALSE,FALSE),FALSE,IF(OR('Model inputs'!B660="",'Model inputs'!B661=""),"",AND('Model inputs'!B660,'Model inputs'!B661))))="",FALSE,IF(IFERROR('Model inputs'!B660=FALSE,FALSE),FALSE,IF(IFERROR('Model inputs'!B661=FALSE,FALSE),FALSE,IF(OR('Model inputs'!B660="",'Model inputs'!B661=""),"",AND('Model inputs'!B660,'Model inputs'!B661))))),IF('Model inputs'!B145="","",'Model inputs'!B145),0)="",0,IF(IF(IF(IFERROR('Model inputs'!B660=FALSE,FALSE),FALSE,IF(IFERROR('Model inputs'!B661=FALSE,FALSE),FALSE,IF(OR('Model inputs'!B660="",'Model inputs'!B661=""),"",AND('Model inputs'!B660,'Model inputs'!B661))))="",FALSE,IF(IFERROR('Model inputs'!B660=FALSE,FALSE),FALSE,IF(IFERROR('Model inputs'!B661=FALSE,FALSE),FALSE,IF(OR('Model inputs'!B660="",'Model inputs'!B661=""),"",AND('Model inputs'!B660,'Model inputs'!B661))))),IF('Model inputs'!B145="","",'Model inputs'!B145),0))</f>
        <v>4000</v>
      </c>
      <c r="K39" s="9">
        <f>'Model inputs'!B133*IF(IF(IF(IF(IFERROR('Model inputs'!B663=FALSE,FALSE),FALSE,IF(IFERROR('Model inputs'!B664=FALSE,FALSE),FALSE,IF(OR('Model inputs'!B663="",'Model inputs'!B664=""),"",AND('Model inputs'!B663,'Model inputs'!B664))))="",FALSE,IF(IFERROR('Model inputs'!B663=FALSE,FALSE),FALSE,IF(IFERROR('Model inputs'!B664=FALSE,FALSE),FALSE,IF(OR('Model inputs'!B663="",'Model inputs'!B664=""),"",AND('Model inputs'!B663,'Model inputs'!B664))))),IF('Model inputs'!B145="","",'Model inputs'!B145),0)="",0,IF(IF(IF(IFERROR('Model inputs'!B663=FALSE,FALSE),FALSE,IF(IFERROR('Model inputs'!B664=FALSE,FALSE),FALSE,IF(OR('Model inputs'!B663="",'Model inputs'!B664=""),"",AND('Model inputs'!B663,'Model inputs'!B664))))="",FALSE,IF(IFERROR('Model inputs'!B663=FALSE,FALSE),FALSE,IF(IFERROR('Model inputs'!B664=FALSE,FALSE),FALSE,IF(OR('Model inputs'!B663="",'Model inputs'!B664=""),"",AND('Model inputs'!B663,'Model inputs'!B664))))),IF('Model inputs'!B145="","",'Model inputs'!B145),0))</f>
        <v>4000</v>
      </c>
      <c r="L39" s="9">
        <f>'Model inputs'!B133*IF(IF(IF(IF(IFERROR('Model inputs'!B666=FALSE,FALSE),FALSE,IF(IFERROR('Model inputs'!B667=FALSE,FALSE),FALSE,IF(OR('Model inputs'!B666="",'Model inputs'!B667=""),"",AND('Model inputs'!B666,'Model inputs'!B667))))="",FALSE,IF(IFERROR('Model inputs'!B666=FALSE,FALSE),FALSE,IF(IFERROR('Model inputs'!B667=FALSE,FALSE),FALSE,IF(OR('Model inputs'!B666="",'Model inputs'!B667=""),"",AND('Model inputs'!B666,'Model inputs'!B667))))),IF('Model inputs'!B145="","",'Model inputs'!B145),0)="",0,IF(IF(IF(IFERROR('Model inputs'!B666=FALSE,FALSE),FALSE,IF(IFERROR('Model inputs'!B667=FALSE,FALSE),FALSE,IF(OR('Model inputs'!B666="",'Model inputs'!B667=""),"",AND('Model inputs'!B666,'Model inputs'!B667))))="",FALSE,IF(IFERROR('Model inputs'!B666=FALSE,FALSE),FALSE,IF(IFERROR('Model inputs'!B667=FALSE,FALSE),FALSE,IF(OR('Model inputs'!B666="",'Model inputs'!B667=""),"",AND('Model inputs'!B666,'Model inputs'!B667))))),IF('Model inputs'!B145="","",'Model inputs'!B145),0))</f>
        <v>4000</v>
      </c>
      <c r="M39" s="9">
        <f>'Model inputs'!B133*IF(IF(IF(IF(IFERROR('Model inputs'!B669=FALSE,FALSE),FALSE,IF(IFERROR('Model inputs'!B670=FALSE,FALSE),FALSE,IF(OR('Model inputs'!B669="",'Model inputs'!B670=""),"",AND('Model inputs'!B669,'Model inputs'!B670))))="",FALSE,IF(IFERROR('Model inputs'!B669=FALSE,FALSE),FALSE,IF(IFERROR('Model inputs'!B670=FALSE,FALSE),FALSE,IF(OR('Model inputs'!B669="",'Model inputs'!B670=""),"",AND('Model inputs'!B669,'Model inputs'!B670))))),IF('Model inputs'!B145="","",'Model inputs'!B145),0)="",0,IF(IF(IF(IFERROR('Model inputs'!B669=FALSE,FALSE),FALSE,IF(IFERROR('Model inputs'!B670=FALSE,FALSE),FALSE,IF(OR('Model inputs'!B669="",'Model inputs'!B670=""),"",AND('Model inputs'!B669,'Model inputs'!B670))))="",FALSE,IF(IFERROR('Model inputs'!B669=FALSE,FALSE),FALSE,IF(IFERROR('Model inputs'!B670=FALSE,FALSE),FALSE,IF(OR('Model inputs'!B669="",'Model inputs'!B670=""),"",AND('Model inputs'!B669,'Model inputs'!B670))))),IF('Model inputs'!B145="","",'Model inputs'!B145),0))</f>
        <v>4000</v>
      </c>
      <c r="N39" s="9">
        <f>'Model inputs'!B133*IF(IF(IF(IF(IFERROR('Model inputs'!B672=FALSE,FALSE),FALSE,IF(IFERROR('Model inputs'!B673=FALSE,FALSE),FALSE,IF(OR('Model inputs'!B672="",'Model inputs'!B673=""),"",AND('Model inputs'!B672,'Model inputs'!B673))))="",FALSE,IF(IFERROR('Model inputs'!B672=FALSE,FALSE),FALSE,IF(IFERROR('Model inputs'!B673=FALSE,FALSE),FALSE,IF(OR('Model inputs'!B672="",'Model inputs'!B673=""),"",AND('Model inputs'!B672,'Model inputs'!B673))))),IF('Model inputs'!B145="","",'Model inputs'!B145),0)="",0,IF(IF(IF(IFERROR('Model inputs'!B672=FALSE,FALSE),FALSE,IF(IFERROR('Model inputs'!B673=FALSE,FALSE),FALSE,IF(OR('Model inputs'!B672="",'Model inputs'!B673=""),"",AND('Model inputs'!B672,'Model inputs'!B673))))="",FALSE,IF(IFERROR('Model inputs'!B672=FALSE,FALSE),FALSE,IF(IFERROR('Model inputs'!B673=FALSE,FALSE),FALSE,IF(OR('Model inputs'!B672="",'Model inputs'!B673=""),"",AND('Model inputs'!B672,'Model inputs'!B673))))),IF('Model inputs'!B145="","",'Model inputs'!B145),0))</f>
        <v>4000</v>
      </c>
      <c r="O39" s="9">
        <f>'Model inputs'!B133*IF(IF(IF(IF(IFERROR('Model inputs'!B675=FALSE,FALSE),FALSE,IF(IFERROR('Model inputs'!B676=FALSE,FALSE),FALSE,IF(OR('Model inputs'!B675="",'Model inputs'!B676=""),"",AND('Model inputs'!B675,'Model inputs'!B676))))="",FALSE,IF(IFERROR('Model inputs'!B675=FALSE,FALSE),FALSE,IF(IFERROR('Model inputs'!B676=FALSE,FALSE),FALSE,IF(OR('Model inputs'!B675="",'Model inputs'!B676=""),"",AND('Model inputs'!B675,'Model inputs'!B676))))),IF('Model inputs'!B145="","",'Model inputs'!B145),0)="",0,IF(IF(IF(IFERROR('Model inputs'!B675=FALSE,FALSE),FALSE,IF(IFERROR('Model inputs'!B676=FALSE,FALSE),FALSE,IF(OR('Model inputs'!B675="",'Model inputs'!B676=""),"",AND('Model inputs'!B675,'Model inputs'!B676))))="",FALSE,IF(IFERROR('Model inputs'!B675=FALSE,FALSE),FALSE,IF(IFERROR('Model inputs'!B676=FALSE,FALSE),FALSE,IF(OR('Model inputs'!B675="",'Model inputs'!B676=""),"",AND('Model inputs'!B675,'Model inputs'!B676))))),IF('Model inputs'!B145="","",'Model inputs'!B145),0))</f>
        <v>4000</v>
      </c>
      <c r="P39" s="9">
        <f>'Model inputs'!B133*IF(IF(IF(IF(IFERROR('Model inputs'!B678=FALSE,FALSE),FALSE,IF(IFERROR('Model inputs'!B679=FALSE,FALSE),FALSE,IF(OR('Model inputs'!B678="",'Model inputs'!B679=""),"",AND('Model inputs'!B678,'Model inputs'!B679))))="",FALSE,IF(IFERROR('Model inputs'!B678=FALSE,FALSE),FALSE,IF(IFERROR('Model inputs'!B679=FALSE,FALSE),FALSE,IF(OR('Model inputs'!B678="",'Model inputs'!B679=""),"",AND('Model inputs'!B678,'Model inputs'!B679))))),IF('Model inputs'!B145="","",'Model inputs'!B145),0)="",0,IF(IF(IF(IFERROR('Model inputs'!B678=FALSE,FALSE),FALSE,IF(IFERROR('Model inputs'!B679=FALSE,FALSE),FALSE,IF(OR('Model inputs'!B678="",'Model inputs'!B679=""),"",AND('Model inputs'!B678,'Model inputs'!B679))))="",FALSE,IF(IFERROR('Model inputs'!B678=FALSE,FALSE),FALSE,IF(IFERROR('Model inputs'!B679=FALSE,FALSE),FALSE,IF(OR('Model inputs'!B678="",'Model inputs'!B679=""),"",AND('Model inputs'!B678,'Model inputs'!B679))))),IF('Model inputs'!B145="","",'Model inputs'!B145),0))</f>
        <v>4000</v>
      </c>
      <c r="Q39" s="9">
        <f>'Model inputs'!B133*IF(IF(IF(IF(IFERROR('Model inputs'!B681=FALSE,FALSE),FALSE,IF(IFERROR('Model inputs'!B682=FALSE,FALSE),FALSE,IF(OR('Model inputs'!B681="",'Model inputs'!B682=""),"",AND('Model inputs'!B681,'Model inputs'!B682))))="",FALSE,IF(IFERROR('Model inputs'!B681=FALSE,FALSE),FALSE,IF(IFERROR('Model inputs'!B682=FALSE,FALSE),FALSE,IF(OR('Model inputs'!B681="",'Model inputs'!B682=""),"",AND('Model inputs'!B681,'Model inputs'!B682))))),IF('Model inputs'!B145="","",'Model inputs'!B145),0)="",0,IF(IF(IF(IFERROR('Model inputs'!B681=FALSE,FALSE),FALSE,IF(IFERROR('Model inputs'!B682=FALSE,FALSE),FALSE,IF(OR('Model inputs'!B681="",'Model inputs'!B682=""),"",AND('Model inputs'!B681,'Model inputs'!B682))))="",FALSE,IF(IFERROR('Model inputs'!B681=FALSE,FALSE),FALSE,IF(IFERROR('Model inputs'!B682=FALSE,FALSE),FALSE,IF(OR('Model inputs'!B681="",'Model inputs'!B682=""),"",AND('Model inputs'!B681,'Model inputs'!B682))))),IF('Model inputs'!B145="","",'Model inputs'!B145),0))</f>
        <v>4000</v>
      </c>
      <c r="R39" s="9">
        <f>'Model inputs'!B133*IF(IF(IF(IF(IFERROR('Model inputs'!B684=FALSE,FALSE),FALSE,IF(IFERROR('Model inputs'!B685=FALSE,FALSE),FALSE,IF(OR('Model inputs'!B684="",'Model inputs'!B685=""),"",AND('Model inputs'!B684,'Model inputs'!B685))))="",FALSE,IF(IFERROR('Model inputs'!B684=FALSE,FALSE),FALSE,IF(IFERROR('Model inputs'!B685=FALSE,FALSE),FALSE,IF(OR('Model inputs'!B684="",'Model inputs'!B685=""),"",AND('Model inputs'!B684,'Model inputs'!B685))))),IF('Model inputs'!B145="","",'Model inputs'!B145),0)="",0,IF(IF(IF(IFERROR('Model inputs'!B684=FALSE,FALSE),FALSE,IF(IFERROR('Model inputs'!B685=FALSE,FALSE),FALSE,IF(OR('Model inputs'!B684="",'Model inputs'!B685=""),"",AND('Model inputs'!B684,'Model inputs'!B685))))="",FALSE,IF(IFERROR('Model inputs'!B684=FALSE,FALSE),FALSE,IF(IFERROR('Model inputs'!B685=FALSE,FALSE),FALSE,IF(OR('Model inputs'!B684="",'Model inputs'!B685=""),"",AND('Model inputs'!B684,'Model inputs'!B685))))),IF('Model inputs'!B145="","",'Model inputs'!B145),0))</f>
        <v>4000</v>
      </c>
      <c r="S39" s="9">
        <f>'Model inputs'!B133*IF(IF(IF(IF(IFERROR('Model inputs'!B687=FALSE,FALSE),FALSE,IF(IFERROR('Model inputs'!B688=FALSE,FALSE),FALSE,IF(OR('Model inputs'!B687="",'Model inputs'!B688=""),"",AND('Model inputs'!B687,'Model inputs'!B688))))="",FALSE,IF(IFERROR('Model inputs'!B687=FALSE,FALSE),FALSE,IF(IFERROR('Model inputs'!B688=FALSE,FALSE),FALSE,IF(OR('Model inputs'!B687="",'Model inputs'!B688=""),"",AND('Model inputs'!B687,'Model inputs'!B688))))),IF('Model inputs'!B145="","",'Model inputs'!B145),0)="",0,IF(IF(IF(IFERROR('Model inputs'!B687=FALSE,FALSE),FALSE,IF(IFERROR('Model inputs'!B688=FALSE,FALSE),FALSE,IF(OR('Model inputs'!B687="",'Model inputs'!B688=""),"",AND('Model inputs'!B687,'Model inputs'!B688))))="",FALSE,IF(IFERROR('Model inputs'!B687=FALSE,FALSE),FALSE,IF(IFERROR('Model inputs'!B688=FALSE,FALSE),FALSE,IF(OR('Model inputs'!B687="",'Model inputs'!B688=""),"",AND('Model inputs'!B687,'Model inputs'!B688))))),IF('Model inputs'!B145="","",'Model inputs'!B145),0))</f>
        <v>4000</v>
      </c>
      <c r="T39" s="9">
        <f>'Model inputs'!B133*IF(IF(IF(IF(IFERROR('Model inputs'!B690=FALSE,FALSE),FALSE,IF(IFERROR('Model inputs'!B691=FALSE,FALSE),FALSE,IF(OR('Model inputs'!B690="",'Model inputs'!B691=""),"",AND('Model inputs'!B690,'Model inputs'!B691))))="",FALSE,IF(IFERROR('Model inputs'!B690=FALSE,FALSE),FALSE,IF(IFERROR('Model inputs'!B691=FALSE,FALSE),FALSE,IF(OR('Model inputs'!B690="",'Model inputs'!B691=""),"",AND('Model inputs'!B690,'Model inputs'!B691))))),IF('Model inputs'!B145="","",'Model inputs'!B145),0)="",0,IF(IF(IF(IFERROR('Model inputs'!B690=FALSE,FALSE),FALSE,IF(IFERROR('Model inputs'!B691=FALSE,FALSE),FALSE,IF(OR('Model inputs'!B690="",'Model inputs'!B691=""),"",AND('Model inputs'!B690,'Model inputs'!B691))))="",FALSE,IF(IFERROR('Model inputs'!B690=FALSE,FALSE),FALSE,IF(IFERROR('Model inputs'!B691=FALSE,FALSE),FALSE,IF(OR('Model inputs'!B690="",'Model inputs'!B691=""),"",AND('Model inputs'!B690,'Model inputs'!B691))))),IF('Model inputs'!B145="","",'Model inputs'!B145),0))</f>
        <v>4000</v>
      </c>
      <c r="U39" s="9">
        <f>'Model inputs'!B133*IF(IF(IF(IF(IFERROR('Model inputs'!B693=FALSE,FALSE),FALSE,IF(IFERROR('Model inputs'!B694=FALSE,FALSE),FALSE,IF(OR('Model inputs'!B693="",'Model inputs'!B694=""),"",AND('Model inputs'!B693,'Model inputs'!B694))))="",FALSE,IF(IFERROR('Model inputs'!B693=FALSE,FALSE),FALSE,IF(IFERROR('Model inputs'!B694=FALSE,FALSE),FALSE,IF(OR('Model inputs'!B693="",'Model inputs'!B694=""),"",AND('Model inputs'!B693,'Model inputs'!B694))))),IF('Model inputs'!B145="","",'Model inputs'!B145),0)="",0,IF(IF(IF(IFERROR('Model inputs'!B693=FALSE,FALSE),FALSE,IF(IFERROR('Model inputs'!B694=FALSE,FALSE),FALSE,IF(OR('Model inputs'!B693="",'Model inputs'!B694=""),"",AND('Model inputs'!B693,'Model inputs'!B694))))="",FALSE,IF(IFERROR('Model inputs'!B693=FALSE,FALSE),FALSE,IF(IFERROR('Model inputs'!B694=FALSE,FALSE),FALSE,IF(OR('Model inputs'!B693="",'Model inputs'!B694=""),"",AND('Model inputs'!B693,'Model inputs'!B694))))),IF('Model inputs'!B145="","",'Model inputs'!B145),0))</f>
        <v>4000</v>
      </c>
      <c r="V39" s="9">
        <f>'Model inputs'!B133*IF(IF(IF(IF(IFERROR('Model inputs'!B696=FALSE,FALSE),FALSE,IF(IFERROR('Model inputs'!B697=FALSE,FALSE),FALSE,IF(OR('Model inputs'!B696="",'Model inputs'!B697=""),"",AND('Model inputs'!B696,'Model inputs'!B697))))="",FALSE,IF(IFERROR('Model inputs'!B696=FALSE,FALSE),FALSE,IF(IFERROR('Model inputs'!B697=FALSE,FALSE),FALSE,IF(OR('Model inputs'!B696="",'Model inputs'!B697=""),"",AND('Model inputs'!B696,'Model inputs'!B697))))),IF('Model inputs'!B145="","",'Model inputs'!B145),0)="",0,IF(IF(IF(IFERROR('Model inputs'!B696=FALSE,FALSE),FALSE,IF(IFERROR('Model inputs'!B697=FALSE,FALSE),FALSE,IF(OR('Model inputs'!B696="",'Model inputs'!B697=""),"",AND('Model inputs'!B696,'Model inputs'!B697))))="",FALSE,IF(IFERROR('Model inputs'!B696=FALSE,FALSE),FALSE,IF(IFERROR('Model inputs'!B697=FALSE,FALSE),FALSE,IF(OR('Model inputs'!B696="",'Model inputs'!B697=""),"",AND('Model inputs'!B696,'Model inputs'!B697))))),IF('Model inputs'!B145="","",'Model inputs'!B145),0))</f>
        <v>4000</v>
      </c>
    </row>
    <row r="40" outlineLevel="1">
      <c r="A40" t="inlineStr" s="18">
        <is>
          <t xml:space="preserve">Opex &gt; Frontend contractor (0.25 FTE)</t>
        </is>
      </c>
      <c r="C40" s="9">
        <f>'Model inputs'!B134*IF(IF(IF(IF(IFERROR('Model inputs'!B699=FALSE,FALSE),FALSE,IF(IFERROR('Model inputs'!B700=FALSE,FALSE),FALSE,IF(OR('Model inputs'!B699="",'Model inputs'!B700=""),"",AND('Model inputs'!B699,'Model inputs'!B700))))="",FALSE,IF(IFERROR('Model inputs'!B699=FALSE,FALSE),FALSE,IF(IFERROR('Model inputs'!B700=FALSE,FALSE),FALSE,IF(OR('Model inputs'!B699="",'Model inputs'!B700=""),"",AND('Model inputs'!B699,'Model inputs'!B700))))),IF('Model inputs'!B146="","",'Model inputs'!B146),0)="",0,IF(IF(IF(IFERROR('Model inputs'!B699=FALSE,FALSE),FALSE,IF(IFERROR('Model inputs'!B700=FALSE,FALSE),FALSE,IF(OR('Model inputs'!B699="",'Model inputs'!B700=""),"",AND('Model inputs'!B699,'Model inputs'!B700))))="",FALSE,IF(IFERROR('Model inputs'!B699=FALSE,FALSE),FALSE,IF(IFERROR('Model inputs'!B700=FALSE,FALSE),FALSE,IF(OR('Model inputs'!B699="",'Model inputs'!B700=""),"",AND('Model inputs'!B699,'Model inputs'!B700))))),IF('Model inputs'!B146="","",'Model inputs'!B146),0))</f>
        <v>0</v>
      </c>
      <c r="D40" s="9">
        <f>'Model inputs'!B134*IF(IF(IF(IF(IFERROR('Model inputs'!B702=FALSE,FALSE),FALSE,IF(IFERROR('Model inputs'!B703=FALSE,FALSE),FALSE,IF(OR('Model inputs'!B702="",'Model inputs'!B703=""),"",AND('Model inputs'!B702,'Model inputs'!B703))))="",FALSE,IF(IFERROR('Model inputs'!B702=FALSE,FALSE),FALSE,IF(IFERROR('Model inputs'!B703=FALSE,FALSE),FALSE,IF(OR('Model inputs'!B702="",'Model inputs'!B703=""),"",AND('Model inputs'!B702,'Model inputs'!B703))))),IF('Model inputs'!B146="","",'Model inputs'!B146),0)="",0,IF(IF(IF(IFERROR('Model inputs'!B702=FALSE,FALSE),FALSE,IF(IFERROR('Model inputs'!B703=FALSE,FALSE),FALSE,IF(OR('Model inputs'!B702="",'Model inputs'!B703=""),"",AND('Model inputs'!B702,'Model inputs'!B703))))="",FALSE,IF(IFERROR('Model inputs'!B702=FALSE,FALSE),FALSE,IF(IFERROR('Model inputs'!B703=FALSE,FALSE),FALSE,IF(OR('Model inputs'!B702="",'Model inputs'!B703=""),"",AND('Model inputs'!B702,'Model inputs'!B703))))),IF('Model inputs'!B146="","",'Model inputs'!B146),0))</f>
        <v>0</v>
      </c>
      <c r="E40" s="9">
        <f>'Model inputs'!B134*IF(IF(IF(IF(IFERROR('Model inputs'!B705=FALSE,FALSE),FALSE,IF(IFERROR('Model inputs'!B706=FALSE,FALSE),FALSE,IF(OR('Model inputs'!B705="",'Model inputs'!B706=""),"",AND('Model inputs'!B705,'Model inputs'!B706))))="",FALSE,IF(IFERROR('Model inputs'!B705=FALSE,FALSE),FALSE,IF(IFERROR('Model inputs'!B706=FALSE,FALSE),FALSE,IF(OR('Model inputs'!B705="",'Model inputs'!B706=""),"",AND('Model inputs'!B705,'Model inputs'!B706))))),IF('Model inputs'!B146="","",'Model inputs'!B146),0)="",0,IF(IF(IF(IFERROR('Model inputs'!B705=FALSE,FALSE),FALSE,IF(IFERROR('Model inputs'!B706=FALSE,FALSE),FALSE,IF(OR('Model inputs'!B705="",'Model inputs'!B706=""),"",AND('Model inputs'!B705,'Model inputs'!B706))))="",FALSE,IF(IFERROR('Model inputs'!B705=FALSE,FALSE),FALSE,IF(IFERROR('Model inputs'!B706=FALSE,FALSE),FALSE,IF(OR('Model inputs'!B705="",'Model inputs'!B706=""),"",AND('Model inputs'!B705,'Model inputs'!B706))))),IF('Model inputs'!B146="","",'Model inputs'!B146),0))</f>
        <v>0</v>
      </c>
      <c r="F40" s="9">
        <f>'Model inputs'!B134*IF(IF(IF(IF(IFERROR('Model inputs'!B708=FALSE,FALSE),FALSE,IF(IFERROR('Model inputs'!B709=FALSE,FALSE),FALSE,IF(OR('Model inputs'!B708="",'Model inputs'!B709=""),"",AND('Model inputs'!B708,'Model inputs'!B709))))="",FALSE,IF(IFERROR('Model inputs'!B708=FALSE,FALSE),FALSE,IF(IFERROR('Model inputs'!B709=FALSE,FALSE),FALSE,IF(OR('Model inputs'!B708="",'Model inputs'!B709=""),"",AND('Model inputs'!B708,'Model inputs'!B709))))),IF('Model inputs'!B146="","",'Model inputs'!B146),0)="",0,IF(IF(IF(IFERROR('Model inputs'!B708=FALSE,FALSE),FALSE,IF(IFERROR('Model inputs'!B709=FALSE,FALSE),FALSE,IF(OR('Model inputs'!B708="",'Model inputs'!B709=""),"",AND('Model inputs'!B708,'Model inputs'!B709))))="",FALSE,IF(IFERROR('Model inputs'!B708=FALSE,FALSE),FALSE,IF(IFERROR('Model inputs'!B709=FALSE,FALSE),FALSE,IF(OR('Model inputs'!B708="",'Model inputs'!B709=""),"",AND('Model inputs'!B708,'Model inputs'!B709))))),IF('Model inputs'!B146="","",'Model inputs'!B146),0))</f>
        <v>0</v>
      </c>
      <c r="G40" s="9">
        <f>'Model inputs'!B134*IF(IF(IF(IF(IFERROR('Model inputs'!B711=FALSE,FALSE),FALSE,IF(IFERROR('Model inputs'!B712=FALSE,FALSE),FALSE,IF(OR('Model inputs'!B711="",'Model inputs'!B712=""),"",AND('Model inputs'!B711,'Model inputs'!B712))))="",FALSE,IF(IFERROR('Model inputs'!B711=FALSE,FALSE),FALSE,IF(IFERROR('Model inputs'!B712=FALSE,FALSE),FALSE,IF(OR('Model inputs'!B711="",'Model inputs'!B712=""),"",AND('Model inputs'!B711,'Model inputs'!B712))))),IF('Model inputs'!B146="","",'Model inputs'!B146),0)="",0,IF(IF(IF(IFERROR('Model inputs'!B711=FALSE,FALSE),FALSE,IF(IFERROR('Model inputs'!B712=FALSE,FALSE),FALSE,IF(OR('Model inputs'!B711="",'Model inputs'!B712=""),"",AND('Model inputs'!B711,'Model inputs'!B712))))="",FALSE,IF(IFERROR('Model inputs'!B711=FALSE,FALSE),FALSE,IF(IFERROR('Model inputs'!B712=FALSE,FALSE),FALSE,IF(OR('Model inputs'!B711="",'Model inputs'!B712=""),"",AND('Model inputs'!B711,'Model inputs'!B712))))),IF('Model inputs'!B146="","",'Model inputs'!B146),0))</f>
        <v>0</v>
      </c>
      <c r="H40" s="9">
        <f>'Model inputs'!B134*IF(IF(IF(IF(IFERROR('Model inputs'!B714=FALSE,FALSE),FALSE,IF(IFERROR('Model inputs'!B715=FALSE,FALSE),FALSE,IF(OR('Model inputs'!B714="",'Model inputs'!B715=""),"",AND('Model inputs'!B714,'Model inputs'!B715))))="",FALSE,IF(IFERROR('Model inputs'!B714=FALSE,FALSE),FALSE,IF(IFERROR('Model inputs'!B715=FALSE,FALSE),FALSE,IF(OR('Model inputs'!B714="",'Model inputs'!B715=""),"",AND('Model inputs'!B714,'Model inputs'!B715))))),IF('Model inputs'!B146="","",'Model inputs'!B146),0)="",0,IF(IF(IF(IFERROR('Model inputs'!B714=FALSE,FALSE),FALSE,IF(IFERROR('Model inputs'!B715=FALSE,FALSE),FALSE,IF(OR('Model inputs'!B714="",'Model inputs'!B715=""),"",AND('Model inputs'!B714,'Model inputs'!B715))))="",FALSE,IF(IFERROR('Model inputs'!B714=FALSE,FALSE),FALSE,IF(IFERROR('Model inputs'!B715=FALSE,FALSE),FALSE,IF(OR('Model inputs'!B714="",'Model inputs'!B715=""),"",AND('Model inputs'!B714,'Model inputs'!B715))))),IF('Model inputs'!B146="","",'Model inputs'!B146),0))</f>
        <v>2000</v>
      </c>
      <c r="I40" s="9">
        <f>'Model inputs'!B134*IF(IF(IF(IF(IFERROR('Model inputs'!B717=FALSE,FALSE),FALSE,IF(IFERROR('Model inputs'!B718=FALSE,FALSE),FALSE,IF(OR('Model inputs'!B717="",'Model inputs'!B718=""),"",AND('Model inputs'!B717,'Model inputs'!B718))))="",FALSE,IF(IFERROR('Model inputs'!B717=FALSE,FALSE),FALSE,IF(IFERROR('Model inputs'!B718=FALSE,FALSE),FALSE,IF(OR('Model inputs'!B717="",'Model inputs'!B718=""),"",AND('Model inputs'!B717,'Model inputs'!B718))))),IF('Model inputs'!B146="","",'Model inputs'!B146),0)="",0,IF(IF(IF(IFERROR('Model inputs'!B717=FALSE,FALSE),FALSE,IF(IFERROR('Model inputs'!B718=FALSE,FALSE),FALSE,IF(OR('Model inputs'!B717="",'Model inputs'!B718=""),"",AND('Model inputs'!B717,'Model inputs'!B718))))="",FALSE,IF(IFERROR('Model inputs'!B717=FALSE,FALSE),FALSE,IF(IFERROR('Model inputs'!B718=FALSE,FALSE),FALSE,IF(OR('Model inputs'!B717="",'Model inputs'!B718=""),"",AND('Model inputs'!B717,'Model inputs'!B718))))),IF('Model inputs'!B146="","",'Model inputs'!B146),0))</f>
        <v>2000</v>
      </c>
      <c r="J40" s="9">
        <f>'Model inputs'!B134*IF(IF(IF(IF(IFERROR('Model inputs'!B720=FALSE,FALSE),FALSE,IF(IFERROR('Model inputs'!B721=FALSE,FALSE),FALSE,IF(OR('Model inputs'!B720="",'Model inputs'!B721=""),"",AND('Model inputs'!B720,'Model inputs'!B721))))="",FALSE,IF(IFERROR('Model inputs'!B720=FALSE,FALSE),FALSE,IF(IFERROR('Model inputs'!B721=FALSE,FALSE),FALSE,IF(OR('Model inputs'!B720="",'Model inputs'!B721=""),"",AND('Model inputs'!B720,'Model inputs'!B721))))),IF('Model inputs'!B146="","",'Model inputs'!B146),0)="",0,IF(IF(IF(IFERROR('Model inputs'!B720=FALSE,FALSE),FALSE,IF(IFERROR('Model inputs'!B721=FALSE,FALSE),FALSE,IF(OR('Model inputs'!B720="",'Model inputs'!B721=""),"",AND('Model inputs'!B720,'Model inputs'!B721))))="",FALSE,IF(IFERROR('Model inputs'!B720=FALSE,FALSE),FALSE,IF(IFERROR('Model inputs'!B721=FALSE,FALSE),FALSE,IF(OR('Model inputs'!B720="",'Model inputs'!B721=""),"",AND('Model inputs'!B720,'Model inputs'!B721))))),IF('Model inputs'!B146="","",'Model inputs'!B146),0))</f>
        <v>2000</v>
      </c>
      <c r="K40" s="9">
        <f>'Model inputs'!B134*IF(IF(IF(IF(IFERROR('Model inputs'!B723=FALSE,FALSE),FALSE,IF(IFERROR('Model inputs'!B724=FALSE,FALSE),FALSE,IF(OR('Model inputs'!B723="",'Model inputs'!B724=""),"",AND('Model inputs'!B723,'Model inputs'!B724))))="",FALSE,IF(IFERROR('Model inputs'!B723=FALSE,FALSE),FALSE,IF(IFERROR('Model inputs'!B724=FALSE,FALSE),FALSE,IF(OR('Model inputs'!B723="",'Model inputs'!B724=""),"",AND('Model inputs'!B723,'Model inputs'!B724))))),IF('Model inputs'!B146="","",'Model inputs'!B146),0)="",0,IF(IF(IF(IFERROR('Model inputs'!B723=FALSE,FALSE),FALSE,IF(IFERROR('Model inputs'!B724=FALSE,FALSE),FALSE,IF(OR('Model inputs'!B723="",'Model inputs'!B724=""),"",AND('Model inputs'!B723,'Model inputs'!B724))))="",FALSE,IF(IFERROR('Model inputs'!B723=FALSE,FALSE),FALSE,IF(IFERROR('Model inputs'!B724=FALSE,FALSE),FALSE,IF(OR('Model inputs'!B723="",'Model inputs'!B724=""),"",AND('Model inputs'!B723,'Model inputs'!B724))))),IF('Model inputs'!B146="","",'Model inputs'!B146),0))</f>
        <v>2000</v>
      </c>
      <c r="L40" s="9">
        <f>'Model inputs'!B134*IF(IF(IF(IF(IFERROR('Model inputs'!B726=FALSE,FALSE),FALSE,IF(IFERROR('Model inputs'!B727=FALSE,FALSE),FALSE,IF(OR('Model inputs'!B726="",'Model inputs'!B727=""),"",AND('Model inputs'!B726,'Model inputs'!B727))))="",FALSE,IF(IFERROR('Model inputs'!B726=FALSE,FALSE),FALSE,IF(IFERROR('Model inputs'!B727=FALSE,FALSE),FALSE,IF(OR('Model inputs'!B726="",'Model inputs'!B727=""),"",AND('Model inputs'!B726,'Model inputs'!B727))))),IF('Model inputs'!B146="","",'Model inputs'!B146),0)="",0,IF(IF(IF(IFERROR('Model inputs'!B726=FALSE,FALSE),FALSE,IF(IFERROR('Model inputs'!B727=FALSE,FALSE),FALSE,IF(OR('Model inputs'!B726="",'Model inputs'!B727=""),"",AND('Model inputs'!B726,'Model inputs'!B727))))="",FALSE,IF(IFERROR('Model inputs'!B726=FALSE,FALSE),FALSE,IF(IFERROR('Model inputs'!B727=FALSE,FALSE),FALSE,IF(OR('Model inputs'!B726="",'Model inputs'!B727=""),"",AND('Model inputs'!B726,'Model inputs'!B727))))),IF('Model inputs'!B146="","",'Model inputs'!B146),0))</f>
        <v>2000</v>
      </c>
      <c r="M40" s="9">
        <f>'Model inputs'!B134*IF(IF(IF(IF(IFERROR('Model inputs'!B729=FALSE,FALSE),FALSE,IF(IFERROR('Model inputs'!B730=FALSE,FALSE),FALSE,IF(OR('Model inputs'!B729="",'Model inputs'!B730=""),"",AND('Model inputs'!B729,'Model inputs'!B730))))="",FALSE,IF(IFERROR('Model inputs'!B729=FALSE,FALSE),FALSE,IF(IFERROR('Model inputs'!B730=FALSE,FALSE),FALSE,IF(OR('Model inputs'!B729="",'Model inputs'!B730=""),"",AND('Model inputs'!B729,'Model inputs'!B730))))),IF('Model inputs'!B146="","",'Model inputs'!B146),0)="",0,IF(IF(IF(IFERROR('Model inputs'!B729=FALSE,FALSE),FALSE,IF(IFERROR('Model inputs'!B730=FALSE,FALSE),FALSE,IF(OR('Model inputs'!B729="",'Model inputs'!B730=""),"",AND('Model inputs'!B729,'Model inputs'!B730))))="",FALSE,IF(IFERROR('Model inputs'!B729=FALSE,FALSE),FALSE,IF(IFERROR('Model inputs'!B730=FALSE,FALSE),FALSE,IF(OR('Model inputs'!B729="",'Model inputs'!B730=""),"",AND('Model inputs'!B729,'Model inputs'!B730))))),IF('Model inputs'!B146="","",'Model inputs'!B146),0))</f>
        <v>2000</v>
      </c>
      <c r="N40" s="9">
        <f>'Model inputs'!B134*IF(IF(IF(IF(IFERROR('Model inputs'!B732=FALSE,FALSE),FALSE,IF(IFERROR('Model inputs'!B733=FALSE,FALSE),FALSE,IF(OR('Model inputs'!B732="",'Model inputs'!B733=""),"",AND('Model inputs'!B732,'Model inputs'!B733))))="",FALSE,IF(IFERROR('Model inputs'!B732=FALSE,FALSE),FALSE,IF(IFERROR('Model inputs'!B733=FALSE,FALSE),FALSE,IF(OR('Model inputs'!B732="",'Model inputs'!B733=""),"",AND('Model inputs'!B732,'Model inputs'!B733))))),IF('Model inputs'!B146="","",'Model inputs'!B146),0)="",0,IF(IF(IF(IFERROR('Model inputs'!B732=FALSE,FALSE),FALSE,IF(IFERROR('Model inputs'!B733=FALSE,FALSE),FALSE,IF(OR('Model inputs'!B732="",'Model inputs'!B733=""),"",AND('Model inputs'!B732,'Model inputs'!B733))))="",FALSE,IF(IFERROR('Model inputs'!B732=FALSE,FALSE),FALSE,IF(IFERROR('Model inputs'!B733=FALSE,FALSE),FALSE,IF(OR('Model inputs'!B732="",'Model inputs'!B733=""),"",AND('Model inputs'!B732,'Model inputs'!B733))))),IF('Model inputs'!B146="","",'Model inputs'!B146),0))</f>
        <v>2000</v>
      </c>
      <c r="O40" s="9">
        <f>'Model inputs'!B134*IF(IF(IF(IF(IFERROR('Model inputs'!B735=FALSE,FALSE),FALSE,IF(IFERROR('Model inputs'!B736=FALSE,FALSE),FALSE,IF(OR('Model inputs'!B735="",'Model inputs'!B736=""),"",AND('Model inputs'!B735,'Model inputs'!B736))))="",FALSE,IF(IFERROR('Model inputs'!B735=FALSE,FALSE),FALSE,IF(IFERROR('Model inputs'!B736=FALSE,FALSE),FALSE,IF(OR('Model inputs'!B735="",'Model inputs'!B736=""),"",AND('Model inputs'!B735,'Model inputs'!B736))))),IF('Model inputs'!B146="","",'Model inputs'!B146),0)="",0,IF(IF(IF(IFERROR('Model inputs'!B735=FALSE,FALSE),FALSE,IF(IFERROR('Model inputs'!B736=FALSE,FALSE),FALSE,IF(OR('Model inputs'!B735="",'Model inputs'!B736=""),"",AND('Model inputs'!B735,'Model inputs'!B736))))="",FALSE,IF(IFERROR('Model inputs'!B735=FALSE,FALSE),FALSE,IF(IFERROR('Model inputs'!B736=FALSE,FALSE),FALSE,IF(OR('Model inputs'!B735="",'Model inputs'!B736=""),"",AND('Model inputs'!B735,'Model inputs'!B736))))),IF('Model inputs'!B146="","",'Model inputs'!B146),0))</f>
        <v>2000</v>
      </c>
      <c r="P40" s="9">
        <f>'Model inputs'!B134*IF(IF(IF(IF(IFERROR('Model inputs'!B738=FALSE,FALSE),FALSE,IF(IFERROR('Model inputs'!B739=FALSE,FALSE),FALSE,IF(OR('Model inputs'!B738="",'Model inputs'!B739=""),"",AND('Model inputs'!B738,'Model inputs'!B739))))="",FALSE,IF(IFERROR('Model inputs'!B738=FALSE,FALSE),FALSE,IF(IFERROR('Model inputs'!B739=FALSE,FALSE),FALSE,IF(OR('Model inputs'!B738="",'Model inputs'!B739=""),"",AND('Model inputs'!B738,'Model inputs'!B739))))),IF('Model inputs'!B146="","",'Model inputs'!B146),0)="",0,IF(IF(IF(IFERROR('Model inputs'!B738=FALSE,FALSE),FALSE,IF(IFERROR('Model inputs'!B739=FALSE,FALSE),FALSE,IF(OR('Model inputs'!B738="",'Model inputs'!B739=""),"",AND('Model inputs'!B738,'Model inputs'!B739))))="",FALSE,IF(IFERROR('Model inputs'!B738=FALSE,FALSE),FALSE,IF(IFERROR('Model inputs'!B739=FALSE,FALSE),FALSE,IF(OR('Model inputs'!B738="",'Model inputs'!B739=""),"",AND('Model inputs'!B738,'Model inputs'!B739))))),IF('Model inputs'!B146="","",'Model inputs'!B146),0))</f>
        <v>2000</v>
      </c>
      <c r="Q40" s="9">
        <f>'Model inputs'!B134*IF(IF(IF(IF(IFERROR('Model inputs'!B741=FALSE,FALSE),FALSE,IF(IFERROR('Model inputs'!B742=FALSE,FALSE),FALSE,IF(OR('Model inputs'!B741="",'Model inputs'!B742=""),"",AND('Model inputs'!B741,'Model inputs'!B742))))="",FALSE,IF(IFERROR('Model inputs'!B741=FALSE,FALSE),FALSE,IF(IFERROR('Model inputs'!B742=FALSE,FALSE),FALSE,IF(OR('Model inputs'!B741="",'Model inputs'!B742=""),"",AND('Model inputs'!B741,'Model inputs'!B742))))),IF('Model inputs'!B146="","",'Model inputs'!B146),0)="",0,IF(IF(IF(IFERROR('Model inputs'!B741=FALSE,FALSE),FALSE,IF(IFERROR('Model inputs'!B742=FALSE,FALSE),FALSE,IF(OR('Model inputs'!B741="",'Model inputs'!B742=""),"",AND('Model inputs'!B741,'Model inputs'!B742))))="",FALSE,IF(IFERROR('Model inputs'!B741=FALSE,FALSE),FALSE,IF(IFERROR('Model inputs'!B742=FALSE,FALSE),FALSE,IF(OR('Model inputs'!B741="",'Model inputs'!B742=""),"",AND('Model inputs'!B741,'Model inputs'!B742))))),IF('Model inputs'!B146="","",'Model inputs'!B146),0))</f>
        <v>2000</v>
      </c>
      <c r="R40" s="9">
        <f>'Model inputs'!B134*IF(IF(IF(IF(IFERROR('Model inputs'!B744=FALSE,FALSE),FALSE,IF(IFERROR('Model inputs'!B745=FALSE,FALSE),FALSE,IF(OR('Model inputs'!B744="",'Model inputs'!B745=""),"",AND('Model inputs'!B744,'Model inputs'!B745))))="",FALSE,IF(IFERROR('Model inputs'!B744=FALSE,FALSE),FALSE,IF(IFERROR('Model inputs'!B745=FALSE,FALSE),FALSE,IF(OR('Model inputs'!B744="",'Model inputs'!B745=""),"",AND('Model inputs'!B744,'Model inputs'!B745))))),IF('Model inputs'!B146="","",'Model inputs'!B146),0)="",0,IF(IF(IF(IFERROR('Model inputs'!B744=FALSE,FALSE),FALSE,IF(IFERROR('Model inputs'!B745=FALSE,FALSE),FALSE,IF(OR('Model inputs'!B744="",'Model inputs'!B745=""),"",AND('Model inputs'!B744,'Model inputs'!B745))))="",FALSE,IF(IFERROR('Model inputs'!B744=FALSE,FALSE),FALSE,IF(IFERROR('Model inputs'!B745=FALSE,FALSE),FALSE,IF(OR('Model inputs'!B744="",'Model inputs'!B745=""),"",AND('Model inputs'!B744,'Model inputs'!B745))))),IF('Model inputs'!B146="","",'Model inputs'!B146),0))</f>
        <v>2000</v>
      </c>
      <c r="S40" s="9">
        <f>'Model inputs'!B134*IF(IF(IF(IF(IFERROR('Model inputs'!B747=FALSE,FALSE),FALSE,IF(IFERROR('Model inputs'!B748=FALSE,FALSE),FALSE,IF(OR('Model inputs'!B747="",'Model inputs'!B748=""),"",AND('Model inputs'!B747,'Model inputs'!B748))))="",FALSE,IF(IFERROR('Model inputs'!B747=FALSE,FALSE),FALSE,IF(IFERROR('Model inputs'!B748=FALSE,FALSE),FALSE,IF(OR('Model inputs'!B747="",'Model inputs'!B748=""),"",AND('Model inputs'!B747,'Model inputs'!B748))))),IF('Model inputs'!B146="","",'Model inputs'!B146),0)="",0,IF(IF(IF(IFERROR('Model inputs'!B747=FALSE,FALSE),FALSE,IF(IFERROR('Model inputs'!B748=FALSE,FALSE),FALSE,IF(OR('Model inputs'!B747="",'Model inputs'!B748=""),"",AND('Model inputs'!B747,'Model inputs'!B748))))="",FALSE,IF(IFERROR('Model inputs'!B747=FALSE,FALSE),FALSE,IF(IFERROR('Model inputs'!B748=FALSE,FALSE),FALSE,IF(OR('Model inputs'!B747="",'Model inputs'!B748=""),"",AND('Model inputs'!B747,'Model inputs'!B748))))),IF('Model inputs'!B146="","",'Model inputs'!B146),0))</f>
        <v>2000</v>
      </c>
      <c r="T40" s="9">
        <f>'Model inputs'!B134*IF(IF(IF(IF(IFERROR('Model inputs'!B750=FALSE,FALSE),FALSE,IF(IFERROR('Model inputs'!B751=FALSE,FALSE),FALSE,IF(OR('Model inputs'!B750="",'Model inputs'!B751=""),"",AND('Model inputs'!B750,'Model inputs'!B751))))="",FALSE,IF(IFERROR('Model inputs'!B750=FALSE,FALSE),FALSE,IF(IFERROR('Model inputs'!B751=FALSE,FALSE),FALSE,IF(OR('Model inputs'!B750="",'Model inputs'!B751=""),"",AND('Model inputs'!B750,'Model inputs'!B751))))),IF('Model inputs'!B146="","",'Model inputs'!B146),0)="",0,IF(IF(IF(IFERROR('Model inputs'!B750=FALSE,FALSE),FALSE,IF(IFERROR('Model inputs'!B751=FALSE,FALSE),FALSE,IF(OR('Model inputs'!B750="",'Model inputs'!B751=""),"",AND('Model inputs'!B750,'Model inputs'!B751))))="",FALSE,IF(IFERROR('Model inputs'!B750=FALSE,FALSE),FALSE,IF(IFERROR('Model inputs'!B751=FALSE,FALSE),FALSE,IF(OR('Model inputs'!B750="",'Model inputs'!B751=""),"",AND('Model inputs'!B750,'Model inputs'!B751))))),IF('Model inputs'!B146="","",'Model inputs'!B146),0))</f>
        <v>2000</v>
      </c>
      <c r="U40" s="9">
        <f>'Model inputs'!B134*IF(IF(IF(IF(IFERROR('Model inputs'!B753=FALSE,FALSE),FALSE,IF(IFERROR('Model inputs'!B754=FALSE,FALSE),FALSE,IF(OR('Model inputs'!B753="",'Model inputs'!B754=""),"",AND('Model inputs'!B753,'Model inputs'!B754))))="",FALSE,IF(IFERROR('Model inputs'!B753=FALSE,FALSE),FALSE,IF(IFERROR('Model inputs'!B754=FALSE,FALSE),FALSE,IF(OR('Model inputs'!B753="",'Model inputs'!B754=""),"",AND('Model inputs'!B753,'Model inputs'!B754))))),IF('Model inputs'!B146="","",'Model inputs'!B146),0)="",0,IF(IF(IF(IFERROR('Model inputs'!B753=FALSE,FALSE),FALSE,IF(IFERROR('Model inputs'!B754=FALSE,FALSE),FALSE,IF(OR('Model inputs'!B753="",'Model inputs'!B754=""),"",AND('Model inputs'!B753,'Model inputs'!B754))))="",FALSE,IF(IFERROR('Model inputs'!B753=FALSE,FALSE),FALSE,IF(IFERROR('Model inputs'!B754=FALSE,FALSE),FALSE,IF(OR('Model inputs'!B753="",'Model inputs'!B754=""),"",AND('Model inputs'!B753,'Model inputs'!B754))))),IF('Model inputs'!B146="","",'Model inputs'!B146),0))</f>
        <v>2000</v>
      </c>
      <c r="V40" s="9">
        <f>'Model inputs'!B134*IF(IF(IF(IF(IFERROR('Model inputs'!B756=FALSE,FALSE),FALSE,IF(IFERROR('Model inputs'!B757=FALSE,FALSE),FALSE,IF(OR('Model inputs'!B756="",'Model inputs'!B757=""),"",AND('Model inputs'!B756,'Model inputs'!B757))))="",FALSE,IF(IFERROR('Model inputs'!B756=FALSE,FALSE),FALSE,IF(IFERROR('Model inputs'!B757=FALSE,FALSE),FALSE,IF(OR('Model inputs'!B756="",'Model inputs'!B757=""),"",AND('Model inputs'!B756,'Model inputs'!B757))))),IF('Model inputs'!B146="","",'Model inputs'!B146),0)="",0,IF(IF(IF(IFERROR('Model inputs'!B756=FALSE,FALSE),FALSE,IF(IFERROR('Model inputs'!B757=FALSE,FALSE),FALSE,IF(OR('Model inputs'!B756="",'Model inputs'!B757=""),"",AND('Model inputs'!B756,'Model inputs'!B757))))="",FALSE,IF(IFERROR('Model inputs'!B756=FALSE,FALSE),FALSE,IF(IFERROR('Model inputs'!B757=FALSE,FALSE),FALSE,IF(OR('Model inputs'!B756="",'Model inputs'!B757=""),"",AND('Model inputs'!B756,'Model inputs'!B757))))),IF('Model inputs'!B146="","",'Model inputs'!B146),0))</f>
        <v>2000</v>
      </c>
    </row>
    <row r="41" outlineLevel="1">
      <c r="A41" t="inlineStr" s="18">
        <is>
          <t xml:space="preserve">Opex &gt; Hosting (Vercel + storage)</t>
        </is>
      </c>
      <c r="C41" s="9">
        <f>'Model inputs'!B135*IF(IF(IF(IF(IFERROR('Model inputs'!B759=FALSE,FALSE),FALSE,IF(IFERROR('Model inputs'!B760=FALSE,FALSE),FALSE,IF(OR('Model inputs'!B759="",'Model inputs'!B760=""),"",AND('Model inputs'!B759,'Model inputs'!B760))))="",FALSE,IF(IFERROR('Model inputs'!B759=FALSE,FALSE),FALSE,IF(IFERROR('Model inputs'!B760=FALSE,FALSE),FALSE,IF(OR('Model inputs'!B759="",'Model inputs'!B760=""),"",AND('Model inputs'!B759,'Model inputs'!B760))))),IF('Model inputs'!B147="","",'Model inputs'!B147),0)="",0,IF(IF(IF(IFERROR('Model inputs'!B759=FALSE,FALSE),FALSE,IF(IFERROR('Model inputs'!B760=FALSE,FALSE),FALSE,IF(OR('Model inputs'!B759="",'Model inputs'!B760=""),"",AND('Model inputs'!B759,'Model inputs'!B760))))="",FALSE,IF(IFERROR('Model inputs'!B759=FALSE,FALSE),FALSE,IF(IFERROR('Model inputs'!B760=FALSE,FALSE),FALSE,IF(OR('Model inputs'!B759="",'Model inputs'!B760=""),"",AND('Model inputs'!B759,'Model inputs'!B760))))),IF('Model inputs'!B147="","",'Model inputs'!B147),0))</f>
        <v>0</v>
      </c>
      <c r="D41" s="9">
        <f>'Model inputs'!B135*IF(IF(IF(IF(IFERROR('Model inputs'!B762=FALSE,FALSE),FALSE,IF(IFERROR('Model inputs'!B763=FALSE,FALSE),FALSE,IF(OR('Model inputs'!B762="",'Model inputs'!B763=""),"",AND('Model inputs'!B762,'Model inputs'!B763))))="",FALSE,IF(IFERROR('Model inputs'!B762=FALSE,FALSE),FALSE,IF(IFERROR('Model inputs'!B763=FALSE,FALSE),FALSE,IF(OR('Model inputs'!B762="",'Model inputs'!B763=""),"",AND('Model inputs'!B762,'Model inputs'!B763))))),IF('Model inputs'!B147="","",'Model inputs'!B147),0)="",0,IF(IF(IF(IFERROR('Model inputs'!B762=FALSE,FALSE),FALSE,IF(IFERROR('Model inputs'!B763=FALSE,FALSE),FALSE,IF(OR('Model inputs'!B762="",'Model inputs'!B763=""),"",AND('Model inputs'!B762,'Model inputs'!B763))))="",FALSE,IF(IFERROR('Model inputs'!B762=FALSE,FALSE),FALSE,IF(IFERROR('Model inputs'!B763=FALSE,FALSE),FALSE,IF(OR('Model inputs'!B762="",'Model inputs'!B763=""),"",AND('Model inputs'!B762,'Model inputs'!B763))))),IF('Model inputs'!B147="","",'Model inputs'!B147),0))</f>
        <v>0</v>
      </c>
      <c r="E41" s="9">
        <f>'Model inputs'!B135*IF(IF(IF(IF(IFERROR('Model inputs'!B765=FALSE,FALSE),FALSE,IF(IFERROR('Model inputs'!B766=FALSE,FALSE),FALSE,IF(OR('Model inputs'!B765="",'Model inputs'!B766=""),"",AND('Model inputs'!B765,'Model inputs'!B766))))="",FALSE,IF(IFERROR('Model inputs'!B765=FALSE,FALSE),FALSE,IF(IFERROR('Model inputs'!B766=FALSE,FALSE),FALSE,IF(OR('Model inputs'!B765="",'Model inputs'!B766=""),"",AND('Model inputs'!B765,'Model inputs'!B766))))),IF('Model inputs'!B147="","",'Model inputs'!B147),0)="",0,IF(IF(IF(IFERROR('Model inputs'!B765=FALSE,FALSE),FALSE,IF(IFERROR('Model inputs'!B766=FALSE,FALSE),FALSE,IF(OR('Model inputs'!B765="",'Model inputs'!B766=""),"",AND('Model inputs'!B765,'Model inputs'!B766))))="",FALSE,IF(IFERROR('Model inputs'!B765=FALSE,FALSE),FALSE,IF(IFERROR('Model inputs'!B766=FALSE,FALSE),FALSE,IF(OR('Model inputs'!B765="",'Model inputs'!B766=""),"",AND('Model inputs'!B765,'Model inputs'!B766))))),IF('Model inputs'!B147="","",'Model inputs'!B147),0))</f>
        <v>80</v>
      </c>
      <c r="F41" s="9">
        <f>'Model inputs'!B135*IF(IF(IF(IF(IFERROR('Model inputs'!B768=FALSE,FALSE),FALSE,IF(IFERROR('Model inputs'!B769=FALSE,FALSE),FALSE,IF(OR('Model inputs'!B768="",'Model inputs'!B769=""),"",AND('Model inputs'!B768,'Model inputs'!B769))))="",FALSE,IF(IFERROR('Model inputs'!B768=FALSE,FALSE),FALSE,IF(IFERROR('Model inputs'!B769=FALSE,FALSE),FALSE,IF(OR('Model inputs'!B768="",'Model inputs'!B769=""),"",AND('Model inputs'!B768,'Model inputs'!B769))))),IF('Model inputs'!B147="","",'Model inputs'!B147),0)="",0,IF(IF(IF(IFERROR('Model inputs'!B768=FALSE,FALSE),FALSE,IF(IFERROR('Model inputs'!B769=FALSE,FALSE),FALSE,IF(OR('Model inputs'!B768="",'Model inputs'!B769=""),"",AND('Model inputs'!B768,'Model inputs'!B769))))="",FALSE,IF(IFERROR('Model inputs'!B768=FALSE,FALSE),FALSE,IF(IFERROR('Model inputs'!B769=FALSE,FALSE),FALSE,IF(OR('Model inputs'!B768="",'Model inputs'!B769=""),"",AND('Model inputs'!B768,'Model inputs'!B769))))),IF('Model inputs'!B147="","",'Model inputs'!B147),0))</f>
        <v>80</v>
      </c>
      <c r="G41" s="9">
        <f>'Model inputs'!B135*IF(IF(IF(IF(IFERROR('Model inputs'!B771=FALSE,FALSE),FALSE,IF(IFERROR('Model inputs'!B772=FALSE,FALSE),FALSE,IF(OR('Model inputs'!B771="",'Model inputs'!B772=""),"",AND('Model inputs'!B771,'Model inputs'!B772))))="",FALSE,IF(IFERROR('Model inputs'!B771=FALSE,FALSE),FALSE,IF(IFERROR('Model inputs'!B772=FALSE,FALSE),FALSE,IF(OR('Model inputs'!B771="",'Model inputs'!B772=""),"",AND('Model inputs'!B771,'Model inputs'!B772))))),IF('Model inputs'!B147="","",'Model inputs'!B147),0)="",0,IF(IF(IF(IFERROR('Model inputs'!B771=FALSE,FALSE),FALSE,IF(IFERROR('Model inputs'!B772=FALSE,FALSE),FALSE,IF(OR('Model inputs'!B771="",'Model inputs'!B772=""),"",AND('Model inputs'!B771,'Model inputs'!B772))))="",FALSE,IF(IFERROR('Model inputs'!B771=FALSE,FALSE),FALSE,IF(IFERROR('Model inputs'!B772=FALSE,FALSE),FALSE,IF(OR('Model inputs'!B771="",'Model inputs'!B772=""),"",AND('Model inputs'!B771,'Model inputs'!B772))))),IF('Model inputs'!B147="","",'Model inputs'!B147),0))</f>
        <v>80</v>
      </c>
      <c r="H41" s="9">
        <f>'Model inputs'!B135*IF(IF(IF(IF(IFERROR('Model inputs'!B774=FALSE,FALSE),FALSE,IF(IFERROR('Model inputs'!B775=FALSE,FALSE),FALSE,IF(OR('Model inputs'!B774="",'Model inputs'!B775=""),"",AND('Model inputs'!B774,'Model inputs'!B775))))="",FALSE,IF(IFERROR('Model inputs'!B774=FALSE,FALSE),FALSE,IF(IFERROR('Model inputs'!B775=FALSE,FALSE),FALSE,IF(OR('Model inputs'!B774="",'Model inputs'!B775=""),"",AND('Model inputs'!B774,'Model inputs'!B775))))),IF('Model inputs'!B147="","",'Model inputs'!B147),0)="",0,IF(IF(IF(IFERROR('Model inputs'!B774=FALSE,FALSE),FALSE,IF(IFERROR('Model inputs'!B775=FALSE,FALSE),FALSE,IF(OR('Model inputs'!B774="",'Model inputs'!B775=""),"",AND('Model inputs'!B774,'Model inputs'!B775))))="",FALSE,IF(IFERROR('Model inputs'!B774=FALSE,FALSE),FALSE,IF(IFERROR('Model inputs'!B775=FALSE,FALSE),FALSE,IF(OR('Model inputs'!B774="",'Model inputs'!B775=""),"",AND('Model inputs'!B774,'Model inputs'!B775))))),IF('Model inputs'!B147="","",'Model inputs'!B147),0))</f>
        <v>80</v>
      </c>
      <c r="I41" s="9">
        <f>'Model inputs'!B135*IF(IF(IF(IF(IFERROR('Model inputs'!B777=FALSE,FALSE),FALSE,IF(IFERROR('Model inputs'!B778=FALSE,FALSE),FALSE,IF(OR('Model inputs'!B777="",'Model inputs'!B778=""),"",AND('Model inputs'!B777,'Model inputs'!B778))))="",FALSE,IF(IFERROR('Model inputs'!B777=FALSE,FALSE),FALSE,IF(IFERROR('Model inputs'!B778=FALSE,FALSE),FALSE,IF(OR('Model inputs'!B777="",'Model inputs'!B778=""),"",AND('Model inputs'!B777,'Model inputs'!B778))))),IF('Model inputs'!B147="","",'Model inputs'!B147),0)="",0,IF(IF(IF(IFERROR('Model inputs'!B777=FALSE,FALSE),FALSE,IF(IFERROR('Model inputs'!B778=FALSE,FALSE),FALSE,IF(OR('Model inputs'!B777="",'Model inputs'!B778=""),"",AND('Model inputs'!B777,'Model inputs'!B778))))="",FALSE,IF(IFERROR('Model inputs'!B777=FALSE,FALSE),FALSE,IF(IFERROR('Model inputs'!B778=FALSE,FALSE),FALSE,IF(OR('Model inputs'!B777="",'Model inputs'!B778=""),"",AND('Model inputs'!B777,'Model inputs'!B778))))),IF('Model inputs'!B147="","",'Model inputs'!B147),0))</f>
        <v>80</v>
      </c>
      <c r="J41" s="9">
        <f>'Model inputs'!B135*IF(IF(IF(IF(IFERROR('Model inputs'!B780=FALSE,FALSE),FALSE,IF(IFERROR('Model inputs'!B781=FALSE,FALSE),FALSE,IF(OR('Model inputs'!B780="",'Model inputs'!B781=""),"",AND('Model inputs'!B780,'Model inputs'!B781))))="",FALSE,IF(IFERROR('Model inputs'!B780=FALSE,FALSE),FALSE,IF(IFERROR('Model inputs'!B781=FALSE,FALSE),FALSE,IF(OR('Model inputs'!B780="",'Model inputs'!B781=""),"",AND('Model inputs'!B780,'Model inputs'!B781))))),IF('Model inputs'!B147="","",'Model inputs'!B147),0)="",0,IF(IF(IF(IFERROR('Model inputs'!B780=FALSE,FALSE),FALSE,IF(IFERROR('Model inputs'!B781=FALSE,FALSE),FALSE,IF(OR('Model inputs'!B780="",'Model inputs'!B781=""),"",AND('Model inputs'!B780,'Model inputs'!B781))))="",FALSE,IF(IFERROR('Model inputs'!B780=FALSE,FALSE),FALSE,IF(IFERROR('Model inputs'!B781=FALSE,FALSE),FALSE,IF(OR('Model inputs'!B780="",'Model inputs'!B781=""),"",AND('Model inputs'!B780,'Model inputs'!B781))))),IF('Model inputs'!B147="","",'Model inputs'!B147),0))</f>
        <v>80</v>
      </c>
      <c r="K41" s="9">
        <f>'Model inputs'!B135*IF(IF(IF(IF(IFERROR('Model inputs'!B783=FALSE,FALSE),FALSE,IF(IFERROR('Model inputs'!B784=FALSE,FALSE),FALSE,IF(OR('Model inputs'!B783="",'Model inputs'!B784=""),"",AND('Model inputs'!B783,'Model inputs'!B784))))="",FALSE,IF(IFERROR('Model inputs'!B783=FALSE,FALSE),FALSE,IF(IFERROR('Model inputs'!B784=FALSE,FALSE),FALSE,IF(OR('Model inputs'!B783="",'Model inputs'!B784=""),"",AND('Model inputs'!B783,'Model inputs'!B784))))),IF('Model inputs'!B147="","",'Model inputs'!B147),0)="",0,IF(IF(IF(IFERROR('Model inputs'!B783=FALSE,FALSE),FALSE,IF(IFERROR('Model inputs'!B784=FALSE,FALSE),FALSE,IF(OR('Model inputs'!B783="",'Model inputs'!B784=""),"",AND('Model inputs'!B783,'Model inputs'!B784))))="",FALSE,IF(IFERROR('Model inputs'!B783=FALSE,FALSE),FALSE,IF(IFERROR('Model inputs'!B784=FALSE,FALSE),FALSE,IF(OR('Model inputs'!B783="",'Model inputs'!B784=""),"",AND('Model inputs'!B783,'Model inputs'!B784))))),IF('Model inputs'!B147="","",'Model inputs'!B147),0))</f>
        <v>80</v>
      </c>
      <c r="L41" s="9">
        <f>'Model inputs'!B135*IF(IF(IF(IF(IFERROR('Model inputs'!B786=FALSE,FALSE),FALSE,IF(IFERROR('Model inputs'!B787=FALSE,FALSE),FALSE,IF(OR('Model inputs'!B786="",'Model inputs'!B787=""),"",AND('Model inputs'!B786,'Model inputs'!B787))))="",FALSE,IF(IFERROR('Model inputs'!B786=FALSE,FALSE),FALSE,IF(IFERROR('Model inputs'!B787=FALSE,FALSE),FALSE,IF(OR('Model inputs'!B786="",'Model inputs'!B787=""),"",AND('Model inputs'!B786,'Model inputs'!B787))))),IF('Model inputs'!B147="","",'Model inputs'!B147),0)="",0,IF(IF(IF(IFERROR('Model inputs'!B786=FALSE,FALSE),FALSE,IF(IFERROR('Model inputs'!B787=FALSE,FALSE),FALSE,IF(OR('Model inputs'!B786="",'Model inputs'!B787=""),"",AND('Model inputs'!B786,'Model inputs'!B787))))="",FALSE,IF(IFERROR('Model inputs'!B786=FALSE,FALSE),FALSE,IF(IFERROR('Model inputs'!B787=FALSE,FALSE),FALSE,IF(OR('Model inputs'!B786="",'Model inputs'!B787=""),"",AND('Model inputs'!B786,'Model inputs'!B787))))),IF('Model inputs'!B147="","",'Model inputs'!B147),0))</f>
        <v>80</v>
      </c>
      <c r="M41" s="9">
        <f>'Model inputs'!B135*IF(IF(IF(IF(IFERROR('Model inputs'!B789=FALSE,FALSE),FALSE,IF(IFERROR('Model inputs'!B790=FALSE,FALSE),FALSE,IF(OR('Model inputs'!B789="",'Model inputs'!B790=""),"",AND('Model inputs'!B789,'Model inputs'!B790))))="",FALSE,IF(IFERROR('Model inputs'!B789=FALSE,FALSE),FALSE,IF(IFERROR('Model inputs'!B790=FALSE,FALSE),FALSE,IF(OR('Model inputs'!B789="",'Model inputs'!B790=""),"",AND('Model inputs'!B789,'Model inputs'!B790))))),IF('Model inputs'!B147="","",'Model inputs'!B147),0)="",0,IF(IF(IF(IFERROR('Model inputs'!B789=FALSE,FALSE),FALSE,IF(IFERROR('Model inputs'!B790=FALSE,FALSE),FALSE,IF(OR('Model inputs'!B789="",'Model inputs'!B790=""),"",AND('Model inputs'!B789,'Model inputs'!B790))))="",FALSE,IF(IFERROR('Model inputs'!B789=FALSE,FALSE),FALSE,IF(IFERROR('Model inputs'!B790=FALSE,FALSE),FALSE,IF(OR('Model inputs'!B789="",'Model inputs'!B790=""),"",AND('Model inputs'!B789,'Model inputs'!B790))))),IF('Model inputs'!B147="","",'Model inputs'!B147),0))</f>
        <v>80</v>
      </c>
      <c r="N41" s="9">
        <f>'Model inputs'!B135*IF(IF(IF(IF(IFERROR('Model inputs'!B792=FALSE,FALSE),FALSE,IF(IFERROR('Model inputs'!B793=FALSE,FALSE),FALSE,IF(OR('Model inputs'!B792="",'Model inputs'!B793=""),"",AND('Model inputs'!B792,'Model inputs'!B793))))="",FALSE,IF(IFERROR('Model inputs'!B792=FALSE,FALSE),FALSE,IF(IFERROR('Model inputs'!B793=FALSE,FALSE),FALSE,IF(OR('Model inputs'!B792="",'Model inputs'!B793=""),"",AND('Model inputs'!B792,'Model inputs'!B793))))),IF('Model inputs'!B147="","",'Model inputs'!B147),0)="",0,IF(IF(IF(IFERROR('Model inputs'!B792=FALSE,FALSE),FALSE,IF(IFERROR('Model inputs'!B793=FALSE,FALSE),FALSE,IF(OR('Model inputs'!B792="",'Model inputs'!B793=""),"",AND('Model inputs'!B792,'Model inputs'!B793))))="",FALSE,IF(IFERROR('Model inputs'!B792=FALSE,FALSE),FALSE,IF(IFERROR('Model inputs'!B793=FALSE,FALSE),FALSE,IF(OR('Model inputs'!B792="",'Model inputs'!B793=""),"",AND('Model inputs'!B792,'Model inputs'!B793))))),IF('Model inputs'!B147="","",'Model inputs'!B147),0))</f>
        <v>80</v>
      </c>
      <c r="O41" s="9">
        <f>'Model inputs'!B135*IF(IF(IF(IF(IFERROR('Model inputs'!B795=FALSE,FALSE),FALSE,IF(IFERROR('Model inputs'!B796=FALSE,FALSE),FALSE,IF(OR('Model inputs'!B795="",'Model inputs'!B796=""),"",AND('Model inputs'!B795,'Model inputs'!B796))))="",FALSE,IF(IFERROR('Model inputs'!B795=FALSE,FALSE),FALSE,IF(IFERROR('Model inputs'!B796=FALSE,FALSE),FALSE,IF(OR('Model inputs'!B795="",'Model inputs'!B796=""),"",AND('Model inputs'!B795,'Model inputs'!B796))))),IF('Model inputs'!B147="","",'Model inputs'!B147),0)="",0,IF(IF(IF(IFERROR('Model inputs'!B795=FALSE,FALSE),FALSE,IF(IFERROR('Model inputs'!B796=FALSE,FALSE),FALSE,IF(OR('Model inputs'!B795="",'Model inputs'!B796=""),"",AND('Model inputs'!B795,'Model inputs'!B796))))="",FALSE,IF(IFERROR('Model inputs'!B795=FALSE,FALSE),FALSE,IF(IFERROR('Model inputs'!B796=FALSE,FALSE),FALSE,IF(OR('Model inputs'!B795="",'Model inputs'!B796=""),"",AND('Model inputs'!B795,'Model inputs'!B796))))),IF('Model inputs'!B147="","",'Model inputs'!B147),0))</f>
        <v>80</v>
      </c>
      <c r="P41" s="9">
        <f>'Model inputs'!B135*IF(IF(IF(IF(IFERROR('Model inputs'!B798=FALSE,FALSE),FALSE,IF(IFERROR('Model inputs'!B799=FALSE,FALSE),FALSE,IF(OR('Model inputs'!B798="",'Model inputs'!B799=""),"",AND('Model inputs'!B798,'Model inputs'!B799))))="",FALSE,IF(IFERROR('Model inputs'!B798=FALSE,FALSE),FALSE,IF(IFERROR('Model inputs'!B799=FALSE,FALSE),FALSE,IF(OR('Model inputs'!B798="",'Model inputs'!B799=""),"",AND('Model inputs'!B798,'Model inputs'!B799))))),IF('Model inputs'!B147="","",'Model inputs'!B147),0)="",0,IF(IF(IF(IFERROR('Model inputs'!B798=FALSE,FALSE),FALSE,IF(IFERROR('Model inputs'!B799=FALSE,FALSE),FALSE,IF(OR('Model inputs'!B798="",'Model inputs'!B799=""),"",AND('Model inputs'!B798,'Model inputs'!B799))))="",FALSE,IF(IFERROR('Model inputs'!B798=FALSE,FALSE),FALSE,IF(IFERROR('Model inputs'!B799=FALSE,FALSE),FALSE,IF(OR('Model inputs'!B798="",'Model inputs'!B799=""),"",AND('Model inputs'!B798,'Model inputs'!B799))))),IF('Model inputs'!B147="","",'Model inputs'!B147),0))</f>
        <v>80</v>
      </c>
      <c r="Q41" s="9">
        <f>'Model inputs'!B135*IF(IF(IF(IF(IFERROR('Model inputs'!B801=FALSE,FALSE),FALSE,IF(IFERROR('Model inputs'!B802=FALSE,FALSE),FALSE,IF(OR('Model inputs'!B801="",'Model inputs'!B802=""),"",AND('Model inputs'!B801,'Model inputs'!B802))))="",FALSE,IF(IFERROR('Model inputs'!B801=FALSE,FALSE),FALSE,IF(IFERROR('Model inputs'!B802=FALSE,FALSE),FALSE,IF(OR('Model inputs'!B801="",'Model inputs'!B802=""),"",AND('Model inputs'!B801,'Model inputs'!B802))))),IF('Model inputs'!B147="","",'Model inputs'!B147),0)="",0,IF(IF(IF(IFERROR('Model inputs'!B801=FALSE,FALSE),FALSE,IF(IFERROR('Model inputs'!B802=FALSE,FALSE),FALSE,IF(OR('Model inputs'!B801="",'Model inputs'!B802=""),"",AND('Model inputs'!B801,'Model inputs'!B802))))="",FALSE,IF(IFERROR('Model inputs'!B801=FALSE,FALSE),FALSE,IF(IFERROR('Model inputs'!B802=FALSE,FALSE),FALSE,IF(OR('Model inputs'!B801="",'Model inputs'!B802=""),"",AND('Model inputs'!B801,'Model inputs'!B802))))),IF('Model inputs'!B147="","",'Model inputs'!B147),0))</f>
        <v>80</v>
      </c>
      <c r="R41" s="9">
        <f>'Model inputs'!B135*IF(IF(IF(IF(IFERROR('Model inputs'!B804=FALSE,FALSE),FALSE,IF(IFERROR('Model inputs'!B805=FALSE,FALSE),FALSE,IF(OR('Model inputs'!B804="",'Model inputs'!B805=""),"",AND('Model inputs'!B804,'Model inputs'!B805))))="",FALSE,IF(IFERROR('Model inputs'!B804=FALSE,FALSE),FALSE,IF(IFERROR('Model inputs'!B805=FALSE,FALSE),FALSE,IF(OR('Model inputs'!B804="",'Model inputs'!B805=""),"",AND('Model inputs'!B804,'Model inputs'!B805))))),IF('Model inputs'!B147="","",'Model inputs'!B147),0)="",0,IF(IF(IF(IFERROR('Model inputs'!B804=FALSE,FALSE),FALSE,IF(IFERROR('Model inputs'!B805=FALSE,FALSE),FALSE,IF(OR('Model inputs'!B804="",'Model inputs'!B805=""),"",AND('Model inputs'!B804,'Model inputs'!B805))))="",FALSE,IF(IFERROR('Model inputs'!B804=FALSE,FALSE),FALSE,IF(IFERROR('Model inputs'!B805=FALSE,FALSE),FALSE,IF(OR('Model inputs'!B804="",'Model inputs'!B805=""),"",AND('Model inputs'!B804,'Model inputs'!B805))))),IF('Model inputs'!B147="","",'Model inputs'!B147),0))</f>
        <v>80</v>
      </c>
      <c r="S41" s="9">
        <f>'Model inputs'!B135*IF(IF(IF(IF(IFERROR('Model inputs'!B807=FALSE,FALSE),FALSE,IF(IFERROR('Model inputs'!B808=FALSE,FALSE),FALSE,IF(OR('Model inputs'!B807="",'Model inputs'!B808=""),"",AND('Model inputs'!B807,'Model inputs'!B808))))="",FALSE,IF(IFERROR('Model inputs'!B807=FALSE,FALSE),FALSE,IF(IFERROR('Model inputs'!B808=FALSE,FALSE),FALSE,IF(OR('Model inputs'!B807="",'Model inputs'!B808=""),"",AND('Model inputs'!B807,'Model inputs'!B808))))),IF('Model inputs'!B147="","",'Model inputs'!B147),0)="",0,IF(IF(IF(IFERROR('Model inputs'!B807=FALSE,FALSE),FALSE,IF(IFERROR('Model inputs'!B808=FALSE,FALSE),FALSE,IF(OR('Model inputs'!B807="",'Model inputs'!B808=""),"",AND('Model inputs'!B807,'Model inputs'!B808))))="",FALSE,IF(IFERROR('Model inputs'!B807=FALSE,FALSE),FALSE,IF(IFERROR('Model inputs'!B808=FALSE,FALSE),FALSE,IF(OR('Model inputs'!B807="",'Model inputs'!B808=""),"",AND('Model inputs'!B807,'Model inputs'!B808))))),IF('Model inputs'!B147="","",'Model inputs'!B147),0))</f>
        <v>80</v>
      </c>
      <c r="T41" s="9">
        <f>'Model inputs'!B135*IF(IF(IF(IF(IFERROR('Model inputs'!B810=FALSE,FALSE),FALSE,IF(IFERROR('Model inputs'!B811=FALSE,FALSE),FALSE,IF(OR('Model inputs'!B810="",'Model inputs'!B811=""),"",AND('Model inputs'!B810,'Model inputs'!B811))))="",FALSE,IF(IFERROR('Model inputs'!B810=FALSE,FALSE),FALSE,IF(IFERROR('Model inputs'!B811=FALSE,FALSE),FALSE,IF(OR('Model inputs'!B810="",'Model inputs'!B811=""),"",AND('Model inputs'!B810,'Model inputs'!B811))))),IF('Model inputs'!B147="","",'Model inputs'!B147),0)="",0,IF(IF(IF(IFERROR('Model inputs'!B810=FALSE,FALSE),FALSE,IF(IFERROR('Model inputs'!B811=FALSE,FALSE),FALSE,IF(OR('Model inputs'!B810="",'Model inputs'!B811=""),"",AND('Model inputs'!B810,'Model inputs'!B811))))="",FALSE,IF(IFERROR('Model inputs'!B810=FALSE,FALSE),FALSE,IF(IFERROR('Model inputs'!B811=FALSE,FALSE),FALSE,IF(OR('Model inputs'!B810="",'Model inputs'!B811=""),"",AND('Model inputs'!B810,'Model inputs'!B811))))),IF('Model inputs'!B147="","",'Model inputs'!B147),0))</f>
        <v>80</v>
      </c>
      <c r="U41" s="9">
        <f>'Model inputs'!B135*IF(IF(IF(IF(IFERROR('Model inputs'!B813=FALSE,FALSE),FALSE,IF(IFERROR('Model inputs'!B814=FALSE,FALSE),FALSE,IF(OR('Model inputs'!B813="",'Model inputs'!B814=""),"",AND('Model inputs'!B813,'Model inputs'!B814))))="",FALSE,IF(IFERROR('Model inputs'!B813=FALSE,FALSE),FALSE,IF(IFERROR('Model inputs'!B814=FALSE,FALSE),FALSE,IF(OR('Model inputs'!B813="",'Model inputs'!B814=""),"",AND('Model inputs'!B813,'Model inputs'!B814))))),IF('Model inputs'!B147="","",'Model inputs'!B147),0)="",0,IF(IF(IF(IFERROR('Model inputs'!B813=FALSE,FALSE),FALSE,IF(IFERROR('Model inputs'!B814=FALSE,FALSE),FALSE,IF(OR('Model inputs'!B813="",'Model inputs'!B814=""),"",AND('Model inputs'!B813,'Model inputs'!B814))))="",FALSE,IF(IFERROR('Model inputs'!B813=FALSE,FALSE),FALSE,IF(IFERROR('Model inputs'!B814=FALSE,FALSE),FALSE,IF(OR('Model inputs'!B813="",'Model inputs'!B814=""),"",AND('Model inputs'!B813,'Model inputs'!B814))))),IF('Model inputs'!B147="","",'Model inputs'!B147),0))</f>
        <v>80</v>
      </c>
      <c r="V41" s="9">
        <f>'Model inputs'!B135*IF(IF(IF(IF(IFERROR('Model inputs'!B816=FALSE,FALSE),FALSE,IF(IFERROR('Model inputs'!B817=FALSE,FALSE),FALSE,IF(OR('Model inputs'!B816="",'Model inputs'!B817=""),"",AND('Model inputs'!B816,'Model inputs'!B817))))="",FALSE,IF(IFERROR('Model inputs'!B816=FALSE,FALSE),FALSE,IF(IFERROR('Model inputs'!B817=FALSE,FALSE),FALSE,IF(OR('Model inputs'!B816="",'Model inputs'!B817=""),"",AND('Model inputs'!B816,'Model inputs'!B817))))),IF('Model inputs'!B147="","",'Model inputs'!B147),0)="",0,IF(IF(IF(IFERROR('Model inputs'!B816=FALSE,FALSE),FALSE,IF(IFERROR('Model inputs'!B817=FALSE,FALSE),FALSE,IF(OR('Model inputs'!B816="",'Model inputs'!B817=""),"",AND('Model inputs'!B816,'Model inputs'!B817))))="",FALSE,IF(IFERROR('Model inputs'!B816=FALSE,FALSE),FALSE,IF(IFERROR('Model inputs'!B817=FALSE,FALSE),FALSE,IF(OR('Model inputs'!B816="",'Model inputs'!B817=""),"",AND('Model inputs'!B816,'Model inputs'!B817))))),IF('Model inputs'!B147="","",'Model inputs'!B147),0))</f>
        <v>80</v>
      </c>
    </row>
    <row r="42" outlineLevel="1">
      <c r="A42" t="inlineStr" s="18">
        <is>
          <t xml:space="preserve">Opex &gt; Marketing: always-on</t>
        </is>
      </c>
      <c r="C42" s="9">
        <f>'Model inputs'!B136*IF(IF(IF(IF(IFERROR('Model inputs'!B819=FALSE,FALSE),FALSE,IF(IFERROR('Model inputs'!B820=FALSE,FALSE),FALSE,IF(OR('Model inputs'!B819="",'Model inputs'!B820=""),"",AND('Model inputs'!B819,'Model inputs'!B820))))="",FALSE,IF(IFERROR('Model inputs'!B819=FALSE,FALSE),FALSE,IF(IFERROR('Model inputs'!B820=FALSE,FALSE),FALSE,IF(OR('Model inputs'!B819="",'Model inputs'!B820=""),"",AND('Model inputs'!B819,'Model inputs'!B820))))),IF('Model inputs'!B148="","",'Model inputs'!B148),0)="",0,IF(IF(IF(IFERROR('Model inputs'!B819=FALSE,FALSE),FALSE,IF(IFERROR('Model inputs'!B820=FALSE,FALSE),FALSE,IF(OR('Model inputs'!B819="",'Model inputs'!B820=""),"",AND('Model inputs'!B819,'Model inputs'!B820))))="",FALSE,IF(IFERROR('Model inputs'!B819=FALSE,FALSE),FALSE,IF(IFERROR('Model inputs'!B820=FALSE,FALSE),FALSE,IF(OR('Model inputs'!B819="",'Model inputs'!B820=""),"",AND('Model inputs'!B819,'Model inputs'!B820))))),IF('Model inputs'!B148="","",'Model inputs'!B148),0))</f>
        <v>0</v>
      </c>
      <c r="D42" s="9">
        <f>'Model inputs'!B136*IF(IF(IF(IF(IFERROR('Model inputs'!B822=FALSE,FALSE),FALSE,IF(IFERROR('Model inputs'!B823=FALSE,FALSE),FALSE,IF(OR('Model inputs'!B822="",'Model inputs'!B823=""),"",AND('Model inputs'!B822,'Model inputs'!B823))))="",FALSE,IF(IFERROR('Model inputs'!B822=FALSE,FALSE),FALSE,IF(IFERROR('Model inputs'!B823=FALSE,FALSE),FALSE,IF(OR('Model inputs'!B822="",'Model inputs'!B823=""),"",AND('Model inputs'!B822,'Model inputs'!B823))))),IF('Model inputs'!B148="","",'Model inputs'!B148),0)="",0,IF(IF(IF(IFERROR('Model inputs'!B822=FALSE,FALSE),FALSE,IF(IFERROR('Model inputs'!B823=FALSE,FALSE),FALSE,IF(OR('Model inputs'!B822="",'Model inputs'!B823=""),"",AND('Model inputs'!B822,'Model inputs'!B823))))="",FALSE,IF(IFERROR('Model inputs'!B822=FALSE,FALSE),FALSE,IF(IFERROR('Model inputs'!B823=FALSE,FALSE),FALSE,IF(OR('Model inputs'!B822="",'Model inputs'!B823=""),"",AND('Model inputs'!B822,'Model inputs'!B823))))),IF('Model inputs'!B148="","",'Model inputs'!B148),0))</f>
        <v>0</v>
      </c>
      <c r="E42" s="9">
        <f>'Model inputs'!B136*IF(IF(IF(IF(IFERROR('Model inputs'!B825=FALSE,FALSE),FALSE,IF(IFERROR('Model inputs'!B826=FALSE,FALSE),FALSE,IF(OR('Model inputs'!B825="",'Model inputs'!B826=""),"",AND('Model inputs'!B825,'Model inputs'!B826))))="",FALSE,IF(IFERROR('Model inputs'!B825=FALSE,FALSE),FALSE,IF(IFERROR('Model inputs'!B826=FALSE,FALSE),FALSE,IF(OR('Model inputs'!B825="",'Model inputs'!B826=""),"",AND('Model inputs'!B825,'Model inputs'!B826))))),IF('Model inputs'!B148="","",'Model inputs'!B148),0)="",0,IF(IF(IF(IFERROR('Model inputs'!B825=FALSE,FALSE),FALSE,IF(IFERROR('Model inputs'!B826=FALSE,FALSE),FALSE,IF(OR('Model inputs'!B825="",'Model inputs'!B826=""),"",AND('Model inputs'!B825,'Model inputs'!B826))))="",FALSE,IF(IFERROR('Model inputs'!B825=FALSE,FALSE),FALSE,IF(IFERROR('Model inputs'!B826=FALSE,FALSE),FALSE,IF(OR('Model inputs'!B825="",'Model inputs'!B826=""),"",AND('Model inputs'!B825,'Model inputs'!B826))))),IF('Model inputs'!B148="","",'Model inputs'!B148),0))</f>
        <v>250</v>
      </c>
      <c r="F42" s="9">
        <f>'Model inputs'!B136*IF(IF(IF(IF(IFERROR('Model inputs'!B828=FALSE,FALSE),FALSE,IF(IFERROR('Model inputs'!B829=FALSE,FALSE),FALSE,IF(OR('Model inputs'!B828="",'Model inputs'!B829=""),"",AND('Model inputs'!B828,'Model inputs'!B829))))="",FALSE,IF(IFERROR('Model inputs'!B828=FALSE,FALSE),FALSE,IF(IFERROR('Model inputs'!B829=FALSE,FALSE),FALSE,IF(OR('Model inputs'!B828="",'Model inputs'!B829=""),"",AND('Model inputs'!B828,'Model inputs'!B829))))),IF('Model inputs'!B148="","",'Model inputs'!B148),0)="",0,IF(IF(IF(IFERROR('Model inputs'!B828=FALSE,FALSE),FALSE,IF(IFERROR('Model inputs'!B829=FALSE,FALSE),FALSE,IF(OR('Model inputs'!B828="",'Model inputs'!B829=""),"",AND('Model inputs'!B828,'Model inputs'!B829))))="",FALSE,IF(IFERROR('Model inputs'!B828=FALSE,FALSE),FALSE,IF(IFERROR('Model inputs'!B829=FALSE,FALSE),FALSE,IF(OR('Model inputs'!B828="",'Model inputs'!B829=""),"",AND('Model inputs'!B828,'Model inputs'!B829))))),IF('Model inputs'!B148="","",'Model inputs'!B148),0))</f>
        <v>250</v>
      </c>
      <c r="G42" s="9">
        <f>'Model inputs'!B136*IF(IF(IF(IF(IFERROR('Model inputs'!B831=FALSE,FALSE),FALSE,IF(IFERROR('Model inputs'!B832=FALSE,FALSE),FALSE,IF(OR('Model inputs'!B831="",'Model inputs'!B832=""),"",AND('Model inputs'!B831,'Model inputs'!B832))))="",FALSE,IF(IFERROR('Model inputs'!B831=FALSE,FALSE),FALSE,IF(IFERROR('Model inputs'!B832=FALSE,FALSE),FALSE,IF(OR('Model inputs'!B831="",'Model inputs'!B832=""),"",AND('Model inputs'!B831,'Model inputs'!B832))))),IF('Model inputs'!B148="","",'Model inputs'!B148),0)="",0,IF(IF(IF(IFERROR('Model inputs'!B831=FALSE,FALSE),FALSE,IF(IFERROR('Model inputs'!B832=FALSE,FALSE),FALSE,IF(OR('Model inputs'!B831="",'Model inputs'!B832=""),"",AND('Model inputs'!B831,'Model inputs'!B832))))="",FALSE,IF(IFERROR('Model inputs'!B831=FALSE,FALSE),FALSE,IF(IFERROR('Model inputs'!B832=FALSE,FALSE),FALSE,IF(OR('Model inputs'!B831="",'Model inputs'!B832=""),"",AND('Model inputs'!B831,'Model inputs'!B832))))),IF('Model inputs'!B148="","",'Model inputs'!B148),0))</f>
        <v>250</v>
      </c>
      <c r="H42" s="9">
        <f>'Model inputs'!B136*IF(IF(IF(IF(IFERROR('Model inputs'!B834=FALSE,FALSE),FALSE,IF(IFERROR('Model inputs'!B835=FALSE,FALSE),FALSE,IF(OR('Model inputs'!B834="",'Model inputs'!B835=""),"",AND('Model inputs'!B834,'Model inputs'!B835))))="",FALSE,IF(IFERROR('Model inputs'!B834=FALSE,FALSE),FALSE,IF(IFERROR('Model inputs'!B835=FALSE,FALSE),FALSE,IF(OR('Model inputs'!B834="",'Model inputs'!B835=""),"",AND('Model inputs'!B834,'Model inputs'!B835))))),IF('Model inputs'!B148="","",'Model inputs'!B148),0)="",0,IF(IF(IF(IFERROR('Model inputs'!B834=FALSE,FALSE),FALSE,IF(IFERROR('Model inputs'!B835=FALSE,FALSE),FALSE,IF(OR('Model inputs'!B834="",'Model inputs'!B835=""),"",AND('Model inputs'!B834,'Model inputs'!B835))))="",FALSE,IF(IFERROR('Model inputs'!B834=FALSE,FALSE),FALSE,IF(IFERROR('Model inputs'!B835=FALSE,FALSE),FALSE,IF(OR('Model inputs'!B834="",'Model inputs'!B835=""),"",AND('Model inputs'!B834,'Model inputs'!B835))))),IF('Model inputs'!B148="","",'Model inputs'!B148),0))</f>
        <v>250</v>
      </c>
      <c r="I42" s="9">
        <f>'Model inputs'!B136*IF(IF(IF(IF(IFERROR('Model inputs'!B837=FALSE,FALSE),FALSE,IF(IFERROR('Model inputs'!B838=FALSE,FALSE),FALSE,IF(OR('Model inputs'!B837="",'Model inputs'!B838=""),"",AND('Model inputs'!B837,'Model inputs'!B838))))="",FALSE,IF(IFERROR('Model inputs'!B837=FALSE,FALSE),FALSE,IF(IFERROR('Model inputs'!B838=FALSE,FALSE),FALSE,IF(OR('Model inputs'!B837="",'Model inputs'!B838=""),"",AND('Model inputs'!B837,'Model inputs'!B838))))),IF('Model inputs'!B148="","",'Model inputs'!B148),0)="",0,IF(IF(IF(IFERROR('Model inputs'!B837=FALSE,FALSE),FALSE,IF(IFERROR('Model inputs'!B838=FALSE,FALSE),FALSE,IF(OR('Model inputs'!B837="",'Model inputs'!B838=""),"",AND('Model inputs'!B837,'Model inputs'!B838))))="",FALSE,IF(IFERROR('Model inputs'!B837=FALSE,FALSE),FALSE,IF(IFERROR('Model inputs'!B838=FALSE,FALSE),FALSE,IF(OR('Model inputs'!B837="",'Model inputs'!B838=""),"",AND('Model inputs'!B837,'Model inputs'!B838))))),IF('Model inputs'!B148="","",'Model inputs'!B148),0))</f>
        <v>250</v>
      </c>
      <c r="J42" s="9">
        <f>'Model inputs'!B136*IF(IF(IF(IF(IFERROR('Model inputs'!B840=FALSE,FALSE),FALSE,IF(IFERROR('Model inputs'!B841=FALSE,FALSE),FALSE,IF(OR('Model inputs'!B840="",'Model inputs'!B841=""),"",AND('Model inputs'!B840,'Model inputs'!B841))))="",FALSE,IF(IFERROR('Model inputs'!B840=FALSE,FALSE),FALSE,IF(IFERROR('Model inputs'!B841=FALSE,FALSE),FALSE,IF(OR('Model inputs'!B840="",'Model inputs'!B841=""),"",AND('Model inputs'!B840,'Model inputs'!B841))))),IF('Model inputs'!B148="","",'Model inputs'!B148),0)="",0,IF(IF(IF(IFERROR('Model inputs'!B840=FALSE,FALSE),FALSE,IF(IFERROR('Model inputs'!B841=FALSE,FALSE),FALSE,IF(OR('Model inputs'!B840="",'Model inputs'!B841=""),"",AND('Model inputs'!B840,'Model inputs'!B841))))="",FALSE,IF(IFERROR('Model inputs'!B840=FALSE,FALSE),FALSE,IF(IFERROR('Model inputs'!B841=FALSE,FALSE),FALSE,IF(OR('Model inputs'!B840="",'Model inputs'!B841=""),"",AND('Model inputs'!B840,'Model inputs'!B841))))),IF('Model inputs'!B148="","",'Model inputs'!B148),0))</f>
        <v>250</v>
      </c>
      <c r="K42" s="9">
        <f>'Model inputs'!B136*IF(IF(IF(IF(IFERROR('Model inputs'!B843=FALSE,FALSE),FALSE,IF(IFERROR('Model inputs'!B844=FALSE,FALSE),FALSE,IF(OR('Model inputs'!B843="",'Model inputs'!B844=""),"",AND('Model inputs'!B843,'Model inputs'!B844))))="",FALSE,IF(IFERROR('Model inputs'!B843=FALSE,FALSE),FALSE,IF(IFERROR('Model inputs'!B844=FALSE,FALSE),FALSE,IF(OR('Model inputs'!B843="",'Model inputs'!B844=""),"",AND('Model inputs'!B843,'Model inputs'!B844))))),IF('Model inputs'!B148="","",'Model inputs'!B148),0)="",0,IF(IF(IF(IFERROR('Model inputs'!B843=FALSE,FALSE),FALSE,IF(IFERROR('Model inputs'!B844=FALSE,FALSE),FALSE,IF(OR('Model inputs'!B843="",'Model inputs'!B844=""),"",AND('Model inputs'!B843,'Model inputs'!B844))))="",FALSE,IF(IFERROR('Model inputs'!B843=FALSE,FALSE),FALSE,IF(IFERROR('Model inputs'!B844=FALSE,FALSE),FALSE,IF(OR('Model inputs'!B843="",'Model inputs'!B844=""),"",AND('Model inputs'!B843,'Model inputs'!B844))))),IF('Model inputs'!B148="","",'Model inputs'!B148),0))</f>
        <v>250</v>
      </c>
      <c r="L42" s="9">
        <f>'Model inputs'!B136*IF(IF(IF(IF(IFERROR('Model inputs'!B846=FALSE,FALSE),FALSE,IF(IFERROR('Model inputs'!B847=FALSE,FALSE),FALSE,IF(OR('Model inputs'!B846="",'Model inputs'!B847=""),"",AND('Model inputs'!B846,'Model inputs'!B847))))="",FALSE,IF(IFERROR('Model inputs'!B846=FALSE,FALSE),FALSE,IF(IFERROR('Model inputs'!B847=FALSE,FALSE),FALSE,IF(OR('Model inputs'!B846="",'Model inputs'!B847=""),"",AND('Model inputs'!B846,'Model inputs'!B847))))),IF('Model inputs'!B148="","",'Model inputs'!B148),0)="",0,IF(IF(IF(IFERROR('Model inputs'!B846=FALSE,FALSE),FALSE,IF(IFERROR('Model inputs'!B847=FALSE,FALSE),FALSE,IF(OR('Model inputs'!B846="",'Model inputs'!B847=""),"",AND('Model inputs'!B846,'Model inputs'!B847))))="",FALSE,IF(IFERROR('Model inputs'!B846=FALSE,FALSE),FALSE,IF(IFERROR('Model inputs'!B847=FALSE,FALSE),FALSE,IF(OR('Model inputs'!B846="",'Model inputs'!B847=""),"",AND('Model inputs'!B846,'Model inputs'!B847))))),IF('Model inputs'!B148="","",'Model inputs'!B148),0))</f>
        <v>250</v>
      </c>
      <c r="M42" s="9">
        <f>'Model inputs'!B136*IF(IF(IF(IF(IFERROR('Model inputs'!B849=FALSE,FALSE),FALSE,IF(IFERROR('Model inputs'!B850=FALSE,FALSE),FALSE,IF(OR('Model inputs'!B849="",'Model inputs'!B850=""),"",AND('Model inputs'!B849,'Model inputs'!B850))))="",FALSE,IF(IFERROR('Model inputs'!B849=FALSE,FALSE),FALSE,IF(IFERROR('Model inputs'!B850=FALSE,FALSE),FALSE,IF(OR('Model inputs'!B849="",'Model inputs'!B850=""),"",AND('Model inputs'!B849,'Model inputs'!B850))))),IF('Model inputs'!B148="","",'Model inputs'!B148),0)="",0,IF(IF(IF(IFERROR('Model inputs'!B849=FALSE,FALSE),FALSE,IF(IFERROR('Model inputs'!B850=FALSE,FALSE),FALSE,IF(OR('Model inputs'!B849="",'Model inputs'!B850=""),"",AND('Model inputs'!B849,'Model inputs'!B850))))="",FALSE,IF(IFERROR('Model inputs'!B849=FALSE,FALSE),FALSE,IF(IFERROR('Model inputs'!B850=FALSE,FALSE),FALSE,IF(OR('Model inputs'!B849="",'Model inputs'!B850=""),"",AND('Model inputs'!B849,'Model inputs'!B850))))),IF('Model inputs'!B148="","",'Model inputs'!B148),0))</f>
        <v>250</v>
      </c>
      <c r="N42" s="9">
        <f>'Model inputs'!B136*IF(IF(IF(IF(IFERROR('Model inputs'!B852=FALSE,FALSE),FALSE,IF(IFERROR('Model inputs'!B853=FALSE,FALSE),FALSE,IF(OR('Model inputs'!B852="",'Model inputs'!B853=""),"",AND('Model inputs'!B852,'Model inputs'!B853))))="",FALSE,IF(IFERROR('Model inputs'!B852=FALSE,FALSE),FALSE,IF(IFERROR('Model inputs'!B853=FALSE,FALSE),FALSE,IF(OR('Model inputs'!B852="",'Model inputs'!B853=""),"",AND('Model inputs'!B852,'Model inputs'!B853))))),IF('Model inputs'!B148="","",'Model inputs'!B148),0)="",0,IF(IF(IF(IFERROR('Model inputs'!B852=FALSE,FALSE),FALSE,IF(IFERROR('Model inputs'!B853=FALSE,FALSE),FALSE,IF(OR('Model inputs'!B852="",'Model inputs'!B853=""),"",AND('Model inputs'!B852,'Model inputs'!B853))))="",FALSE,IF(IFERROR('Model inputs'!B852=FALSE,FALSE),FALSE,IF(IFERROR('Model inputs'!B853=FALSE,FALSE),FALSE,IF(OR('Model inputs'!B852="",'Model inputs'!B853=""),"",AND('Model inputs'!B852,'Model inputs'!B853))))),IF('Model inputs'!B148="","",'Model inputs'!B148),0))</f>
        <v>250</v>
      </c>
      <c r="O42" s="9">
        <f>'Model inputs'!B136*IF(IF(IF(IF(IFERROR('Model inputs'!B855=FALSE,FALSE),FALSE,IF(IFERROR('Model inputs'!B856=FALSE,FALSE),FALSE,IF(OR('Model inputs'!B855="",'Model inputs'!B856=""),"",AND('Model inputs'!B855,'Model inputs'!B856))))="",FALSE,IF(IFERROR('Model inputs'!B855=FALSE,FALSE),FALSE,IF(IFERROR('Model inputs'!B856=FALSE,FALSE),FALSE,IF(OR('Model inputs'!B855="",'Model inputs'!B856=""),"",AND('Model inputs'!B855,'Model inputs'!B856))))),IF('Model inputs'!B148="","",'Model inputs'!B148),0)="",0,IF(IF(IF(IFERROR('Model inputs'!B855=FALSE,FALSE),FALSE,IF(IFERROR('Model inputs'!B856=FALSE,FALSE),FALSE,IF(OR('Model inputs'!B855="",'Model inputs'!B856=""),"",AND('Model inputs'!B855,'Model inputs'!B856))))="",FALSE,IF(IFERROR('Model inputs'!B855=FALSE,FALSE),FALSE,IF(IFERROR('Model inputs'!B856=FALSE,FALSE),FALSE,IF(OR('Model inputs'!B855="",'Model inputs'!B856=""),"",AND('Model inputs'!B855,'Model inputs'!B856))))),IF('Model inputs'!B148="","",'Model inputs'!B148),0))</f>
        <v>250</v>
      </c>
      <c r="P42" s="9">
        <f>'Model inputs'!B136*IF(IF(IF(IF(IFERROR('Model inputs'!B858=FALSE,FALSE),FALSE,IF(IFERROR('Model inputs'!B859=FALSE,FALSE),FALSE,IF(OR('Model inputs'!B858="",'Model inputs'!B859=""),"",AND('Model inputs'!B858,'Model inputs'!B859))))="",FALSE,IF(IFERROR('Model inputs'!B858=FALSE,FALSE),FALSE,IF(IFERROR('Model inputs'!B859=FALSE,FALSE),FALSE,IF(OR('Model inputs'!B858="",'Model inputs'!B859=""),"",AND('Model inputs'!B858,'Model inputs'!B859))))),IF('Model inputs'!B148="","",'Model inputs'!B148),0)="",0,IF(IF(IF(IFERROR('Model inputs'!B858=FALSE,FALSE),FALSE,IF(IFERROR('Model inputs'!B859=FALSE,FALSE),FALSE,IF(OR('Model inputs'!B858="",'Model inputs'!B859=""),"",AND('Model inputs'!B858,'Model inputs'!B859))))="",FALSE,IF(IFERROR('Model inputs'!B858=FALSE,FALSE),FALSE,IF(IFERROR('Model inputs'!B859=FALSE,FALSE),FALSE,IF(OR('Model inputs'!B858="",'Model inputs'!B859=""),"",AND('Model inputs'!B858,'Model inputs'!B859))))),IF('Model inputs'!B148="","",'Model inputs'!B148),0))</f>
        <v>250</v>
      </c>
      <c r="Q42" s="9">
        <f>'Model inputs'!B136*IF(IF(IF(IF(IFERROR('Model inputs'!B861=FALSE,FALSE),FALSE,IF(IFERROR('Model inputs'!B862=FALSE,FALSE),FALSE,IF(OR('Model inputs'!B861="",'Model inputs'!B862=""),"",AND('Model inputs'!B861,'Model inputs'!B862))))="",FALSE,IF(IFERROR('Model inputs'!B861=FALSE,FALSE),FALSE,IF(IFERROR('Model inputs'!B862=FALSE,FALSE),FALSE,IF(OR('Model inputs'!B861="",'Model inputs'!B862=""),"",AND('Model inputs'!B861,'Model inputs'!B862))))),IF('Model inputs'!B148="","",'Model inputs'!B148),0)="",0,IF(IF(IF(IFERROR('Model inputs'!B861=FALSE,FALSE),FALSE,IF(IFERROR('Model inputs'!B862=FALSE,FALSE),FALSE,IF(OR('Model inputs'!B861="",'Model inputs'!B862=""),"",AND('Model inputs'!B861,'Model inputs'!B862))))="",FALSE,IF(IFERROR('Model inputs'!B861=FALSE,FALSE),FALSE,IF(IFERROR('Model inputs'!B862=FALSE,FALSE),FALSE,IF(OR('Model inputs'!B861="",'Model inputs'!B862=""),"",AND('Model inputs'!B861,'Model inputs'!B862))))),IF('Model inputs'!B148="","",'Model inputs'!B148),0))</f>
        <v>250</v>
      </c>
      <c r="R42" s="9">
        <f>'Model inputs'!B136*IF(IF(IF(IF(IFERROR('Model inputs'!B864=FALSE,FALSE),FALSE,IF(IFERROR('Model inputs'!B865=FALSE,FALSE),FALSE,IF(OR('Model inputs'!B864="",'Model inputs'!B865=""),"",AND('Model inputs'!B864,'Model inputs'!B865))))="",FALSE,IF(IFERROR('Model inputs'!B864=FALSE,FALSE),FALSE,IF(IFERROR('Model inputs'!B865=FALSE,FALSE),FALSE,IF(OR('Model inputs'!B864="",'Model inputs'!B865=""),"",AND('Model inputs'!B864,'Model inputs'!B865))))),IF('Model inputs'!B148="","",'Model inputs'!B148),0)="",0,IF(IF(IF(IFERROR('Model inputs'!B864=FALSE,FALSE),FALSE,IF(IFERROR('Model inputs'!B865=FALSE,FALSE),FALSE,IF(OR('Model inputs'!B864="",'Model inputs'!B865=""),"",AND('Model inputs'!B864,'Model inputs'!B865))))="",FALSE,IF(IFERROR('Model inputs'!B864=FALSE,FALSE),FALSE,IF(IFERROR('Model inputs'!B865=FALSE,FALSE),FALSE,IF(OR('Model inputs'!B864="",'Model inputs'!B865=""),"",AND('Model inputs'!B864,'Model inputs'!B865))))),IF('Model inputs'!B148="","",'Model inputs'!B148),0))</f>
        <v>250</v>
      </c>
      <c r="S42" s="9">
        <f>'Model inputs'!B136*IF(IF(IF(IF(IFERROR('Model inputs'!B867=FALSE,FALSE),FALSE,IF(IFERROR('Model inputs'!B868=FALSE,FALSE),FALSE,IF(OR('Model inputs'!B867="",'Model inputs'!B868=""),"",AND('Model inputs'!B867,'Model inputs'!B868))))="",FALSE,IF(IFERROR('Model inputs'!B867=FALSE,FALSE),FALSE,IF(IFERROR('Model inputs'!B868=FALSE,FALSE),FALSE,IF(OR('Model inputs'!B867="",'Model inputs'!B868=""),"",AND('Model inputs'!B867,'Model inputs'!B868))))),IF('Model inputs'!B148="","",'Model inputs'!B148),0)="",0,IF(IF(IF(IFERROR('Model inputs'!B867=FALSE,FALSE),FALSE,IF(IFERROR('Model inputs'!B868=FALSE,FALSE),FALSE,IF(OR('Model inputs'!B867="",'Model inputs'!B868=""),"",AND('Model inputs'!B867,'Model inputs'!B868))))="",FALSE,IF(IFERROR('Model inputs'!B867=FALSE,FALSE),FALSE,IF(IFERROR('Model inputs'!B868=FALSE,FALSE),FALSE,IF(OR('Model inputs'!B867="",'Model inputs'!B868=""),"",AND('Model inputs'!B867,'Model inputs'!B868))))),IF('Model inputs'!B148="","",'Model inputs'!B148),0))</f>
        <v>250</v>
      </c>
      <c r="T42" s="9">
        <f>'Model inputs'!B136*IF(IF(IF(IF(IFERROR('Model inputs'!B870=FALSE,FALSE),FALSE,IF(IFERROR('Model inputs'!B871=FALSE,FALSE),FALSE,IF(OR('Model inputs'!B870="",'Model inputs'!B871=""),"",AND('Model inputs'!B870,'Model inputs'!B871))))="",FALSE,IF(IFERROR('Model inputs'!B870=FALSE,FALSE),FALSE,IF(IFERROR('Model inputs'!B871=FALSE,FALSE),FALSE,IF(OR('Model inputs'!B870="",'Model inputs'!B871=""),"",AND('Model inputs'!B870,'Model inputs'!B871))))),IF('Model inputs'!B148="","",'Model inputs'!B148),0)="",0,IF(IF(IF(IFERROR('Model inputs'!B870=FALSE,FALSE),FALSE,IF(IFERROR('Model inputs'!B871=FALSE,FALSE),FALSE,IF(OR('Model inputs'!B870="",'Model inputs'!B871=""),"",AND('Model inputs'!B870,'Model inputs'!B871))))="",FALSE,IF(IFERROR('Model inputs'!B870=FALSE,FALSE),FALSE,IF(IFERROR('Model inputs'!B871=FALSE,FALSE),FALSE,IF(OR('Model inputs'!B870="",'Model inputs'!B871=""),"",AND('Model inputs'!B870,'Model inputs'!B871))))),IF('Model inputs'!B148="","",'Model inputs'!B148),0))</f>
        <v>250</v>
      </c>
      <c r="U42" s="9">
        <f>'Model inputs'!B136*IF(IF(IF(IF(IFERROR('Model inputs'!B873=FALSE,FALSE),FALSE,IF(IFERROR('Model inputs'!B874=FALSE,FALSE),FALSE,IF(OR('Model inputs'!B873="",'Model inputs'!B874=""),"",AND('Model inputs'!B873,'Model inputs'!B874))))="",FALSE,IF(IFERROR('Model inputs'!B873=FALSE,FALSE),FALSE,IF(IFERROR('Model inputs'!B874=FALSE,FALSE),FALSE,IF(OR('Model inputs'!B873="",'Model inputs'!B874=""),"",AND('Model inputs'!B873,'Model inputs'!B874))))),IF('Model inputs'!B148="","",'Model inputs'!B148),0)="",0,IF(IF(IF(IFERROR('Model inputs'!B873=FALSE,FALSE),FALSE,IF(IFERROR('Model inputs'!B874=FALSE,FALSE),FALSE,IF(OR('Model inputs'!B873="",'Model inputs'!B874=""),"",AND('Model inputs'!B873,'Model inputs'!B874))))="",FALSE,IF(IFERROR('Model inputs'!B873=FALSE,FALSE),FALSE,IF(IFERROR('Model inputs'!B874=FALSE,FALSE),FALSE,IF(OR('Model inputs'!B873="",'Model inputs'!B874=""),"",AND('Model inputs'!B873,'Model inputs'!B874))))),IF('Model inputs'!B148="","",'Model inputs'!B148),0))</f>
        <v>250</v>
      </c>
      <c r="V42" s="9">
        <f>'Model inputs'!B136*IF(IF(IF(IF(IFERROR('Model inputs'!B876=FALSE,FALSE),FALSE,IF(IFERROR('Model inputs'!B877=FALSE,FALSE),FALSE,IF(OR('Model inputs'!B876="",'Model inputs'!B877=""),"",AND('Model inputs'!B876,'Model inputs'!B877))))="",FALSE,IF(IFERROR('Model inputs'!B876=FALSE,FALSE),FALSE,IF(IFERROR('Model inputs'!B877=FALSE,FALSE),FALSE,IF(OR('Model inputs'!B876="",'Model inputs'!B877=""),"",AND('Model inputs'!B876,'Model inputs'!B877))))),IF('Model inputs'!B148="","",'Model inputs'!B148),0)="",0,IF(IF(IF(IFERROR('Model inputs'!B876=FALSE,FALSE),FALSE,IF(IFERROR('Model inputs'!B877=FALSE,FALSE),FALSE,IF(OR('Model inputs'!B876="",'Model inputs'!B877=""),"",AND('Model inputs'!B876,'Model inputs'!B877))))="",FALSE,IF(IFERROR('Model inputs'!B876=FALSE,FALSE),FALSE,IF(IFERROR('Model inputs'!B877=FALSE,FALSE),FALSE,IF(OR('Model inputs'!B876="",'Model inputs'!B877=""),"",AND('Model inputs'!B876,'Model inputs'!B877))))),IF('Model inputs'!B148="","",'Model inputs'!B148),0))</f>
        <v>250</v>
      </c>
    </row>
    <row r="43" outlineLevel="1">
      <c r="A43" t="inlineStr" s="18">
        <is>
          <t xml:space="preserve">Opex &gt; Marketing: launch push</t>
        </is>
      </c>
      <c r="C43" s="9">
        <f>'Model inputs'!B137*IF(IF(IF(IF(IFERROR('Model inputs'!B879=FALSE,FALSE),FALSE,IF(IFERROR('Model inputs'!B880=FALSE,FALSE),FALSE,IF(OR('Model inputs'!B879="",'Model inputs'!B880=""),"",AND('Model inputs'!B879,'Model inputs'!B880))))="",FALSE,IF(IFERROR('Model inputs'!B879=FALSE,FALSE),FALSE,IF(IFERROR('Model inputs'!B880=FALSE,FALSE),FALSE,IF(OR('Model inputs'!B879="",'Model inputs'!B880=""),"",AND('Model inputs'!B879,'Model inputs'!B880))))),IF('Model inputs'!B149="","",'Model inputs'!B149),0)="",0,IF(IF(IF(IFERROR('Model inputs'!B879=FALSE,FALSE),FALSE,IF(IFERROR('Model inputs'!B880=FALSE,FALSE),FALSE,IF(OR('Model inputs'!B879="",'Model inputs'!B880=""),"",AND('Model inputs'!B879,'Model inputs'!B880))))="",FALSE,IF(IFERROR('Model inputs'!B879=FALSE,FALSE),FALSE,IF(IFERROR('Model inputs'!B880=FALSE,FALSE),FALSE,IF(OR('Model inputs'!B879="",'Model inputs'!B880=""),"",AND('Model inputs'!B879,'Model inputs'!B880))))),IF('Model inputs'!B149="","",'Model inputs'!B149),0))</f>
        <v>0</v>
      </c>
      <c r="D43" s="9">
        <f>'Model inputs'!B137*IF(IF(IF(IF(IFERROR('Model inputs'!B882=FALSE,FALSE),FALSE,IF(IFERROR('Model inputs'!B883=FALSE,FALSE),FALSE,IF(OR('Model inputs'!B882="",'Model inputs'!B883=""),"",AND('Model inputs'!B882,'Model inputs'!B883))))="",FALSE,IF(IFERROR('Model inputs'!B882=FALSE,FALSE),FALSE,IF(IFERROR('Model inputs'!B883=FALSE,FALSE),FALSE,IF(OR('Model inputs'!B882="",'Model inputs'!B883=""),"",AND('Model inputs'!B882,'Model inputs'!B883))))),IF('Model inputs'!B149="","",'Model inputs'!B149),0)="",0,IF(IF(IF(IFERROR('Model inputs'!B882=FALSE,FALSE),FALSE,IF(IFERROR('Model inputs'!B883=FALSE,FALSE),FALSE,IF(OR('Model inputs'!B882="",'Model inputs'!B883=""),"",AND('Model inputs'!B882,'Model inputs'!B883))))="",FALSE,IF(IFERROR('Model inputs'!B882=FALSE,FALSE),FALSE,IF(IFERROR('Model inputs'!B883=FALSE,FALSE),FALSE,IF(OR('Model inputs'!B882="",'Model inputs'!B883=""),"",AND('Model inputs'!B882,'Model inputs'!B883))))),IF('Model inputs'!B149="","",'Model inputs'!B149),0))</f>
        <v>0</v>
      </c>
      <c r="E43" s="9">
        <f>'Model inputs'!B137*IF(IF(IF(IF(IFERROR('Model inputs'!B885=FALSE,FALSE),FALSE,IF(IFERROR('Model inputs'!B886=FALSE,FALSE),FALSE,IF(OR('Model inputs'!B885="",'Model inputs'!B886=""),"",AND('Model inputs'!B885,'Model inputs'!B886))))="",FALSE,IF(IFERROR('Model inputs'!B885=FALSE,FALSE),FALSE,IF(IFERROR('Model inputs'!B886=FALSE,FALSE),FALSE,IF(OR('Model inputs'!B885="",'Model inputs'!B886=""),"",AND('Model inputs'!B885,'Model inputs'!B886))))),IF('Model inputs'!B149="","",'Model inputs'!B149),0)="",0,IF(IF(IF(IFERROR('Model inputs'!B885=FALSE,FALSE),FALSE,IF(IFERROR('Model inputs'!B886=FALSE,FALSE),FALSE,IF(OR('Model inputs'!B885="",'Model inputs'!B886=""),"",AND('Model inputs'!B885,'Model inputs'!B886))))="",FALSE,IF(IFERROR('Model inputs'!B885=FALSE,FALSE),FALSE,IF(IFERROR('Model inputs'!B886=FALSE,FALSE),FALSE,IF(OR('Model inputs'!B885="",'Model inputs'!B886=""),"",AND('Model inputs'!B885,'Model inputs'!B886))))),IF('Model inputs'!B149="","",'Model inputs'!B149),0))</f>
        <v>0</v>
      </c>
      <c r="F43" s="9">
        <f>'Model inputs'!B137*IF(IF(IF(IF(IFERROR('Model inputs'!B888=FALSE,FALSE),FALSE,IF(IFERROR('Model inputs'!B889=FALSE,FALSE),FALSE,IF(OR('Model inputs'!B888="",'Model inputs'!B889=""),"",AND('Model inputs'!B888,'Model inputs'!B889))))="",FALSE,IF(IFERROR('Model inputs'!B888=FALSE,FALSE),FALSE,IF(IFERROR('Model inputs'!B889=FALSE,FALSE),FALSE,IF(OR('Model inputs'!B888="",'Model inputs'!B889=""),"",AND('Model inputs'!B888,'Model inputs'!B889))))),IF('Model inputs'!B149="","",'Model inputs'!B149),0)="",0,IF(IF(IF(IFERROR('Model inputs'!B888=FALSE,FALSE),FALSE,IF(IFERROR('Model inputs'!B889=FALSE,FALSE),FALSE,IF(OR('Model inputs'!B888="",'Model inputs'!B889=""),"",AND('Model inputs'!B888,'Model inputs'!B889))))="",FALSE,IF(IFERROR('Model inputs'!B888=FALSE,FALSE),FALSE,IF(IFERROR('Model inputs'!B889=FALSE,FALSE),FALSE,IF(OR('Model inputs'!B888="",'Model inputs'!B889=""),"",AND('Model inputs'!B888,'Model inputs'!B889))))),IF('Model inputs'!B149="","",'Model inputs'!B149),0))</f>
        <v>350</v>
      </c>
      <c r="G43" s="9">
        <f>'Model inputs'!B137*IF(IF(IF(IF(IFERROR('Model inputs'!B891=FALSE,FALSE),FALSE,IF(IFERROR('Model inputs'!B892=FALSE,FALSE),FALSE,IF(OR('Model inputs'!B891="",'Model inputs'!B892=""),"",AND('Model inputs'!B891,'Model inputs'!B892))))="",FALSE,IF(IFERROR('Model inputs'!B891=FALSE,FALSE),FALSE,IF(IFERROR('Model inputs'!B892=FALSE,FALSE),FALSE,IF(OR('Model inputs'!B891="",'Model inputs'!B892=""),"",AND('Model inputs'!B891,'Model inputs'!B892))))),IF('Model inputs'!B149="","",'Model inputs'!B149),0)="",0,IF(IF(IF(IFERROR('Model inputs'!B891=FALSE,FALSE),FALSE,IF(IFERROR('Model inputs'!B892=FALSE,FALSE),FALSE,IF(OR('Model inputs'!B891="",'Model inputs'!B892=""),"",AND('Model inputs'!B891,'Model inputs'!B892))))="",FALSE,IF(IFERROR('Model inputs'!B891=FALSE,FALSE),FALSE,IF(IFERROR('Model inputs'!B892=FALSE,FALSE),FALSE,IF(OR('Model inputs'!B891="",'Model inputs'!B892=""),"",AND('Model inputs'!B891,'Model inputs'!B892))))),IF('Model inputs'!B149="","",'Model inputs'!B149),0))</f>
        <v>350</v>
      </c>
      <c r="H43" s="9">
        <f>'Model inputs'!B137*IF(IF(IF(IF(IFERROR('Model inputs'!B894=FALSE,FALSE),FALSE,IF(IFERROR('Model inputs'!B895=FALSE,FALSE),FALSE,IF(OR('Model inputs'!B894="",'Model inputs'!B895=""),"",AND('Model inputs'!B894,'Model inputs'!B895))))="",FALSE,IF(IFERROR('Model inputs'!B894=FALSE,FALSE),FALSE,IF(IFERROR('Model inputs'!B895=FALSE,FALSE),FALSE,IF(OR('Model inputs'!B894="",'Model inputs'!B895=""),"",AND('Model inputs'!B894,'Model inputs'!B895))))),IF('Model inputs'!B149="","",'Model inputs'!B149),0)="",0,IF(IF(IF(IFERROR('Model inputs'!B894=FALSE,FALSE),FALSE,IF(IFERROR('Model inputs'!B895=FALSE,FALSE),FALSE,IF(OR('Model inputs'!B894="",'Model inputs'!B895=""),"",AND('Model inputs'!B894,'Model inputs'!B895))))="",FALSE,IF(IFERROR('Model inputs'!B894=FALSE,FALSE),FALSE,IF(IFERROR('Model inputs'!B895=FALSE,FALSE),FALSE,IF(OR('Model inputs'!B894="",'Model inputs'!B895=""),"",AND('Model inputs'!B894,'Model inputs'!B895))))),IF('Model inputs'!B149="","",'Model inputs'!B149),0))</f>
        <v>0</v>
      </c>
      <c r="I43" s="9">
        <f>'Model inputs'!B137*IF(IF(IF(IF(IFERROR('Model inputs'!B897=FALSE,FALSE),FALSE,IF(IFERROR('Model inputs'!B898=FALSE,FALSE),FALSE,IF(OR('Model inputs'!B897="",'Model inputs'!B898=""),"",AND('Model inputs'!B897,'Model inputs'!B898))))="",FALSE,IF(IFERROR('Model inputs'!B897=FALSE,FALSE),FALSE,IF(IFERROR('Model inputs'!B898=FALSE,FALSE),FALSE,IF(OR('Model inputs'!B897="",'Model inputs'!B898=""),"",AND('Model inputs'!B897,'Model inputs'!B898))))),IF('Model inputs'!B149="","",'Model inputs'!B149),0)="",0,IF(IF(IF(IFERROR('Model inputs'!B897=FALSE,FALSE),FALSE,IF(IFERROR('Model inputs'!B898=FALSE,FALSE),FALSE,IF(OR('Model inputs'!B897="",'Model inputs'!B898=""),"",AND('Model inputs'!B897,'Model inputs'!B898))))="",FALSE,IF(IFERROR('Model inputs'!B897=FALSE,FALSE),FALSE,IF(IFERROR('Model inputs'!B898=FALSE,FALSE),FALSE,IF(OR('Model inputs'!B897="",'Model inputs'!B898=""),"",AND('Model inputs'!B897,'Model inputs'!B898))))),IF('Model inputs'!B149="","",'Model inputs'!B149),0))</f>
        <v>0</v>
      </c>
      <c r="J43" s="9">
        <f>'Model inputs'!B137*IF(IF(IF(IF(IFERROR('Model inputs'!B900=FALSE,FALSE),FALSE,IF(IFERROR('Model inputs'!B901=FALSE,FALSE),FALSE,IF(OR('Model inputs'!B900="",'Model inputs'!B901=""),"",AND('Model inputs'!B900,'Model inputs'!B901))))="",FALSE,IF(IFERROR('Model inputs'!B900=FALSE,FALSE),FALSE,IF(IFERROR('Model inputs'!B901=FALSE,FALSE),FALSE,IF(OR('Model inputs'!B900="",'Model inputs'!B901=""),"",AND('Model inputs'!B900,'Model inputs'!B901))))),IF('Model inputs'!B149="","",'Model inputs'!B149),0)="",0,IF(IF(IF(IFERROR('Model inputs'!B900=FALSE,FALSE),FALSE,IF(IFERROR('Model inputs'!B901=FALSE,FALSE),FALSE,IF(OR('Model inputs'!B900="",'Model inputs'!B901=""),"",AND('Model inputs'!B900,'Model inputs'!B901))))="",FALSE,IF(IFERROR('Model inputs'!B900=FALSE,FALSE),FALSE,IF(IFERROR('Model inputs'!B901=FALSE,FALSE),FALSE,IF(OR('Model inputs'!B900="",'Model inputs'!B901=""),"",AND('Model inputs'!B900,'Model inputs'!B901))))),IF('Model inputs'!B149="","",'Model inputs'!B149),0))</f>
        <v>0</v>
      </c>
      <c r="K43" s="9">
        <f>'Model inputs'!B137*IF(IF(IF(IF(IFERROR('Model inputs'!B903=FALSE,FALSE),FALSE,IF(IFERROR('Model inputs'!B904=FALSE,FALSE),FALSE,IF(OR('Model inputs'!B903="",'Model inputs'!B904=""),"",AND('Model inputs'!B903,'Model inputs'!B904))))="",FALSE,IF(IFERROR('Model inputs'!B903=FALSE,FALSE),FALSE,IF(IFERROR('Model inputs'!B904=FALSE,FALSE),FALSE,IF(OR('Model inputs'!B903="",'Model inputs'!B904=""),"",AND('Model inputs'!B903,'Model inputs'!B904))))),IF('Model inputs'!B149="","",'Model inputs'!B149),0)="",0,IF(IF(IF(IFERROR('Model inputs'!B903=FALSE,FALSE),FALSE,IF(IFERROR('Model inputs'!B904=FALSE,FALSE),FALSE,IF(OR('Model inputs'!B903="",'Model inputs'!B904=""),"",AND('Model inputs'!B903,'Model inputs'!B904))))="",FALSE,IF(IFERROR('Model inputs'!B903=FALSE,FALSE),FALSE,IF(IFERROR('Model inputs'!B904=FALSE,FALSE),FALSE,IF(OR('Model inputs'!B903="",'Model inputs'!B904=""),"",AND('Model inputs'!B903,'Model inputs'!B904))))),IF('Model inputs'!B149="","",'Model inputs'!B149),0))</f>
        <v>0</v>
      </c>
      <c r="L43" s="9">
        <f>'Model inputs'!B137*IF(IF(IF(IF(IFERROR('Model inputs'!B906=FALSE,FALSE),FALSE,IF(IFERROR('Model inputs'!B907=FALSE,FALSE),FALSE,IF(OR('Model inputs'!B906="",'Model inputs'!B907=""),"",AND('Model inputs'!B906,'Model inputs'!B907))))="",FALSE,IF(IFERROR('Model inputs'!B906=FALSE,FALSE),FALSE,IF(IFERROR('Model inputs'!B907=FALSE,FALSE),FALSE,IF(OR('Model inputs'!B906="",'Model inputs'!B907=""),"",AND('Model inputs'!B906,'Model inputs'!B907))))),IF('Model inputs'!B149="","",'Model inputs'!B149),0)="",0,IF(IF(IF(IFERROR('Model inputs'!B906=FALSE,FALSE),FALSE,IF(IFERROR('Model inputs'!B907=FALSE,FALSE),FALSE,IF(OR('Model inputs'!B906="",'Model inputs'!B907=""),"",AND('Model inputs'!B906,'Model inputs'!B907))))="",FALSE,IF(IFERROR('Model inputs'!B906=FALSE,FALSE),FALSE,IF(IFERROR('Model inputs'!B907=FALSE,FALSE),FALSE,IF(OR('Model inputs'!B906="",'Model inputs'!B907=""),"",AND('Model inputs'!B906,'Model inputs'!B907))))),IF('Model inputs'!B149="","",'Model inputs'!B149),0))</f>
        <v>0</v>
      </c>
      <c r="M43" s="9">
        <f>'Model inputs'!B137*IF(IF(IF(IF(IFERROR('Model inputs'!B909=FALSE,FALSE),FALSE,IF(IFERROR('Model inputs'!B910=FALSE,FALSE),FALSE,IF(OR('Model inputs'!B909="",'Model inputs'!B910=""),"",AND('Model inputs'!B909,'Model inputs'!B910))))="",FALSE,IF(IFERROR('Model inputs'!B909=FALSE,FALSE),FALSE,IF(IFERROR('Model inputs'!B910=FALSE,FALSE),FALSE,IF(OR('Model inputs'!B909="",'Model inputs'!B910=""),"",AND('Model inputs'!B909,'Model inputs'!B910))))),IF('Model inputs'!B149="","",'Model inputs'!B149),0)="",0,IF(IF(IF(IFERROR('Model inputs'!B909=FALSE,FALSE),FALSE,IF(IFERROR('Model inputs'!B910=FALSE,FALSE),FALSE,IF(OR('Model inputs'!B909="",'Model inputs'!B910=""),"",AND('Model inputs'!B909,'Model inputs'!B910))))="",FALSE,IF(IFERROR('Model inputs'!B909=FALSE,FALSE),FALSE,IF(IFERROR('Model inputs'!B910=FALSE,FALSE),FALSE,IF(OR('Model inputs'!B909="",'Model inputs'!B910=""),"",AND('Model inputs'!B909,'Model inputs'!B910))))),IF('Model inputs'!B149="","",'Model inputs'!B149),0))</f>
        <v>0</v>
      </c>
      <c r="N43" s="9">
        <f>'Model inputs'!B137*IF(IF(IF(IF(IFERROR('Model inputs'!B912=FALSE,FALSE),FALSE,IF(IFERROR('Model inputs'!B913=FALSE,FALSE),FALSE,IF(OR('Model inputs'!B912="",'Model inputs'!B913=""),"",AND('Model inputs'!B912,'Model inputs'!B913))))="",FALSE,IF(IFERROR('Model inputs'!B912=FALSE,FALSE),FALSE,IF(IFERROR('Model inputs'!B913=FALSE,FALSE),FALSE,IF(OR('Model inputs'!B912="",'Model inputs'!B913=""),"",AND('Model inputs'!B912,'Model inputs'!B913))))),IF('Model inputs'!B149="","",'Model inputs'!B149),0)="",0,IF(IF(IF(IFERROR('Model inputs'!B912=FALSE,FALSE),FALSE,IF(IFERROR('Model inputs'!B913=FALSE,FALSE),FALSE,IF(OR('Model inputs'!B912="",'Model inputs'!B913=""),"",AND('Model inputs'!B912,'Model inputs'!B913))))="",FALSE,IF(IFERROR('Model inputs'!B912=FALSE,FALSE),FALSE,IF(IFERROR('Model inputs'!B913=FALSE,FALSE),FALSE,IF(OR('Model inputs'!B912="",'Model inputs'!B913=""),"",AND('Model inputs'!B912,'Model inputs'!B913))))),IF('Model inputs'!B149="","",'Model inputs'!B149),0))</f>
        <v>0</v>
      </c>
      <c r="O43" s="9">
        <f>'Model inputs'!B137*IF(IF(IF(IF(IFERROR('Model inputs'!B915=FALSE,FALSE),FALSE,IF(IFERROR('Model inputs'!B916=FALSE,FALSE),FALSE,IF(OR('Model inputs'!B915="",'Model inputs'!B916=""),"",AND('Model inputs'!B915,'Model inputs'!B916))))="",FALSE,IF(IFERROR('Model inputs'!B915=FALSE,FALSE),FALSE,IF(IFERROR('Model inputs'!B916=FALSE,FALSE),FALSE,IF(OR('Model inputs'!B915="",'Model inputs'!B916=""),"",AND('Model inputs'!B915,'Model inputs'!B916))))),IF('Model inputs'!B149="","",'Model inputs'!B149),0)="",0,IF(IF(IF(IFERROR('Model inputs'!B915=FALSE,FALSE),FALSE,IF(IFERROR('Model inputs'!B916=FALSE,FALSE),FALSE,IF(OR('Model inputs'!B915="",'Model inputs'!B916=""),"",AND('Model inputs'!B915,'Model inputs'!B916))))="",FALSE,IF(IFERROR('Model inputs'!B915=FALSE,FALSE),FALSE,IF(IFERROR('Model inputs'!B916=FALSE,FALSE),FALSE,IF(OR('Model inputs'!B915="",'Model inputs'!B916=""),"",AND('Model inputs'!B915,'Model inputs'!B916))))),IF('Model inputs'!B149="","",'Model inputs'!B149),0))</f>
        <v>0</v>
      </c>
      <c r="P43" s="9">
        <f>'Model inputs'!B137*IF(IF(IF(IF(IFERROR('Model inputs'!B918=FALSE,FALSE),FALSE,IF(IFERROR('Model inputs'!B919=FALSE,FALSE),FALSE,IF(OR('Model inputs'!B918="",'Model inputs'!B919=""),"",AND('Model inputs'!B918,'Model inputs'!B919))))="",FALSE,IF(IFERROR('Model inputs'!B918=FALSE,FALSE),FALSE,IF(IFERROR('Model inputs'!B919=FALSE,FALSE),FALSE,IF(OR('Model inputs'!B918="",'Model inputs'!B919=""),"",AND('Model inputs'!B918,'Model inputs'!B919))))),IF('Model inputs'!B149="","",'Model inputs'!B149),0)="",0,IF(IF(IF(IFERROR('Model inputs'!B918=FALSE,FALSE),FALSE,IF(IFERROR('Model inputs'!B919=FALSE,FALSE),FALSE,IF(OR('Model inputs'!B918="",'Model inputs'!B919=""),"",AND('Model inputs'!B918,'Model inputs'!B919))))="",FALSE,IF(IFERROR('Model inputs'!B918=FALSE,FALSE),FALSE,IF(IFERROR('Model inputs'!B919=FALSE,FALSE),FALSE,IF(OR('Model inputs'!B918="",'Model inputs'!B919=""),"",AND('Model inputs'!B918,'Model inputs'!B919))))),IF('Model inputs'!B149="","",'Model inputs'!B149),0))</f>
        <v>0</v>
      </c>
      <c r="Q43" s="9">
        <f>'Model inputs'!B137*IF(IF(IF(IF(IFERROR('Model inputs'!B921=FALSE,FALSE),FALSE,IF(IFERROR('Model inputs'!B922=FALSE,FALSE),FALSE,IF(OR('Model inputs'!B921="",'Model inputs'!B922=""),"",AND('Model inputs'!B921,'Model inputs'!B922))))="",FALSE,IF(IFERROR('Model inputs'!B921=FALSE,FALSE),FALSE,IF(IFERROR('Model inputs'!B922=FALSE,FALSE),FALSE,IF(OR('Model inputs'!B921="",'Model inputs'!B922=""),"",AND('Model inputs'!B921,'Model inputs'!B922))))),IF('Model inputs'!B149="","",'Model inputs'!B149),0)="",0,IF(IF(IF(IFERROR('Model inputs'!B921=FALSE,FALSE),FALSE,IF(IFERROR('Model inputs'!B922=FALSE,FALSE),FALSE,IF(OR('Model inputs'!B921="",'Model inputs'!B922=""),"",AND('Model inputs'!B921,'Model inputs'!B922))))="",FALSE,IF(IFERROR('Model inputs'!B921=FALSE,FALSE),FALSE,IF(IFERROR('Model inputs'!B922=FALSE,FALSE),FALSE,IF(OR('Model inputs'!B921="",'Model inputs'!B922=""),"",AND('Model inputs'!B921,'Model inputs'!B922))))),IF('Model inputs'!B149="","",'Model inputs'!B149),0))</f>
        <v>0</v>
      </c>
      <c r="R43" s="9">
        <f>'Model inputs'!B137*IF(IF(IF(IF(IFERROR('Model inputs'!B924=FALSE,FALSE),FALSE,IF(IFERROR('Model inputs'!B925=FALSE,FALSE),FALSE,IF(OR('Model inputs'!B924="",'Model inputs'!B925=""),"",AND('Model inputs'!B924,'Model inputs'!B925))))="",FALSE,IF(IFERROR('Model inputs'!B924=FALSE,FALSE),FALSE,IF(IFERROR('Model inputs'!B925=FALSE,FALSE),FALSE,IF(OR('Model inputs'!B924="",'Model inputs'!B925=""),"",AND('Model inputs'!B924,'Model inputs'!B925))))),IF('Model inputs'!B149="","",'Model inputs'!B149),0)="",0,IF(IF(IF(IFERROR('Model inputs'!B924=FALSE,FALSE),FALSE,IF(IFERROR('Model inputs'!B925=FALSE,FALSE),FALSE,IF(OR('Model inputs'!B924="",'Model inputs'!B925=""),"",AND('Model inputs'!B924,'Model inputs'!B925))))="",FALSE,IF(IFERROR('Model inputs'!B924=FALSE,FALSE),FALSE,IF(IFERROR('Model inputs'!B925=FALSE,FALSE),FALSE,IF(OR('Model inputs'!B924="",'Model inputs'!B925=""),"",AND('Model inputs'!B924,'Model inputs'!B925))))),IF('Model inputs'!B149="","",'Model inputs'!B149),0))</f>
        <v>0</v>
      </c>
      <c r="S43" s="9">
        <f>'Model inputs'!B137*IF(IF(IF(IF(IFERROR('Model inputs'!B927=FALSE,FALSE),FALSE,IF(IFERROR('Model inputs'!B928=FALSE,FALSE),FALSE,IF(OR('Model inputs'!B927="",'Model inputs'!B928=""),"",AND('Model inputs'!B927,'Model inputs'!B928))))="",FALSE,IF(IFERROR('Model inputs'!B927=FALSE,FALSE),FALSE,IF(IFERROR('Model inputs'!B928=FALSE,FALSE),FALSE,IF(OR('Model inputs'!B927="",'Model inputs'!B928=""),"",AND('Model inputs'!B927,'Model inputs'!B928))))),IF('Model inputs'!B149="","",'Model inputs'!B149),0)="",0,IF(IF(IF(IFERROR('Model inputs'!B927=FALSE,FALSE),FALSE,IF(IFERROR('Model inputs'!B928=FALSE,FALSE),FALSE,IF(OR('Model inputs'!B927="",'Model inputs'!B928=""),"",AND('Model inputs'!B927,'Model inputs'!B928))))="",FALSE,IF(IFERROR('Model inputs'!B927=FALSE,FALSE),FALSE,IF(IFERROR('Model inputs'!B928=FALSE,FALSE),FALSE,IF(OR('Model inputs'!B927="",'Model inputs'!B928=""),"",AND('Model inputs'!B927,'Model inputs'!B928))))),IF('Model inputs'!B149="","",'Model inputs'!B149),0))</f>
        <v>0</v>
      </c>
      <c r="T43" s="9">
        <f>'Model inputs'!B137*IF(IF(IF(IF(IFERROR('Model inputs'!B930=FALSE,FALSE),FALSE,IF(IFERROR('Model inputs'!B931=FALSE,FALSE),FALSE,IF(OR('Model inputs'!B930="",'Model inputs'!B931=""),"",AND('Model inputs'!B930,'Model inputs'!B931))))="",FALSE,IF(IFERROR('Model inputs'!B930=FALSE,FALSE),FALSE,IF(IFERROR('Model inputs'!B931=FALSE,FALSE),FALSE,IF(OR('Model inputs'!B930="",'Model inputs'!B931=""),"",AND('Model inputs'!B930,'Model inputs'!B931))))),IF('Model inputs'!B149="","",'Model inputs'!B149),0)="",0,IF(IF(IF(IFERROR('Model inputs'!B930=FALSE,FALSE),FALSE,IF(IFERROR('Model inputs'!B931=FALSE,FALSE),FALSE,IF(OR('Model inputs'!B930="",'Model inputs'!B931=""),"",AND('Model inputs'!B930,'Model inputs'!B931))))="",FALSE,IF(IFERROR('Model inputs'!B930=FALSE,FALSE),FALSE,IF(IFERROR('Model inputs'!B931=FALSE,FALSE),FALSE,IF(OR('Model inputs'!B930="",'Model inputs'!B931=""),"",AND('Model inputs'!B930,'Model inputs'!B931))))),IF('Model inputs'!B149="","",'Model inputs'!B149),0))</f>
        <v>0</v>
      </c>
      <c r="U43" s="9">
        <f>'Model inputs'!B137*IF(IF(IF(IF(IFERROR('Model inputs'!B933=FALSE,FALSE),FALSE,IF(IFERROR('Model inputs'!B934=FALSE,FALSE),FALSE,IF(OR('Model inputs'!B933="",'Model inputs'!B934=""),"",AND('Model inputs'!B933,'Model inputs'!B934))))="",FALSE,IF(IFERROR('Model inputs'!B933=FALSE,FALSE),FALSE,IF(IFERROR('Model inputs'!B934=FALSE,FALSE),FALSE,IF(OR('Model inputs'!B933="",'Model inputs'!B934=""),"",AND('Model inputs'!B933,'Model inputs'!B934))))),IF('Model inputs'!B149="","",'Model inputs'!B149),0)="",0,IF(IF(IF(IFERROR('Model inputs'!B933=FALSE,FALSE),FALSE,IF(IFERROR('Model inputs'!B934=FALSE,FALSE),FALSE,IF(OR('Model inputs'!B933="",'Model inputs'!B934=""),"",AND('Model inputs'!B933,'Model inputs'!B934))))="",FALSE,IF(IFERROR('Model inputs'!B933=FALSE,FALSE),FALSE,IF(IFERROR('Model inputs'!B934=FALSE,FALSE),FALSE,IF(OR('Model inputs'!B933="",'Model inputs'!B934=""),"",AND('Model inputs'!B933,'Model inputs'!B934))))),IF('Model inputs'!B149="","",'Model inputs'!B149),0))</f>
        <v>0</v>
      </c>
      <c r="V43" s="9">
        <f>'Model inputs'!B137*IF(IF(IF(IF(IFERROR('Model inputs'!B936=FALSE,FALSE),FALSE,IF(IFERROR('Model inputs'!B937=FALSE,FALSE),FALSE,IF(OR('Model inputs'!B936="",'Model inputs'!B937=""),"",AND('Model inputs'!B936,'Model inputs'!B937))))="",FALSE,IF(IFERROR('Model inputs'!B936=FALSE,FALSE),FALSE,IF(IFERROR('Model inputs'!B937=FALSE,FALSE),FALSE,IF(OR('Model inputs'!B936="",'Model inputs'!B937=""),"",AND('Model inputs'!B936,'Model inputs'!B937))))),IF('Model inputs'!B149="","",'Model inputs'!B149),0)="",0,IF(IF(IF(IFERROR('Model inputs'!B936=FALSE,FALSE),FALSE,IF(IFERROR('Model inputs'!B937=FALSE,FALSE),FALSE,IF(OR('Model inputs'!B936="",'Model inputs'!B937=""),"",AND('Model inputs'!B936,'Model inputs'!B937))))="",FALSE,IF(IFERROR('Model inputs'!B936=FALSE,FALSE),FALSE,IF(IFERROR('Model inputs'!B937=FALSE,FALSE),FALSE,IF(OR('Model inputs'!B936="",'Model inputs'!B937=""),"",AND('Model inputs'!B936,'Model inputs'!B937))))),IF('Model inputs'!B149="","",'Model inputs'!B149),0))</f>
        <v>0</v>
      </c>
    </row>
    <row r="44" outlineLevel="1">
      <c r="A44" t="inlineStr" s="18">
        <is>
          <t xml:space="preserve">Opex &gt; cfo.ai Startup</t>
        </is>
      </c>
      <c r="C44" s="9">
        <f>'Model inputs'!B138*IF(IF(IF(IF(IFERROR('Model inputs'!B939=FALSE,FALSE),FALSE,IF(IFERROR('Model inputs'!B940=FALSE,FALSE),FALSE,IF(OR('Model inputs'!B939="",'Model inputs'!B940=""),"",AND('Model inputs'!B939,'Model inputs'!B940))))="",FALSE,IF(IFERROR('Model inputs'!B939=FALSE,FALSE),FALSE,IF(IFERROR('Model inputs'!B940=FALSE,FALSE),FALSE,IF(OR('Model inputs'!B939="",'Model inputs'!B940=""),"",AND('Model inputs'!B939,'Model inputs'!B940))))),IF('Model inputs'!B150="","",'Model inputs'!B150),0)="",0,IF(IF(IF(IFERROR('Model inputs'!B939=FALSE,FALSE),FALSE,IF(IFERROR('Model inputs'!B940=FALSE,FALSE),FALSE,IF(OR('Model inputs'!B939="",'Model inputs'!B940=""),"",AND('Model inputs'!B939,'Model inputs'!B940))))="",FALSE,IF(IFERROR('Model inputs'!B939=FALSE,FALSE),FALSE,IF(IFERROR('Model inputs'!B940=FALSE,FALSE),FALSE,IF(OR('Model inputs'!B939="",'Model inputs'!B940=""),"",AND('Model inputs'!B939,'Model inputs'!B940))))),IF('Model inputs'!B150="","",'Model inputs'!B150),0))</f>
        <v>0</v>
      </c>
      <c r="D44" s="9">
        <f>'Model inputs'!B138*IF(IF(IF(IF(IFERROR('Model inputs'!B942=FALSE,FALSE),FALSE,IF(IFERROR('Model inputs'!B943=FALSE,FALSE),FALSE,IF(OR('Model inputs'!B942="",'Model inputs'!B943=""),"",AND('Model inputs'!B942,'Model inputs'!B943))))="",FALSE,IF(IFERROR('Model inputs'!B942=FALSE,FALSE),FALSE,IF(IFERROR('Model inputs'!B943=FALSE,FALSE),FALSE,IF(OR('Model inputs'!B942="",'Model inputs'!B943=""),"",AND('Model inputs'!B942,'Model inputs'!B943))))),IF('Model inputs'!B150="","",'Model inputs'!B150),0)="",0,IF(IF(IF(IFERROR('Model inputs'!B942=FALSE,FALSE),FALSE,IF(IFERROR('Model inputs'!B943=FALSE,FALSE),FALSE,IF(OR('Model inputs'!B942="",'Model inputs'!B943=""),"",AND('Model inputs'!B942,'Model inputs'!B943))))="",FALSE,IF(IFERROR('Model inputs'!B942=FALSE,FALSE),FALSE,IF(IFERROR('Model inputs'!B943=FALSE,FALSE),FALSE,IF(OR('Model inputs'!B942="",'Model inputs'!B943=""),"",AND('Model inputs'!B942,'Model inputs'!B943))))),IF('Model inputs'!B150="","",'Model inputs'!B150),0))</f>
        <v>0</v>
      </c>
      <c r="E44" s="9">
        <f>'Model inputs'!B138*IF(IF(IF(IF(IFERROR('Model inputs'!B945=FALSE,FALSE),FALSE,IF(IFERROR('Model inputs'!B946=FALSE,FALSE),FALSE,IF(OR('Model inputs'!B945="",'Model inputs'!B946=""),"",AND('Model inputs'!B945,'Model inputs'!B946))))="",FALSE,IF(IFERROR('Model inputs'!B945=FALSE,FALSE),FALSE,IF(IFERROR('Model inputs'!B946=FALSE,FALSE),FALSE,IF(OR('Model inputs'!B945="",'Model inputs'!B946=""),"",AND('Model inputs'!B945,'Model inputs'!B946))))),IF('Model inputs'!B150="","",'Model inputs'!B150),0)="",0,IF(IF(IF(IFERROR('Model inputs'!B945=FALSE,FALSE),FALSE,IF(IFERROR('Model inputs'!B946=FALSE,FALSE),FALSE,IF(OR('Model inputs'!B945="",'Model inputs'!B946=""),"",AND('Model inputs'!B945,'Model inputs'!B946))))="",FALSE,IF(IFERROR('Model inputs'!B945=FALSE,FALSE),FALSE,IF(IFERROR('Model inputs'!B946=FALSE,FALSE),FALSE,IF(OR('Model inputs'!B945="",'Model inputs'!B946=""),"",AND('Model inputs'!B945,'Model inputs'!B946))))),IF('Model inputs'!B150="","",'Model inputs'!B150),0))</f>
        <v>375</v>
      </c>
      <c r="F44" s="9">
        <f>'Model inputs'!B138*IF(IF(IF(IF(IFERROR('Model inputs'!B948=FALSE,FALSE),FALSE,IF(IFERROR('Model inputs'!B949=FALSE,FALSE),FALSE,IF(OR('Model inputs'!B948="",'Model inputs'!B949=""),"",AND('Model inputs'!B948,'Model inputs'!B949))))="",FALSE,IF(IFERROR('Model inputs'!B948=FALSE,FALSE),FALSE,IF(IFERROR('Model inputs'!B949=FALSE,FALSE),FALSE,IF(OR('Model inputs'!B948="",'Model inputs'!B949=""),"",AND('Model inputs'!B948,'Model inputs'!B949))))),IF('Model inputs'!B150="","",'Model inputs'!B150),0)="",0,IF(IF(IF(IFERROR('Model inputs'!B948=FALSE,FALSE),FALSE,IF(IFERROR('Model inputs'!B949=FALSE,FALSE),FALSE,IF(OR('Model inputs'!B948="",'Model inputs'!B949=""),"",AND('Model inputs'!B948,'Model inputs'!B949))))="",FALSE,IF(IFERROR('Model inputs'!B948=FALSE,FALSE),FALSE,IF(IFERROR('Model inputs'!B949=FALSE,FALSE),FALSE,IF(OR('Model inputs'!B948="",'Model inputs'!B949=""),"",AND('Model inputs'!B948,'Model inputs'!B949))))),IF('Model inputs'!B150="","",'Model inputs'!B150),0))</f>
        <v>375</v>
      </c>
      <c r="G44" s="9">
        <f>'Model inputs'!B138*IF(IF(IF(IF(IFERROR('Model inputs'!B951=FALSE,FALSE),FALSE,IF(IFERROR('Model inputs'!B952=FALSE,FALSE),FALSE,IF(OR('Model inputs'!B951="",'Model inputs'!B952=""),"",AND('Model inputs'!B951,'Model inputs'!B952))))="",FALSE,IF(IFERROR('Model inputs'!B951=FALSE,FALSE),FALSE,IF(IFERROR('Model inputs'!B952=FALSE,FALSE),FALSE,IF(OR('Model inputs'!B951="",'Model inputs'!B952=""),"",AND('Model inputs'!B951,'Model inputs'!B952))))),IF('Model inputs'!B150="","",'Model inputs'!B150),0)="",0,IF(IF(IF(IFERROR('Model inputs'!B951=FALSE,FALSE),FALSE,IF(IFERROR('Model inputs'!B952=FALSE,FALSE),FALSE,IF(OR('Model inputs'!B951="",'Model inputs'!B952=""),"",AND('Model inputs'!B951,'Model inputs'!B952))))="",FALSE,IF(IFERROR('Model inputs'!B951=FALSE,FALSE),FALSE,IF(IFERROR('Model inputs'!B952=FALSE,FALSE),FALSE,IF(OR('Model inputs'!B951="",'Model inputs'!B952=""),"",AND('Model inputs'!B951,'Model inputs'!B952))))),IF('Model inputs'!B150="","",'Model inputs'!B150),0))</f>
        <v>375</v>
      </c>
      <c r="H44" s="9">
        <f>'Model inputs'!B138*IF(IF(IF(IF(IFERROR('Model inputs'!B954=FALSE,FALSE),FALSE,IF(IFERROR('Model inputs'!B955=FALSE,FALSE),FALSE,IF(OR('Model inputs'!B954="",'Model inputs'!B955=""),"",AND('Model inputs'!B954,'Model inputs'!B955))))="",FALSE,IF(IFERROR('Model inputs'!B954=FALSE,FALSE),FALSE,IF(IFERROR('Model inputs'!B955=FALSE,FALSE),FALSE,IF(OR('Model inputs'!B954="",'Model inputs'!B955=""),"",AND('Model inputs'!B954,'Model inputs'!B955))))),IF('Model inputs'!B150="","",'Model inputs'!B150),0)="",0,IF(IF(IF(IFERROR('Model inputs'!B954=FALSE,FALSE),FALSE,IF(IFERROR('Model inputs'!B955=FALSE,FALSE),FALSE,IF(OR('Model inputs'!B954="",'Model inputs'!B955=""),"",AND('Model inputs'!B954,'Model inputs'!B955))))="",FALSE,IF(IFERROR('Model inputs'!B954=FALSE,FALSE),FALSE,IF(IFERROR('Model inputs'!B955=FALSE,FALSE),FALSE,IF(OR('Model inputs'!B954="",'Model inputs'!B955=""),"",AND('Model inputs'!B954,'Model inputs'!B955))))),IF('Model inputs'!B150="","",'Model inputs'!B150),0))</f>
        <v>375</v>
      </c>
      <c r="I44" s="9">
        <f>'Model inputs'!B138*IF(IF(IF(IF(IFERROR('Model inputs'!B957=FALSE,FALSE),FALSE,IF(IFERROR('Model inputs'!B958=FALSE,FALSE),FALSE,IF(OR('Model inputs'!B957="",'Model inputs'!B958=""),"",AND('Model inputs'!B957,'Model inputs'!B958))))="",FALSE,IF(IFERROR('Model inputs'!B957=FALSE,FALSE),FALSE,IF(IFERROR('Model inputs'!B958=FALSE,FALSE),FALSE,IF(OR('Model inputs'!B957="",'Model inputs'!B958=""),"",AND('Model inputs'!B957,'Model inputs'!B958))))),IF('Model inputs'!B150="","",'Model inputs'!B150),0)="",0,IF(IF(IF(IFERROR('Model inputs'!B957=FALSE,FALSE),FALSE,IF(IFERROR('Model inputs'!B958=FALSE,FALSE),FALSE,IF(OR('Model inputs'!B957="",'Model inputs'!B958=""),"",AND('Model inputs'!B957,'Model inputs'!B958))))="",FALSE,IF(IFERROR('Model inputs'!B957=FALSE,FALSE),FALSE,IF(IFERROR('Model inputs'!B958=FALSE,FALSE),FALSE,IF(OR('Model inputs'!B957="",'Model inputs'!B958=""),"",AND('Model inputs'!B957,'Model inputs'!B958))))),IF('Model inputs'!B150="","",'Model inputs'!B150),0))</f>
        <v>375</v>
      </c>
      <c r="J44" s="9">
        <f>'Model inputs'!B138*IF(IF(IF(IF(IFERROR('Model inputs'!B960=FALSE,FALSE),FALSE,IF(IFERROR('Model inputs'!B961=FALSE,FALSE),FALSE,IF(OR('Model inputs'!B960="",'Model inputs'!B961=""),"",AND('Model inputs'!B960,'Model inputs'!B961))))="",FALSE,IF(IFERROR('Model inputs'!B960=FALSE,FALSE),FALSE,IF(IFERROR('Model inputs'!B961=FALSE,FALSE),FALSE,IF(OR('Model inputs'!B960="",'Model inputs'!B961=""),"",AND('Model inputs'!B960,'Model inputs'!B961))))),IF('Model inputs'!B150="","",'Model inputs'!B150),0)="",0,IF(IF(IF(IFERROR('Model inputs'!B960=FALSE,FALSE),FALSE,IF(IFERROR('Model inputs'!B961=FALSE,FALSE),FALSE,IF(OR('Model inputs'!B960="",'Model inputs'!B961=""),"",AND('Model inputs'!B960,'Model inputs'!B961))))="",FALSE,IF(IFERROR('Model inputs'!B960=FALSE,FALSE),FALSE,IF(IFERROR('Model inputs'!B961=FALSE,FALSE),FALSE,IF(OR('Model inputs'!B960="",'Model inputs'!B961=""),"",AND('Model inputs'!B960,'Model inputs'!B961))))),IF('Model inputs'!B150="","",'Model inputs'!B150),0))</f>
        <v>375</v>
      </c>
      <c r="K44" s="9">
        <f>'Model inputs'!B138*IF(IF(IF(IF(IFERROR('Model inputs'!B963=FALSE,FALSE),FALSE,IF(IFERROR('Model inputs'!B964=FALSE,FALSE),FALSE,IF(OR('Model inputs'!B963="",'Model inputs'!B964=""),"",AND('Model inputs'!B963,'Model inputs'!B964))))="",FALSE,IF(IFERROR('Model inputs'!B963=FALSE,FALSE),FALSE,IF(IFERROR('Model inputs'!B964=FALSE,FALSE),FALSE,IF(OR('Model inputs'!B963="",'Model inputs'!B964=""),"",AND('Model inputs'!B963,'Model inputs'!B964))))),IF('Model inputs'!B150="","",'Model inputs'!B150),0)="",0,IF(IF(IF(IFERROR('Model inputs'!B963=FALSE,FALSE),FALSE,IF(IFERROR('Model inputs'!B964=FALSE,FALSE),FALSE,IF(OR('Model inputs'!B963="",'Model inputs'!B964=""),"",AND('Model inputs'!B963,'Model inputs'!B964))))="",FALSE,IF(IFERROR('Model inputs'!B963=FALSE,FALSE),FALSE,IF(IFERROR('Model inputs'!B964=FALSE,FALSE),FALSE,IF(OR('Model inputs'!B963="",'Model inputs'!B964=""),"",AND('Model inputs'!B963,'Model inputs'!B964))))),IF('Model inputs'!B150="","",'Model inputs'!B150),0))</f>
        <v>375</v>
      </c>
      <c r="L44" s="9">
        <f>'Model inputs'!B138*IF(IF(IF(IF(IFERROR('Model inputs'!B966=FALSE,FALSE),FALSE,IF(IFERROR('Model inputs'!B967=FALSE,FALSE),FALSE,IF(OR('Model inputs'!B966="",'Model inputs'!B967=""),"",AND('Model inputs'!B966,'Model inputs'!B967))))="",FALSE,IF(IFERROR('Model inputs'!B966=FALSE,FALSE),FALSE,IF(IFERROR('Model inputs'!B967=FALSE,FALSE),FALSE,IF(OR('Model inputs'!B966="",'Model inputs'!B967=""),"",AND('Model inputs'!B966,'Model inputs'!B967))))),IF('Model inputs'!B150="","",'Model inputs'!B150),0)="",0,IF(IF(IF(IFERROR('Model inputs'!B966=FALSE,FALSE),FALSE,IF(IFERROR('Model inputs'!B967=FALSE,FALSE),FALSE,IF(OR('Model inputs'!B966="",'Model inputs'!B967=""),"",AND('Model inputs'!B966,'Model inputs'!B967))))="",FALSE,IF(IFERROR('Model inputs'!B966=FALSE,FALSE),FALSE,IF(IFERROR('Model inputs'!B967=FALSE,FALSE),FALSE,IF(OR('Model inputs'!B966="",'Model inputs'!B967=""),"",AND('Model inputs'!B966,'Model inputs'!B967))))),IF('Model inputs'!B150="","",'Model inputs'!B150),0))</f>
        <v>375</v>
      </c>
      <c r="M44" s="9">
        <f>'Model inputs'!B138*IF(IF(IF(IF(IFERROR('Model inputs'!B969=FALSE,FALSE),FALSE,IF(IFERROR('Model inputs'!B970=FALSE,FALSE),FALSE,IF(OR('Model inputs'!B969="",'Model inputs'!B970=""),"",AND('Model inputs'!B969,'Model inputs'!B970))))="",FALSE,IF(IFERROR('Model inputs'!B969=FALSE,FALSE),FALSE,IF(IFERROR('Model inputs'!B970=FALSE,FALSE),FALSE,IF(OR('Model inputs'!B969="",'Model inputs'!B970=""),"",AND('Model inputs'!B969,'Model inputs'!B970))))),IF('Model inputs'!B150="","",'Model inputs'!B150),0)="",0,IF(IF(IF(IFERROR('Model inputs'!B969=FALSE,FALSE),FALSE,IF(IFERROR('Model inputs'!B970=FALSE,FALSE),FALSE,IF(OR('Model inputs'!B969="",'Model inputs'!B970=""),"",AND('Model inputs'!B969,'Model inputs'!B970))))="",FALSE,IF(IFERROR('Model inputs'!B969=FALSE,FALSE),FALSE,IF(IFERROR('Model inputs'!B970=FALSE,FALSE),FALSE,IF(OR('Model inputs'!B969="",'Model inputs'!B970=""),"",AND('Model inputs'!B969,'Model inputs'!B970))))),IF('Model inputs'!B150="","",'Model inputs'!B150),0))</f>
        <v>375</v>
      </c>
      <c r="N44" s="9">
        <f>'Model inputs'!B138*IF(IF(IF(IF(IFERROR('Model inputs'!B972=FALSE,FALSE),FALSE,IF(IFERROR('Model inputs'!B973=FALSE,FALSE),FALSE,IF(OR('Model inputs'!B972="",'Model inputs'!B973=""),"",AND('Model inputs'!B972,'Model inputs'!B973))))="",FALSE,IF(IFERROR('Model inputs'!B972=FALSE,FALSE),FALSE,IF(IFERROR('Model inputs'!B973=FALSE,FALSE),FALSE,IF(OR('Model inputs'!B972="",'Model inputs'!B973=""),"",AND('Model inputs'!B972,'Model inputs'!B973))))),IF('Model inputs'!B150="","",'Model inputs'!B150),0)="",0,IF(IF(IF(IFERROR('Model inputs'!B972=FALSE,FALSE),FALSE,IF(IFERROR('Model inputs'!B973=FALSE,FALSE),FALSE,IF(OR('Model inputs'!B972="",'Model inputs'!B973=""),"",AND('Model inputs'!B972,'Model inputs'!B973))))="",FALSE,IF(IFERROR('Model inputs'!B972=FALSE,FALSE),FALSE,IF(IFERROR('Model inputs'!B973=FALSE,FALSE),FALSE,IF(OR('Model inputs'!B972="",'Model inputs'!B973=""),"",AND('Model inputs'!B972,'Model inputs'!B973))))),IF('Model inputs'!B150="","",'Model inputs'!B150),0))</f>
        <v>375</v>
      </c>
      <c r="O44" s="9">
        <f>'Model inputs'!B138*IF(IF(IF(IF(IFERROR('Model inputs'!B975=FALSE,FALSE),FALSE,IF(IFERROR('Model inputs'!B976=FALSE,FALSE),FALSE,IF(OR('Model inputs'!B975="",'Model inputs'!B976=""),"",AND('Model inputs'!B975,'Model inputs'!B976))))="",FALSE,IF(IFERROR('Model inputs'!B975=FALSE,FALSE),FALSE,IF(IFERROR('Model inputs'!B976=FALSE,FALSE),FALSE,IF(OR('Model inputs'!B975="",'Model inputs'!B976=""),"",AND('Model inputs'!B975,'Model inputs'!B976))))),IF('Model inputs'!B150="","",'Model inputs'!B150),0)="",0,IF(IF(IF(IFERROR('Model inputs'!B975=FALSE,FALSE),FALSE,IF(IFERROR('Model inputs'!B976=FALSE,FALSE),FALSE,IF(OR('Model inputs'!B975="",'Model inputs'!B976=""),"",AND('Model inputs'!B975,'Model inputs'!B976))))="",FALSE,IF(IFERROR('Model inputs'!B975=FALSE,FALSE),FALSE,IF(IFERROR('Model inputs'!B976=FALSE,FALSE),FALSE,IF(OR('Model inputs'!B975="",'Model inputs'!B976=""),"",AND('Model inputs'!B975,'Model inputs'!B976))))),IF('Model inputs'!B150="","",'Model inputs'!B150),0))</f>
        <v>375</v>
      </c>
      <c r="P44" s="9">
        <f>'Model inputs'!B138*IF(IF(IF(IF(IFERROR('Model inputs'!B978=FALSE,FALSE),FALSE,IF(IFERROR('Model inputs'!B979=FALSE,FALSE),FALSE,IF(OR('Model inputs'!B978="",'Model inputs'!B979=""),"",AND('Model inputs'!B978,'Model inputs'!B979))))="",FALSE,IF(IFERROR('Model inputs'!B978=FALSE,FALSE),FALSE,IF(IFERROR('Model inputs'!B979=FALSE,FALSE),FALSE,IF(OR('Model inputs'!B978="",'Model inputs'!B979=""),"",AND('Model inputs'!B978,'Model inputs'!B979))))),IF('Model inputs'!B150="","",'Model inputs'!B150),0)="",0,IF(IF(IF(IFERROR('Model inputs'!B978=FALSE,FALSE),FALSE,IF(IFERROR('Model inputs'!B979=FALSE,FALSE),FALSE,IF(OR('Model inputs'!B978="",'Model inputs'!B979=""),"",AND('Model inputs'!B978,'Model inputs'!B979))))="",FALSE,IF(IFERROR('Model inputs'!B978=FALSE,FALSE),FALSE,IF(IFERROR('Model inputs'!B979=FALSE,FALSE),FALSE,IF(OR('Model inputs'!B978="",'Model inputs'!B979=""),"",AND('Model inputs'!B978,'Model inputs'!B979))))),IF('Model inputs'!B150="","",'Model inputs'!B150),0))</f>
        <v>375</v>
      </c>
      <c r="Q44" s="9">
        <f>'Model inputs'!B138*IF(IF(IF(IF(IFERROR('Model inputs'!B981=FALSE,FALSE),FALSE,IF(IFERROR('Model inputs'!B982=FALSE,FALSE),FALSE,IF(OR('Model inputs'!B981="",'Model inputs'!B982=""),"",AND('Model inputs'!B981,'Model inputs'!B982))))="",FALSE,IF(IFERROR('Model inputs'!B981=FALSE,FALSE),FALSE,IF(IFERROR('Model inputs'!B982=FALSE,FALSE),FALSE,IF(OR('Model inputs'!B981="",'Model inputs'!B982=""),"",AND('Model inputs'!B981,'Model inputs'!B982))))),IF('Model inputs'!B150="","",'Model inputs'!B150),0)="",0,IF(IF(IF(IFERROR('Model inputs'!B981=FALSE,FALSE),FALSE,IF(IFERROR('Model inputs'!B982=FALSE,FALSE),FALSE,IF(OR('Model inputs'!B981="",'Model inputs'!B982=""),"",AND('Model inputs'!B981,'Model inputs'!B982))))="",FALSE,IF(IFERROR('Model inputs'!B981=FALSE,FALSE),FALSE,IF(IFERROR('Model inputs'!B982=FALSE,FALSE),FALSE,IF(OR('Model inputs'!B981="",'Model inputs'!B982=""),"",AND('Model inputs'!B981,'Model inputs'!B982))))),IF('Model inputs'!B150="","",'Model inputs'!B150),0))</f>
        <v>375</v>
      </c>
      <c r="R44" s="9">
        <f>'Model inputs'!B138*IF(IF(IF(IF(IFERROR('Model inputs'!B984=FALSE,FALSE),FALSE,IF(IFERROR('Model inputs'!B985=FALSE,FALSE),FALSE,IF(OR('Model inputs'!B984="",'Model inputs'!B985=""),"",AND('Model inputs'!B984,'Model inputs'!B985))))="",FALSE,IF(IFERROR('Model inputs'!B984=FALSE,FALSE),FALSE,IF(IFERROR('Model inputs'!B985=FALSE,FALSE),FALSE,IF(OR('Model inputs'!B984="",'Model inputs'!B985=""),"",AND('Model inputs'!B984,'Model inputs'!B985))))),IF('Model inputs'!B150="","",'Model inputs'!B150),0)="",0,IF(IF(IF(IFERROR('Model inputs'!B984=FALSE,FALSE),FALSE,IF(IFERROR('Model inputs'!B985=FALSE,FALSE),FALSE,IF(OR('Model inputs'!B984="",'Model inputs'!B985=""),"",AND('Model inputs'!B984,'Model inputs'!B985))))="",FALSE,IF(IFERROR('Model inputs'!B984=FALSE,FALSE),FALSE,IF(IFERROR('Model inputs'!B985=FALSE,FALSE),FALSE,IF(OR('Model inputs'!B984="",'Model inputs'!B985=""),"",AND('Model inputs'!B984,'Model inputs'!B985))))),IF('Model inputs'!B150="","",'Model inputs'!B150),0))</f>
        <v>375</v>
      </c>
      <c r="S44" s="9">
        <f>'Model inputs'!B138*IF(IF(IF(IF(IFERROR('Model inputs'!B987=FALSE,FALSE),FALSE,IF(IFERROR('Model inputs'!B988=FALSE,FALSE),FALSE,IF(OR('Model inputs'!B987="",'Model inputs'!B988=""),"",AND('Model inputs'!B987,'Model inputs'!B988))))="",FALSE,IF(IFERROR('Model inputs'!B987=FALSE,FALSE),FALSE,IF(IFERROR('Model inputs'!B988=FALSE,FALSE),FALSE,IF(OR('Model inputs'!B987="",'Model inputs'!B988=""),"",AND('Model inputs'!B987,'Model inputs'!B988))))),IF('Model inputs'!B150="","",'Model inputs'!B150),0)="",0,IF(IF(IF(IFERROR('Model inputs'!B987=FALSE,FALSE),FALSE,IF(IFERROR('Model inputs'!B988=FALSE,FALSE),FALSE,IF(OR('Model inputs'!B987="",'Model inputs'!B988=""),"",AND('Model inputs'!B987,'Model inputs'!B988))))="",FALSE,IF(IFERROR('Model inputs'!B987=FALSE,FALSE),FALSE,IF(IFERROR('Model inputs'!B988=FALSE,FALSE),FALSE,IF(OR('Model inputs'!B987="",'Model inputs'!B988=""),"",AND('Model inputs'!B987,'Model inputs'!B988))))),IF('Model inputs'!B150="","",'Model inputs'!B150),0))</f>
        <v>375</v>
      </c>
      <c r="T44" s="9">
        <f>'Model inputs'!B138*IF(IF(IF(IF(IFERROR('Model inputs'!B990=FALSE,FALSE),FALSE,IF(IFERROR('Model inputs'!B991=FALSE,FALSE),FALSE,IF(OR('Model inputs'!B990="",'Model inputs'!B991=""),"",AND('Model inputs'!B990,'Model inputs'!B991))))="",FALSE,IF(IFERROR('Model inputs'!B990=FALSE,FALSE),FALSE,IF(IFERROR('Model inputs'!B991=FALSE,FALSE),FALSE,IF(OR('Model inputs'!B990="",'Model inputs'!B991=""),"",AND('Model inputs'!B990,'Model inputs'!B991))))),IF('Model inputs'!B150="","",'Model inputs'!B150),0)="",0,IF(IF(IF(IFERROR('Model inputs'!B990=FALSE,FALSE),FALSE,IF(IFERROR('Model inputs'!B991=FALSE,FALSE),FALSE,IF(OR('Model inputs'!B990="",'Model inputs'!B991=""),"",AND('Model inputs'!B990,'Model inputs'!B991))))="",FALSE,IF(IFERROR('Model inputs'!B990=FALSE,FALSE),FALSE,IF(IFERROR('Model inputs'!B991=FALSE,FALSE),FALSE,IF(OR('Model inputs'!B990="",'Model inputs'!B991=""),"",AND('Model inputs'!B990,'Model inputs'!B991))))),IF('Model inputs'!B150="","",'Model inputs'!B150),0))</f>
        <v>375</v>
      </c>
      <c r="U44" s="9">
        <f>'Model inputs'!B138*IF(IF(IF(IF(IFERROR('Model inputs'!B993=FALSE,FALSE),FALSE,IF(IFERROR('Model inputs'!B994=FALSE,FALSE),FALSE,IF(OR('Model inputs'!B993="",'Model inputs'!B994=""),"",AND('Model inputs'!B993,'Model inputs'!B994))))="",FALSE,IF(IFERROR('Model inputs'!B993=FALSE,FALSE),FALSE,IF(IFERROR('Model inputs'!B994=FALSE,FALSE),FALSE,IF(OR('Model inputs'!B993="",'Model inputs'!B994=""),"",AND('Model inputs'!B993,'Model inputs'!B994))))),IF('Model inputs'!B150="","",'Model inputs'!B150),0)="",0,IF(IF(IF(IFERROR('Model inputs'!B993=FALSE,FALSE),FALSE,IF(IFERROR('Model inputs'!B994=FALSE,FALSE),FALSE,IF(OR('Model inputs'!B993="",'Model inputs'!B994=""),"",AND('Model inputs'!B993,'Model inputs'!B994))))="",FALSE,IF(IFERROR('Model inputs'!B993=FALSE,FALSE),FALSE,IF(IFERROR('Model inputs'!B994=FALSE,FALSE),FALSE,IF(OR('Model inputs'!B993="",'Model inputs'!B994=""),"",AND('Model inputs'!B993,'Model inputs'!B994))))),IF('Model inputs'!B150="","",'Model inputs'!B150),0))</f>
        <v>375</v>
      </c>
      <c r="V44" s="9">
        <f>'Model inputs'!B138*IF(IF(IF(IF(IFERROR('Model inputs'!B996=FALSE,FALSE),FALSE,IF(IFERROR('Model inputs'!B997=FALSE,FALSE),FALSE,IF(OR('Model inputs'!B996="",'Model inputs'!B997=""),"",AND('Model inputs'!B996,'Model inputs'!B997))))="",FALSE,IF(IFERROR('Model inputs'!B996=FALSE,FALSE),FALSE,IF(IFERROR('Model inputs'!B997=FALSE,FALSE),FALSE,IF(OR('Model inputs'!B996="",'Model inputs'!B997=""),"",AND('Model inputs'!B996,'Model inputs'!B997))))),IF('Model inputs'!B150="","",'Model inputs'!B150),0)="",0,IF(IF(IF(IFERROR('Model inputs'!B996=FALSE,FALSE),FALSE,IF(IFERROR('Model inputs'!B997=FALSE,FALSE),FALSE,IF(OR('Model inputs'!B996="",'Model inputs'!B997=""),"",AND('Model inputs'!B996,'Model inputs'!B997))))="",FALSE,IF(IFERROR('Model inputs'!B996=FALSE,FALSE),FALSE,IF(IFERROR('Model inputs'!B997=FALSE,FALSE),FALSE,IF(OR('Model inputs'!B996="",'Model inputs'!B997=""),"",AND('Model inputs'!B996,'Model inputs'!B997))))),IF('Model inputs'!B150="","",'Model inputs'!B150),0))</f>
        <v>375</v>
      </c>
    </row>
    <row r="45" outlineLevel="1">
      <c r="A45" t="inlineStr" s="18">
        <is>
          <t xml:space="preserve">Opex &gt; neatlogs Pro</t>
        </is>
      </c>
      <c r="C45" s="9">
        <f>'Model inputs'!B139*IF(IF(IF(IF(IFERROR('Model inputs'!B999=FALSE,FALSE),FALSE,IF(IFERROR('Model inputs'!B1000=FALSE,FALSE),FALSE,IF(OR('Model inputs'!B999="",'Model inputs'!B1000=""),"",AND('Model inputs'!B999,'Model inputs'!B1000))))="",FALSE,IF(IFERROR('Model inputs'!B999=FALSE,FALSE),FALSE,IF(IFERROR('Model inputs'!B1000=FALSE,FALSE),FALSE,IF(OR('Model inputs'!B999="",'Model inputs'!B1000=""),"",AND('Model inputs'!B999,'Model inputs'!B1000))))),IF('Model inputs'!B151="","",'Model inputs'!B151),0)="",0,IF(IF(IF(IFERROR('Model inputs'!B999=FALSE,FALSE),FALSE,IF(IFERROR('Model inputs'!B1000=FALSE,FALSE),FALSE,IF(OR('Model inputs'!B999="",'Model inputs'!B1000=""),"",AND('Model inputs'!B999,'Model inputs'!B1000))))="",FALSE,IF(IFERROR('Model inputs'!B999=FALSE,FALSE),FALSE,IF(IFERROR('Model inputs'!B1000=FALSE,FALSE),FALSE,IF(OR('Model inputs'!B999="",'Model inputs'!B1000=""),"",AND('Model inputs'!B999,'Model inputs'!B1000))))),IF('Model inputs'!B151="","",'Model inputs'!B151),0))</f>
        <v>0</v>
      </c>
      <c r="D45" s="9">
        <f>'Model inputs'!B139*IF(IF(IF(IF(IFERROR('Model inputs'!B1002=FALSE,FALSE),FALSE,IF(IFERROR('Model inputs'!B1003=FALSE,FALSE),FALSE,IF(OR('Model inputs'!B1002="",'Model inputs'!B1003=""),"",AND('Model inputs'!B1002,'Model inputs'!B1003))))="",FALSE,IF(IFERROR('Model inputs'!B1002=FALSE,FALSE),FALSE,IF(IFERROR('Model inputs'!B1003=FALSE,FALSE),FALSE,IF(OR('Model inputs'!B1002="",'Model inputs'!B1003=""),"",AND('Model inputs'!B1002,'Model inputs'!B1003))))),IF('Model inputs'!B151="","",'Model inputs'!B151),0)="",0,IF(IF(IF(IFERROR('Model inputs'!B1002=FALSE,FALSE),FALSE,IF(IFERROR('Model inputs'!B1003=FALSE,FALSE),FALSE,IF(OR('Model inputs'!B1002="",'Model inputs'!B1003=""),"",AND('Model inputs'!B1002,'Model inputs'!B1003))))="",FALSE,IF(IFERROR('Model inputs'!B1002=FALSE,FALSE),FALSE,IF(IFERROR('Model inputs'!B1003=FALSE,FALSE),FALSE,IF(OR('Model inputs'!B1002="",'Model inputs'!B1003=""),"",AND('Model inputs'!B1002,'Model inputs'!B1003))))),IF('Model inputs'!B151="","",'Model inputs'!B151),0))</f>
        <v>0</v>
      </c>
      <c r="E45" s="9">
        <f>'Model inputs'!B139*IF(IF(IF(IF(IFERROR('Model inputs'!B1005=FALSE,FALSE),FALSE,IF(IFERROR('Model inputs'!B1006=FALSE,FALSE),FALSE,IF(OR('Model inputs'!B1005="",'Model inputs'!B1006=""),"",AND('Model inputs'!B1005,'Model inputs'!B1006))))="",FALSE,IF(IFERROR('Model inputs'!B1005=FALSE,FALSE),FALSE,IF(IFERROR('Model inputs'!B1006=FALSE,FALSE),FALSE,IF(OR('Model inputs'!B1005="",'Model inputs'!B1006=""),"",AND('Model inputs'!B1005,'Model inputs'!B1006))))),IF('Model inputs'!B151="","",'Model inputs'!B151),0)="",0,IF(IF(IF(IFERROR('Model inputs'!B1005=FALSE,FALSE),FALSE,IF(IFERROR('Model inputs'!B1006=FALSE,FALSE),FALSE,IF(OR('Model inputs'!B1005="",'Model inputs'!B1006=""),"",AND('Model inputs'!B1005,'Model inputs'!B1006))))="",FALSE,IF(IFERROR('Model inputs'!B1005=FALSE,FALSE),FALSE,IF(IFERROR('Model inputs'!B1006=FALSE,FALSE),FALSE,IF(OR('Model inputs'!B1005="",'Model inputs'!B1006=""),"",AND('Model inputs'!B1005,'Model inputs'!B1006))))),IF('Model inputs'!B151="","",'Model inputs'!B151),0))</f>
        <v>500</v>
      </c>
      <c r="F45" s="9">
        <f>'Model inputs'!B139*IF(IF(IF(IF(IFERROR('Model inputs'!B1008=FALSE,FALSE),FALSE,IF(IFERROR('Model inputs'!B1009=FALSE,FALSE),FALSE,IF(OR('Model inputs'!B1008="",'Model inputs'!B1009=""),"",AND('Model inputs'!B1008,'Model inputs'!B1009))))="",FALSE,IF(IFERROR('Model inputs'!B1008=FALSE,FALSE),FALSE,IF(IFERROR('Model inputs'!B1009=FALSE,FALSE),FALSE,IF(OR('Model inputs'!B1008="",'Model inputs'!B1009=""),"",AND('Model inputs'!B1008,'Model inputs'!B1009))))),IF('Model inputs'!B151="","",'Model inputs'!B151),0)="",0,IF(IF(IF(IFERROR('Model inputs'!B1008=FALSE,FALSE),FALSE,IF(IFERROR('Model inputs'!B1009=FALSE,FALSE),FALSE,IF(OR('Model inputs'!B1008="",'Model inputs'!B1009=""),"",AND('Model inputs'!B1008,'Model inputs'!B1009))))="",FALSE,IF(IFERROR('Model inputs'!B1008=FALSE,FALSE),FALSE,IF(IFERROR('Model inputs'!B1009=FALSE,FALSE),FALSE,IF(OR('Model inputs'!B1008="",'Model inputs'!B1009=""),"",AND('Model inputs'!B1008,'Model inputs'!B1009))))),IF('Model inputs'!B151="","",'Model inputs'!B151),0))</f>
        <v>500</v>
      </c>
      <c r="G45" s="9">
        <f>'Model inputs'!B139*IF(IF(IF(IF(IFERROR('Model inputs'!B1011=FALSE,FALSE),FALSE,IF(IFERROR('Model inputs'!B1012=FALSE,FALSE),FALSE,IF(OR('Model inputs'!B1011="",'Model inputs'!B1012=""),"",AND('Model inputs'!B1011,'Model inputs'!B1012))))="",FALSE,IF(IFERROR('Model inputs'!B1011=FALSE,FALSE),FALSE,IF(IFERROR('Model inputs'!B1012=FALSE,FALSE),FALSE,IF(OR('Model inputs'!B1011="",'Model inputs'!B1012=""),"",AND('Model inputs'!B1011,'Model inputs'!B1012))))),IF('Model inputs'!B151="","",'Model inputs'!B151),0)="",0,IF(IF(IF(IFERROR('Model inputs'!B1011=FALSE,FALSE),FALSE,IF(IFERROR('Model inputs'!B1012=FALSE,FALSE),FALSE,IF(OR('Model inputs'!B1011="",'Model inputs'!B1012=""),"",AND('Model inputs'!B1011,'Model inputs'!B1012))))="",FALSE,IF(IFERROR('Model inputs'!B1011=FALSE,FALSE),FALSE,IF(IFERROR('Model inputs'!B1012=FALSE,FALSE),FALSE,IF(OR('Model inputs'!B1011="",'Model inputs'!B1012=""),"",AND('Model inputs'!B1011,'Model inputs'!B1012))))),IF('Model inputs'!B151="","",'Model inputs'!B151),0))</f>
        <v>500</v>
      </c>
      <c r="H45" s="9">
        <f>'Model inputs'!B139*IF(IF(IF(IF(IFERROR('Model inputs'!B1014=FALSE,FALSE),FALSE,IF(IFERROR('Model inputs'!B1015=FALSE,FALSE),FALSE,IF(OR('Model inputs'!B1014="",'Model inputs'!B1015=""),"",AND('Model inputs'!B1014,'Model inputs'!B1015))))="",FALSE,IF(IFERROR('Model inputs'!B1014=FALSE,FALSE),FALSE,IF(IFERROR('Model inputs'!B1015=FALSE,FALSE),FALSE,IF(OR('Model inputs'!B1014="",'Model inputs'!B1015=""),"",AND('Model inputs'!B1014,'Model inputs'!B1015))))),IF('Model inputs'!B151="","",'Model inputs'!B151),0)="",0,IF(IF(IF(IFERROR('Model inputs'!B1014=FALSE,FALSE),FALSE,IF(IFERROR('Model inputs'!B1015=FALSE,FALSE),FALSE,IF(OR('Model inputs'!B1014="",'Model inputs'!B1015=""),"",AND('Model inputs'!B1014,'Model inputs'!B1015))))="",FALSE,IF(IFERROR('Model inputs'!B1014=FALSE,FALSE),FALSE,IF(IFERROR('Model inputs'!B1015=FALSE,FALSE),FALSE,IF(OR('Model inputs'!B1014="",'Model inputs'!B1015=""),"",AND('Model inputs'!B1014,'Model inputs'!B1015))))),IF('Model inputs'!B151="","",'Model inputs'!B151),0))</f>
        <v>500</v>
      </c>
      <c r="I45" s="9">
        <f>'Model inputs'!B139*IF(IF(IF(IF(IFERROR('Model inputs'!B1017=FALSE,FALSE),FALSE,IF(IFERROR('Model inputs'!B1018=FALSE,FALSE),FALSE,IF(OR('Model inputs'!B1017="",'Model inputs'!B1018=""),"",AND('Model inputs'!B1017,'Model inputs'!B1018))))="",FALSE,IF(IFERROR('Model inputs'!B1017=FALSE,FALSE),FALSE,IF(IFERROR('Model inputs'!B1018=FALSE,FALSE),FALSE,IF(OR('Model inputs'!B1017="",'Model inputs'!B1018=""),"",AND('Model inputs'!B1017,'Model inputs'!B1018))))),IF('Model inputs'!B151="","",'Model inputs'!B151),0)="",0,IF(IF(IF(IFERROR('Model inputs'!B1017=FALSE,FALSE),FALSE,IF(IFERROR('Model inputs'!B1018=FALSE,FALSE),FALSE,IF(OR('Model inputs'!B1017="",'Model inputs'!B1018=""),"",AND('Model inputs'!B1017,'Model inputs'!B1018))))="",FALSE,IF(IFERROR('Model inputs'!B1017=FALSE,FALSE),FALSE,IF(IFERROR('Model inputs'!B1018=FALSE,FALSE),FALSE,IF(OR('Model inputs'!B1017="",'Model inputs'!B1018=""),"",AND('Model inputs'!B1017,'Model inputs'!B1018))))),IF('Model inputs'!B151="","",'Model inputs'!B151),0))</f>
        <v>500</v>
      </c>
      <c r="J45" s="9">
        <f>'Model inputs'!B139*IF(IF(IF(IF(IFERROR('Model inputs'!B1020=FALSE,FALSE),FALSE,IF(IFERROR('Model inputs'!B1021=FALSE,FALSE),FALSE,IF(OR('Model inputs'!B1020="",'Model inputs'!B1021=""),"",AND('Model inputs'!B1020,'Model inputs'!B1021))))="",FALSE,IF(IFERROR('Model inputs'!B1020=FALSE,FALSE),FALSE,IF(IFERROR('Model inputs'!B1021=FALSE,FALSE),FALSE,IF(OR('Model inputs'!B1020="",'Model inputs'!B1021=""),"",AND('Model inputs'!B1020,'Model inputs'!B1021))))),IF('Model inputs'!B151="","",'Model inputs'!B151),0)="",0,IF(IF(IF(IFERROR('Model inputs'!B1020=FALSE,FALSE),FALSE,IF(IFERROR('Model inputs'!B1021=FALSE,FALSE),FALSE,IF(OR('Model inputs'!B1020="",'Model inputs'!B1021=""),"",AND('Model inputs'!B1020,'Model inputs'!B1021))))="",FALSE,IF(IFERROR('Model inputs'!B1020=FALSE,FALSE),FALSE,IF(IFERROR('Model inputs'!B1021=FALSE,FALSE),FALSE,IF(OR('Model inputs'!B1020="",'Model inputs'!B1021=""),"",AND('Model inputs'!B1020,'Model inputs'!B1021))))),IF('Model inputs'!B151="","",'Model inputs'!B151),0))</f>
        <v>500</v>
      </c>
      <c r="K45" s="9">
        <f>'Model inputs'!B139*IF(IF(IF(IF(IFERROR('Model inputs'!B1023=FALSE,FALSE),FALSE,IF(IFERROR('Model inputs'!B1024=FALSE,FALSE),FALSE,IF(OR('Model inputs'!B1023="",'Model inputs'!B1024=""),"",AND('Model inputs'!B1023,'Model inputs'!B1024))))="",FALSE,IF(IFERROR('Model inputs'!B1023=FALSE,FALSE),FALSE,IF(IFERROR('Model inputs'!B1024=FALSE,FALSE),FALSE,IF(OR('Model inputs'!B1023="",'Model inputs'!B1024=""),"",AND('Model inputs'!B1023,'Model inputs'!B1024))))),IF('Model inputs'!B151="","",'Model inputs'!B151),0)="",0,IF(IF(IF(IFERROR('Model inputs'!B1023=FALSE,FALSE),FALSE,IF(IFERROR('Model inputs'!B1024=FALSE,FALSE),FALSE,IF(OR('Model inputs'!B1023="",'Model inputs'!B1024=""),"",AND('Model inputs'!B1023,'Model inputs'!B1024))))="",FALSE,IF(IFERROR('Model inputs'!B1023=FALSE,FALSE),FALSE,IF(IFERROR('Model inputs'!B1024=FALSE,FALSE),FALSE,IF(OR('Model inputs'!B1023="",'Model inputs'!B1024=""),"",AND('Model inputs'!B1023,'Model inputs'!B1024))))),IF('Model inputs'!B151="","",'Model inputs'!B151),0))</f>
        <v>500</v>
      </c>
      <c r="L45" s="9">
        <f>'Model inputs'!B139*IF(IF(IF(IF(IFERROR('Model inputs'!B1026=FALSE,FALSE),FALSE,IF(IFERROR('Model inputs'!B1027=FALSE,FALSE),FALSE,IF(OR('Model inputs'!B1026="",'Model inputs'!B1027=""),"",AND('Model inputs'!B1026,'Model inputs'!B1027))))="",FALSE,IF(IFERROR('Model inputs'!B1026=FALSE,FALSE),FALSE,IF(IFERROR('Model inputs'!B1027=FALSE,FALSE),FALSE,IF(OR('Model inputs'!B1026="",'Model inputs'!B1027=""),"",AND('Model inputs'!B1026,'Model inputs'!B1027))))),IF('Model inputs'!B151="","",'Model inputs'!B151),0)="",0,IF(IF(IF(IFERROR('Model inputs'!B1026=FALSE,FALSE),FALSE,IF(IFERROR('Model inputs'!B1027=FALSE,FALSE),FALSE,IF(OR('Model inputs'!B1026="",'Model inputs'!B1027=""),"",AND('Model inputs'!B1026,'Model inputs'!B1027))))="",FALSE,IF(IFERROR('Model inputs'!B1026=FALSE,FALSE),FALSE,IF(IFERROR('Model inputs'!B1027=FALSE,FALSE),FALSE,IF(OR('Model inputs'!B1026="",'Model inputs'!B1027=""),"",AND('Model inputs'!B1026,'Model inputs'!B1027))))),IF('Model inputs'!B151="","",'Model inputs'!B151),0))</f>
        <v>500</v>
      </c>
      <c r="M45" s="9">
        <f>'Model inputs'!B139*IF(IF(IF(IF(IFERROR('Model inputs'!B1029=FALSE,FALSE),FALSE,IF(IFERROR('Model inputs'!B1030=FALSE,FALSE),FALSE,IF(OR('Model inputs'!B1029="",'Model inputs'!B1030=""),"",AND('Model inputs'!B1029,'Model inputs'!B1030))))="",FALSE,IF(IFERROR('Model inputs'!B1029=FALSE,FALSE),FALSE,IF(IFERROR('Model inputs'!B1030=FALSE,FALSE),FALSE,IF(OR('Model inputs'!B1029="",'Model inputs'!B1030=""),"",AND('Model inputs'!B1029,'Model inputs'!B1030))))),IF('Model inputs'!B151="","",'Model inputs'!B151),0)="",0,IF(IF(IF(IFERROR('Model inputs'!B1029=FALSE,FALSE),FALSE,IF(IFERROR('Model inputs'!B1030=FALSE,FALSE),FALSE,IF(OR('Model inputs'!B1029="",'Model inputs'!B1030=""),"",AND('Model inputs'!B1029,'Model inputs'!B1030))))="",FALSE,IF(IFERROR('Model inputs'!B1029=FALSE,FALSE),FALSE,IF(IFERROR('Model inputs'!B1030=FALSE,FALSE),FALSE,IF(OR('Model inputs'!B1029="",'Model inputs'!B1030=""),"",AND('Model inputs'!B1029,'Model inputs'!B1030))))),IF('Model inputs'!B151="","",'Model inputs'!B151),0))</f>
        <v>500</v>
      </c>
      <c r="N45" s="9">
        <f>'Model inputs'!B139*IF(IF(IF(IF(IFERROR('Model inputs'!B1032=FALSE,FALSE),FALSE,IF(IFERROR('Model inputs'!B1033=FALSE,FALSE),FALSE,IF(OR('Model inputs'!B1032="",'Model inputs'!B1033=""),"",AND('Model inputs'!B1032,'Model inputs'!B1033))))="",FALSE,IF(IFERROR('Model inputs'!B1032=FALSE,FALSE),FALSE,IF(IFERROR('Model inputs'!B1033=FALSE,FALSE),FALSE,IF(OR('Model inputs'!B1032="",'Model inputs'!B1033=""),"",AND('Model inputs'!B1032,'Model inputs'!B1033))))),IF('Model inputs'!B151="","",'Model inputs'!B151),0)="",0,IF(IF(IF(IFERROR('Model inputs'!B1032=FALSE,FALSE),FALSE,IF(IFERROR('Model inputs'!B1033=FALSE,FALSE),FALSE,IF(OR('Model inputs'!B1032="",'Model inputs'!B1033=""),"",AND('Model inputs'!B1032,'Model inputs'!B1033))))="",FALSE,IF(IFERROR('Model inputs'!B1032=FALSE,FALSE),FALSE,IF(IFERROR('Model inputs'!B1033=FALSE,FALSE),FALSE,IF(OR('Model inputs'!B1032="",'Model inputs'!B1033=""),"",AND('Model inputs'!B1032,'Model inputs'!B1033))))),IF('Model inputs'!B151="","",'Model inputs'!B151),0))</f>
        <v>500</v>
      </c>
      <c r="O45" s="9">
        <f>'Model inputs'!B139*IF(IF(IF(IF(IFERROR('Model inputs'!B1035=FALSE,FALSE),FALSE,IF(IFERROR('Model inputs'!B1036=FALSE,FALSE),FALSE,IF(OR('Model inputs'!B1035="",'Model inputs'!B1036=""),"",AND('Model inputs'!B1035,'Model inputs'!B1036))))="",FALSE,IF(IFERROR('Model inputs'!B1035=FALSE,FALSE),FALSE,IF(IFERROR('Model inputs'!B1036=FALSE,FALSE),FALSE,IF(OR('Model inputs'!B1035="",'Model inputs'!B1036=""),"",AND('Model inputs'!B1035,'Model inputs'!B1036))))),IF('Model inputs'!B151="","",'Model inputs'!B151),0)="",0,IF(IF(IF(IFERROR('Model inputs'!B1035=FALSE,FALSE),FALSE,IF(IFERROR('Model inputs'!B1036=FALSE,FALSE),FALSE,IF(OR('Model inputs'!B1035="",'Model inputs'!B1036=""),"",AND('Model inputs'!B1035,'Model inputs'!B1036))))="",FALSE,IF(IFERROR('Model inputs'!B1035=FALSE,FALSE),FALSE,IF(IFERROR('Model inputs'!B1036=FALSE,FALSE),FALSE,IF(OR('Model inputs'!B1035="",'Model inputs'!B1036=""),"",AND('Model inputs'!B1035,'Model inputs'!B1036))))),IF('Model inputs'!B151="","",'Model inputs'!B151),0))</f>
        <v>500</v>
      </c>
      <c r="P45" s="9">
        <f>'Model inputs'!B139*IF(IF(IF(IF(IFERROR('Model inputs'!B1038=FALSE,FALSE),FALSE,IF(IFERROR('Model inputs'!B1039=FALSE,FALSE),FALSE,IF(OR('Model inputs'!B1038="",'Model inputs'!B1039=""),"",AND('Model inputs'!B1038,'Model inputs'!B1039))))="",FALSE,IF(IFERROR('Model inputs'!B1038=FALSE,FALSE),FALSE,IF(IFERROR('Model inputs'!B1039=FALSE,FALSE),FALSE,IF(OR('Model inputs'!B1038="",'Model inputs'!B1039=""),"",AND('Model inputs'!B1038,'Model inputs'!B1039))))),IF('Model inputs'!B151="","",'Model inputs'!B151),0)="",0,IF(IF(IF(IFERROR('Model inputs'!B1038=FALSE,FALSE),FALSE,IF(IFERROR('Model inputs'!B1039=FALSE,FALSE),FALSE,IF(OR('Model inputs'!B1038="",'Model inputs'!B1039=""),"",AND('Model inputs'!B1038,'Model inputs'!B1039))))="",FALSE,IF(IFERROR('Model inputs'!B1038=FALSE,FALSE),FALSE,IF(IFERROR('Model inputs'!B1039=FALSE,FALSE),FALSE,IF(OR('Model inputs'!B1038="",'Model inputs'!B1039=""),"",AND('Model inputs'!B1038,'Model inputs'!B1039))))),IF('Model inputs'!B151="","",'Model inputs'!B151),0))</f>
        <v>500</v>
      </c>
      <c r="Q45" s="9">
        <f>'Model inputs'!B139*IF(IF(IF(IF(IFERROR('Model inputs'!B1041=FALSE,FALSE),FALSE,IF(IFERROR('Model inputs'!B1042=FALSE,FALSE),FALSE,IF(OR('Model inputs'!B1041="",'Model inputs'!B1042=""),"",AND('Model inputs'!B1041,'Model inputs'!B1042))))="",FALSE,IF(IFERROR('Model inputs'!B1041=FALSE,FALSE),FALSE,IF(IFERROR('Model inputs'!B1042=FALSE,FALSE),FALSE,IF(OR('Model inputs'!B1041="",'Model inputs'!B1042=""),"",AND('Model inputs'!B1041,'Model inputs'!B1042))))),IF('Model inputs'!B151="","",'Model inputs'!B151),0)="",0,IF(IF(IF(IFERROR('Model inputs'!B1041=FALSE,FALSE),FALSE,IF(IFERROR('Model inputs'!B1042=FALSE,FALSE),FALSE,IF(OR('Model inputs'!B1041="",'Model inputs'!B1042=""),"",AND('Model inputs'!B1041,'Model inputs'!B1042))))="",FALSE,IF(IFERROR('Model inputs'!B1041=FALSE,FALSE),FALSE,IF(IFERROR('Model inputs'!B1042=FALSE,FALSE),FALSE,IF(OR('Model inputs'!B1041="",'Model inputs'!B1042=""),"",AND('Model inputs'!B1041,'Model inputs'!B1042))))),IF('Model inputs'!B151="","",'Model inputs'!B151),0))</f>
        <v>500</v>
      </c>
      <c r="R45" s="9">
        <f>'Model inputs'!B139*IF(IF(IF(IF(IFERROR('Model inputs'!B1044=FALSE,FALSE),FALSE,IF(IFERROR('Model inputs'!B1045=FALSE,FALSE),FALSE,IF(OR('Model inputs'!B1044="",'Model inputs'!B1045=""),"",AND('Model inputs'!B1044,'Model inputs'!B1045))))="",FALSE,IF(IFERROR('Model inputs'!B1044=FALSE,FALSE),FALSE,IF(IFERROR('Model inputs'!B1045=FALSE,FALSE),FALSE,IF(OR('Model inputs'!B1044="",'Model inputs'!B1045=""),"",AND('Model inputs'!B1044,'Model inputs'!B1045))))),IF('Model inputs'!B151="","",'Model inputs'!B151),0)="",0,IF(IF(IF(IFERROR('Model inputs'!B1044=FALSE,FALSE),FALSE,IF(IFERROR('Model inputs'!B1045=FALSE,FALSE),FALSE,IF(OR('Model inputs'!B1044="",'Model inputs'!B1045=""),"",AND('Model inputs'!B1044,'Model inputs'!B1045))))="",FALSE,IF(IFERROR('Model inputs'!B1044=FALSE,FALSE),FALSE,IF(IFERROR('Model inputs'!B1045=FALSE,FALSE),FALSE,IF(OR('Model inputs'!B1044="",'Model inputs'!B1045=""),"",AND('Model inputs'!B1044,'Model inputs'!B1045))))),IF('Model inputs'!B151="","",'Model inputs'!B151),0))</f>
        <v>500</v>
      </c>
      <c r="S45" s="9">
        <f>'Model inputs'!B139*IF(IF(IF(IF(IFERROR('Model inputs'!B1047=FALSE,FALSE),FALSE,IF(IFERROR('Model inputs'!B1048=FALSE,FALSE),FALSE,IF(OR('Model inputs'!B1047="",'Model inputs'!B1048=""),"",AND('Model inputs'!B1047,'Model inputs'!B1048))))="",FALSE,IF(IFERROR('Model inputs'!B1047=FALSE,FALSE),FALSE,IF(IFERROR('Model inputs'!B1048=FALSE,FALSE),FALSE,IF(OR('Model inputs'!B1047="",'Model inputs'!B1048=""),"",AND('Model inputs'!B1047,'Model inputs'!B1048))))),IF('Model inputs'!B151="","",'Model inputs'!B151),0)="",0,IF(IF(IF(IFERROR('Model inputs'!B1047=FALSE,FALSE),FALSE,IF(IFERROR('Model inputs'!B1048=FALSE,FALSE),FALSE,IF(OR('Model inputs'!B1047="",'Model inputs'!B1048=""),"",AND('Model inputs'!B1047,'Model inputs'!B1048))))="",FALSE,IF(IFERROR('Model inputs'!B1047=FALSE,FALSE),FALSE,IF(IFERROR('Model inputs'!B1048=FALSE,FALSE),FALSE,IF(OR('Model inputs'!B1047="",'Model inputs'!B1048=""),"",AND('Model inputs'!B1047,'Model inputs'!B1048))))),IF('Model inputs'!B151="","",'Model inputs'!B151),0))</f>
        <v>500</v>
      </c>
      <c r="T45" s="9">
        <f>'Model inputs'!B139*IF(IF(IF(IF(IFERROR('Model inputs'!B1050=FALSE,FALSE),FALSE,IF(IFERROR('Model inputs'!B1051=FALSE,FALSE),FALSE,IF(OR('Model inputs'!B1050="",'Model inputs'!B1051=""),"",AND('Model inputs'!B1050,'Model inputs'!B1051))))="",FALSE,IF(IFERROR('Model inputs'!B1050=FALSE,FALSE),FALSE,IF(IFERROR('Model inputs'!B1051=FALSE,FALSE),FALSE,IF(OR('Model inputs'!B1050="",'Model inputs'!B1051=""),"",AND('Model inputs'!B1050,'Model inputs'!B1051))))),IF('Model inputs'!B151="","",'Model inputs'!B151),0)="",0,IF(IF(IF(IFERROR('Model inputs'!B1050=FALSE,FALSE),FALSE,IF(IFERROR('Model inputs'!B1051=FALSE,FALSE),FALSE,IF(OR('Model inputs'!B1050="",'Model inputs'!B1051=""),"",AND('Model inputs'!B1050,'Model inputs'!B1051))))="",FALSE,IF(IFERROR('Model inputs'!B1050=FALSE,FALSE),FALSE,IF(IFERROR('Model inputs'!B1051=FALSE,FALSE),FALSE,IF(OR('Model inputs'!B1050="",'Model inputs'!B1051=""),"",AND('Model inputs'!B1050,'Model inputs'!B1051))))),IF('Model inputs'!B151="","",'Model inputs'!B151),0))</f>
        <v>500</v>
      </c>
      <c r="U45" s="9">
        <f>'Model inputs'!B139*IF(IF(IF(IF(IFERROR('Model inputs'!B1053=FALSE,FALSE),FALSE,IF(IFERROR('Model inputs'!B1054=FALSE,FALSE),FALSE,IF(OR('Model inputs'!B1053="",'Model inputs'!B1054=""),"",AND('Model inputs'!B1053,'Model inputs'!B1054))))="",FALSE,IF(IFERROR('Model inputs'!B1053=FALSE,FALSE),FALSE,IF(IFERROR('Model inputs'!B1054=FALSE,FALSE),FALSE,IF(OR('Model inputs'!B1053="",'Model inputs'!B1054=""),"",AND('Model inputs'!B1053,'Model inputs'!B1054))))),IF('Model inputs'!B151="","",'Model inputs'!B151),0)="",0,IF(IF(IF(IFERROR('Model inputs'!B1053=FALSE,FALSE),FALSE,IF(IFERROR('Model inputs'!B1054=FALSE,FALSE),FALSE,IF(OR('Model inputs'!B1053="",'Model inputs'!B1054=""),"",AND('Model inputs'!B1053,'Model inputs'!B1054))))="",FALSE,IF(IFERROR('Model inputs'!B1053=FALSE,FALSE),FALSE,IF(IFERROR('Model inputs'!B1054=FALSE,FALSE),FALSE,IF(OR('Model inputs'!B1053="",'Model inputs'!B1054=""),"",AND('Model inputs'!B1053,'Model inputs'!B1054))))),IF('Model inputs'!B151="","",'Model inputs'!B151),0))</f>
        <v>500</v>
      </c>
      <c r="V45" s="9">
        <f>'Model inputs'!B139*IF(IF(IF(IF(IFERROR('Model inputs'!B1056=FALSE,FALSE),FALSE,IF(IFERROR('Model inputs'!B1057=FALSE,FALSE),FALSE,IF(OR('Model inputs'!B1056="",'Model inputs'!B1057=""),"",AND('Model inputs'!B1056,'Model inputs'!B1057))))="",FALSE,IF(IFERROR('Model inputs'!B1056=FALSE,FALSE),FALSE,IF(IFERROR('Model inputs'!B1057=FALSE,FALSE),FALSE,IF(OR('Model inputs'!B1056="",'Model inputs'!B1057=""),"",AND('Model inputs'!B1056,'Model inputs'!B1057))))),IF('Model inputs'!B151="","",'Model inputs'!B151),0)="",0,IF(IF(IF(IFERROR('Model inputs'!B1056=FALSE,FALSE),FALSE,IF(IFERROR('Model inputs'!B1057=FALSE,FALSE),FALSE,IF(OR('Model inputs'!B1056="",'Model inputs'!B1057=""),"",AND('Model inputs'!B1056,'Model inputs'!B1057))))="",FALSE,IF(IFERROR('Model inputs'!B1056=FALSE,FALSE),FALSE,IF(IFERROR('Model inputs'!B1057=FALSE,FALSE),FALSE,IF(OR('Model inputs'!B1056="",'Model inputs'!B1057=""),"",AND('Model inputs'!B1056,'Model inputs'!B1057))))),IF('Model inputs'!B151="","",'Model inputs'!B151),0))</f>
        <v>500</v>
      </c>
    </row>
    <row r="46">
      <c r="A46" t="inlineStr" s="16">
        <is>
          <t xml:space="preserve">Opex cash paid</t>
        </is>
      </c>
      <c r="C46" s="7">
        <f>SUM('Model inputs'!C47,'Model inputs'!C48,'Model inputs'!C49,'Model inputs'!C50,'Model inputs'!C51,'Model inputs'!C52,'Model inputs'!C53,'Model inputs'!C54,'Model inputs'!C55,'Model inputs'!C56,'Model inputs'!C57)</f>
        <v>0</v>
      </c>
      <c r="D46" s="7">
        <f>SUM('Model inputs'!D47,'Model inputs'!D48,'Model inputs'!D49,'Model inputs'!D50,'Model inputs'!D51,'Model inputs'!D52,'Model inputs'!D53,'Model inputs'!D54,'Model inputs'!D55,'Model inputs'!D56,'Model inputs'!D57)</f>
        <v>0</v>
      </c>
      <c r="E46" s="7">
        <f>SUM('Model inputs'!E47,'Model inputs'!E48,'Model inputs'!E49,'Model inputs'!E50,'Model inputs'!E51,'Model inputs'!E52,'Model inputs'!E53,'Model inputs'!E54,'Model inputs'!E55,'Model inputs'!E56,'Model inputs'!E57)</f>
        <v>9370</v>
      </c>
      <c r="F46" s="7">
        <f>SUM('Model inputs'!F47,'Model inputs'!F48,'Model inputs'!F49,'Model inputs'!F50,'Model inputs'!F51,'Model inputs'!F52,'Model inputs'!F53,'Model inputs'!F54,'Model inputs'!F55,'Model inputs'!F56,'Model inputs'!F57)</f>
        <v>5220</v>
      </c>
      <c r="G46" s="7">
        <f>SUM('Model inputs'!G47,'Model inputs'!G48,'Model inputs'!G49,'Model inputs'!G50,'Model inputs'!G51,'Model inputs'!G52,'Model inputs'!G53,'Model inputs'!G54,'Model inputs'!G55,'Model inputs'!G56,'Model inputs'!G57)</f>
        <v>5220</v>
      </c>
      <c r="H46" s="7">
        <f>SUM('Model inputs'!H47,'Model inputs'!H48,'Model inputs'!H49,'Model inputs'!H50,'Model inputs'!H51,'Model inputs'!H52,'Model inputs'!H53,'Model inputs'!H54,'Model inputs'!H55,'Model inputs'!H56,'Model inputs'!H57)</f>
        <v>6870</v>
      </c>
      <c r="I46" s="7">
        <f>SUM('Model inputs'!I47,'Model inputs'!I48,'Model inputs'!I49,'Model inputs'!I50,'Model inputs'!I51,'Model inputs'!I52,'Model inputs'!I53,'Model inputs'!I54,'Model inputs'!I55,'Model inputs'!I56,'Model inputs'!I57)</f>
        <v>7070</v>
      </c>
      <c r="J46" s="7">
        <f>SUM('Model inputs'!J47,'Model inputs'!J48,'Model inputs'!J49,'Model inputs'!J50,'Model inputs'!J51,'Model inputs'!J52,'Model inputs'!J53,'Model inputs'!J54,'Model inputs'!J55,'Model inputs'!J56,'Model inputs'!J57)</f>
        <v>7070</v>
      </c>
      <c r="K46" s="7">
        <f>SUM('Model inputs'!K47,'Model inputs'!K48,'Model inputs'!K49,'Model inputs'!K50,'Model inputs'!K51,'Model inputs'!K52,'Model inputs'!K53,'Model inputs'!K54,'Model inputs'!K55,'Model inputs'!K56,'Model inputs'!K57)</f>
        <v>11070</v>
      </c>
      <c r="L46" s="7">
        <f>SUM('Model inputs'!L47,'Model inputs'!L48,'Model inputs'!L49,'Model inputs'!L50,'Model inputs'!L51,'Model inputs'!L52,'Model inputs'!L53,'Model inputs'!L54,'Model inputs'!L55,'Model inputs'!L56,'Model inputs'!L57)</f>
        <v>11070</v>
      </c>
      <c r="M46" s="7">
        <f>SUM('Model inputs'!M47,'Model inputs'!M48,'Model inputs'!M49,'Model inputs'!M50,'Model inputs'!M51,'Model inputs'!M52,'Model inputs'!M53,'Model inputs'!M54,'Model inputs'!M55,'Model inputs'!M56,'Model inputs'!M57)</f>
        <v>11070</v>
      </c>
      <c r="N46" s="7">
        <f>SUM('Model inputs'!N47,'Model inputs'!N48,'Model inputs'!N49,'Model inputs'!N50,'Model inputs'!N51,'Model inputs'!N52,'Model inputs'!N53,'Model inputs'!N54,'Model inputs'!N55,'Model inputs'!N56,'Model inputs'!N57)</f>
        <v>11070</v>
      </c>
      <c r="O46" s="7">
        <f>SUM('Model inputs'!O47,'Model inputs'!O48,'Model inputs'!O49,'Model inputs'!O50,'Model inputs'!O51,'Model inputs'!O52,'Model inputs'!O53,'Model inputs'!O54,'Model inputs'!O55,'Model inputs'!O56,'Model inputs'!O57)</f>
        <v>11070</v>
      </c>
      <c r="P46" s="7">
        <f>SUM('Model inputs'!P47,'Model inputs'!P48,'Model inputs'!P49,'Model inputs'!P50,'Model inputs'!P51,'Model inputs'!P52,'Model inputs'!P53,'Model inputs'!P54,'Model inputs'!P55,'Model inputs'!P56,'Model inputs'!P57)</f>
        <v>11070</v>
      </c>
      <c r="Q46" s="7">
        <f>SUM('Model inputs'!Q47,'Model inputs'!Q48,'Model inputs'!Q49,'Model inputs'!Q50,'Model inputs'!Q51,'Model inputs'!Q52,'Model inputs'!Q53,'Model inputs'!Q54,'Model inputs'!Q55,'Model inputs'!Q56,'Model inputs'!Q57)</f>
        <v>15570</v>
      </c>
      <c r="R46" s="7">
        <f>SUM('Model inputs'!R47,'Model inputs'!R48,'Model inputs'!R49,'Model inputs'!R50,'Model inputs'!R51,'Model inputs'!R52,'Model inputs'!R53,'Model inputs'!R54,'Model inputs'!R55,'Model inputs'!R56,'Model inputs'!R57)</f>
        <v>11070</v>
      </c>
      <c r="S46" s="7">
        <f>SUM('Model inputs'!S47,'Model inputs'!S48,'Model inputs'!S49,'Model inputs'!S50,'Model inputs'!S51,'Model inputs'!S52,'Model inputs'!S53,'Model inputs'!S54,'Model inputs'!S55,'Model inputs'!S56,'Model inputs'!S57)</f>
        <v>11070</v>
      </c>
      <c r="T46" s="7">
        <f>SUM('Model inputs'!T47,'Model inputs'!T48,'Model inputs'!T49,'Model inputs'!T50,'Model inputs'!T51,'Model inputs'!T52,'Model inputs'!T53,'Model inputs'!T54,'Model inputs'!T55,'Model inputs'!T56,'Model inputs'!T57)</f>
        <v>11070</v>
      </c>
      <c r="U46" s="7">
        <f>SUM('Model inputs'!U47,'Model inputs'!U48,'Model inputs'!U49,'Model inputs'!U50,'Model inputs'!U51,'Model inputs'!U52,'Model inputs'!U53,'Model inputs'!U54,'Model inputs'!U55,'Model inputs'!U56,'Model inputs'!U57)</f>
        <v>11070</v>
      </c>
      <c r="V46" s="7">
        <f>SUM('Model inputs'!V47,'Model inputs'!V48,'Model inputs'!V49,'Model inputs'!V50,'Model inputs'!V51,'Model inputs'!V52,'Model inputs'!V53,'Model inputs'!V54,'Model inputs'!V55,'Model inputs'!V56,'Model inputs'!V57)</f>
        <v>11070</v>
      </c>
    </row>
    <row r="47" outlineLevel="1">
      <c r="A47" t="inlineStr" s="18">
        <is>
          <t xml:space="preserve">Opex cash paid &gt; Domain, email, extras</t>
        </is>
      </c>
      <c r="C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inputs'!B399=FALSE,FALSE),FALSE,IF(IFERROR(MOD(('Model inputs'!C32-'Model inputs'!B153),12)=0=FALSE,FALSE),FALSE,IF(OR('Model inputs'!B399="",MOD(('Model inputs'!C32-'Model inputs'!B153),12)=0=""),"",AND('Model inputs'!B399,MOD(('Model inputs'!C32-'Model inputs'!B153),12)=0))))="",FALSE,IF(IFERROR('Model inputs'!B399=FALSE,FALSE),FALSE,IF(IFERROR(MOD(('Model inputs'!C32-'Model inputs'!B153),12)=0=FALSE,FALSE),FALSE,IF(OR('Model inputs'!B399="",MOD(('Model inputs'!C32-'Model inputs'!B153),12)=0=""),"",AND('Model inputs'!B399,MOD(('Model inputs'!C32-'Model inputs'!B153),12)=0))))),'Model inputs'!B129*'Model inputs'!B141*12,0),IF('Model inputs'!C35="","",'Model inputs'!C35))</f>
        <v>0</v>
      </c>
      <c r="D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inputs'!B402=FALSE,FALSE),FALSE,IF(IFERROR(MOD(('Model inputs'!D32-'Model inputs'!B153),12)=0=FALSE,FALSE),FALSE,IF(OR('Model inputs'!B402="",MOD(('Model inputs'!D32-'Model inputs'!B153),12)=0=""),"",AND('Model inputs'!B402,MOD(('Model inputs'!D32-'Model inputs'!B153),12)=0))))="",FALSE,IF(IFERROR('Model inputs'!B402=FALSE,FALSE),FALSE,IF(IFERROR(MOD(('Model inputs'!D32-'Model inputs'!B153),12)=0=FALSE,FALSE),FALSE,IF(OR('Model inputs'!B402="",MOD(('Model inputs'!D32-'Model inputs'!B153),12)=0=""),"",AND('Model inputs'!B402,MOD(('Model inputs'!D32-'Model inputs'!B153),12)=0))))),'Model inputs'!B129*'Model inputs'!B141*12,0),IF('Model inputs'!D35="","",'Model inputs'!D35))</f>
        <v>0</v>
      </c>
      <c r="E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inputs'!B405=FALSE,FALSE),FALSE,IF(IFERROR(MOD(('Model inputs'!E32-'Model inputs'!B153),12)=0=FALSE,FALSE),FALSE,IF(OR('Model inputs'!B405="",MOD(('Model inputs'!E32-'Model inputs'!B153),12)=0=""),"",AND('Model inputs'!B405,MOD(('Model inputs'!E32-'Model inputs'!B153),12)=0))))="",FALSE,IF(IFERROR('Model inputs'!B405=FALSE,FALSE),FALSE,IF(IFERROR(MOD(('Model inputs'!E32-'Model inputs'!B153),12)=0=FALSE,FALSE),FALSE,IF(OR('Model inputs'!B405="",MOD(('Model inputs'!E32-'Model inputs'!B153),12)=0=""),"",AND('Model inputs'!B405,MOD(('Model inputs'!E32-'Model inputs'!B153),12)=0))))),'Model inputs'!B129*'Model inputs'!B141*12,0),IF('Model inputs'!E35="","",'Model inputs'!E35))</f>
        <v>40</v>
      </c>
      <c r="F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inputs'!B408=FALSE,FALSE),FALSE,IF(IFERROR(MOD(('Model inputs'!F32-'Model inputs'!B153),12)=0=FALSE,FALSE),FALSE,IF(OR('Model inputs'!B408="",MOD(('Model inputs'!F32-'Model inputs'!B153),12)=0=""),"",AND('Model inputs'!B408,MOD(('Model inputs'!F32-'Model inputs'!B153),12)=0))))="",FALSE,IF(IFERROR('Model inputs'!B408=FALSE,FALSE),FALSE,IF(IFERROR(MOD(('Model inputs'!F32-'Model inputs'!B153),12)=0=FALSE,FALSE),FALSE,IF(OR('Model inputs'!B408="",MOD(('Model inputs'!F32-'Model inputs'!B153),12)=0=""),"",AND('Model inputs'!B408,MOD(('Model inputs'!F32-'Model inputs'!B153),12)=0))))),'Model inputs'!B129*'Model inputs'!B141*12,0),IF('Model inputs'!F35="","",'Model inputs'!F35))</f>
        <v>40</v>
      </c>
      <c r="G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inputs'!B411=FALSE,FALSE),FALSE,IF(IFERROR(MOD(('Model inputs'!G32-'Model inputs'!B153),12)=0=FALSE,FALSE),FALSE,IF(OR('Model inputs'!B411="",MOD(('Model inputs'!G32-'Model inputs'!B153),12)=0=""),"",AND('Model inputs'!B411,MOD(('Model inputs'!G32-'Model inputs'!B153),12)=0))))="",FALSE,IF(IFERROR('Model inputs'!B411=FALSE,FALSE),FALSE,IF(IFERROR(MOD(('Model inputs'!G32-'Model inputs'!B153),12)=0=FALSE,FALSE),FALSE,IF(OR('Model inputs'!B411="",MOD(('Model inputs'!G32-'Model inputs'!B153),12)=0=""),"",AND('Model inputs'!B411,MOD(('Model inputs'!G32-'Model inputs'!B153),12)=0))))),'Model inputs'!B129*'Model inputs'!B141*12,0),IF('Model inputs'!G35="","",'Model inputs'!G35))</f>
        <v>40</v>
      </c>
      <c r="H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inputs'!B414=FALSE,FALSE),FALSE,IF(IFERROR(MOD(('Model inputs'!H32-'Model inputs'!B153),12)=0=FALSE,FALSE),FALSE,IF(OR('Model inputs'!B414="",MOD(('Model inputs'!H32-'Model inputs'!B153),12)=0=""),"",AND('Model inputs'!B414,MOD(('Model inputs'!H32-'Model inputs'!B153),12)=0))))="",FALSE,IF(IFERROR('Model inputs'!B414=FALSE,FALSE),FALSE,IF(IFERROR(MOD(('Model inputs'!H32-'Model inputs'!B153),12)=0=FALSE,FALSE),FALSE,IF(OR('Model inputs'!B414="",MOD(('Model inputs'!H32-'Model inputs'!B153),12)=0=""),"",AND('Model inputs'!B414,MOD(('Model inputs'!H32-'Model inputs'!B153),12)=0))))),'Model inputs'!B129*'Model inputs'!B141*12,0),IF('Model inputs'!H35="","",'Model inputs'!H35))</f>
        <v>40</v>
      </c>
      <c r="I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inputs'!B417=FALSE,FALSE),FALSE,IF(IFERROR(MOD(('Model inputs'!I32-'Model inputs'!B153),12)=0=FALSE,FALSE),FALSE,IF(OR('Model inputs'!B417="",MOD(('Model inputs'!I32-'Model inputs'!B153),12)=0=""),"",AND('Model inputs'!B417,MOD(('Model inputs'!I32-'Model inputs'!B153),12)=0))))="",FALSE,IF(IFERROR('Model inputs'!B417=FALSE,FALSE),FALSE,IF(IFERROR(MOD(('Model inputs'!I32-'Model inputs'!B153),12)=0=FALSE,FALSE),FALSE,IF(OR('Model inputs'!B417="",MOD(('Model inputs'!I32-'Model inputs'!B153),12)=0=""),"",AND('Model inputs'!B417,MOD(('Model inputs'!I32-'Model inputs'!B153),12)=0))))),'Model inputs'!B129*'Model inputs'!B141*12,0),IF('Model inputs'!I35="","",'Model inputs'!I35))</f>
        <v>40</v>
      </c>
      <c r="J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inputs'!B420=FALSE,FALSE),FALSE,IF(IFERROR(MOD(('Model inputs'!J32-'Model inputs'!B153),12)=0=FALSE,FALSE),FALSE,IF(OR('Model inputs'!B420="",MOD(('Model inputs'!J32-'Model inputs'!B153),12)=0=""),"",AND('Model inputs'!B420,MOD(('Model inputs'!J32-'Model inputs'!B153),12)=0))))="",FALSE,IF(IFERROR('Model inputs'!B420=FALSE,FALSE),FALSE,IF(IFERROR(MOD(('Model inputs'!J32-'Model inputs'!B153),12)=0=FALSE,FALSE),FALSE,IF(OR('Model inputs'!B420="",MOD(('Model inputs'!J32-'Model inputs'!B153),12)=0=""),"",AND('Model inputs'!B420,MOD(('Model inputs'!J32-'Model inputs'!B153),12)=0))))),'Model inputs'!B129*'Model inputs'!B141*12,0),IF('Model inputs'!J35="","",'Model inputs'!J35))</f>
        <v>40</v>
      </c>
      <c r="K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inputs'!B423=FALSE,FALSE),FALSE,IF(IFERROR(MOD(('Model inputs'!K32-'Model inputs'!B153),12)=0=FALSE,FALSE),FALSE,IF(OR('Model inputs'!B423="",MOD(('Model inputs'!K32-'Model inputs'!B153),12)=0=""),"",AND('Model inputs'!B423,MOD(('Model inputs'!K32-'Model inputs'!B153),12)=0))))="",FALSE,IF(IFERROR('Model inputs'!B423=FALSE,FALSE),FALSE,IF(IFERROR(MOD(('Model inputs'!K32-'Model inputs'!B153),12)=0=FALSE,FALSE),FALSE,IF(OR('Model inputs'!B423="",MOD(('Model inputs'!K32-'Model inputs'!B153),12)=0=""),"",AND('Model inputs'!B423,MOD(('Model inputs'!K32-'Model inputs'!B153),12)=0))))),'Model inputs'!B129*'Model inputs'!B141*12,0),IF('Model inputs'!K35="","",'Model inputs'!K35))</f>
        <v>40</v>
      </c>
      <c r="L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inputs'!B426=FALSE,FALSE),FALSE,IF(IFERROR(MOD(('Model inputs'!L32-'Model inputs'!B153),12)=0=FALSE,FALSE),FALSE,IF(OR('Model inputs'!B426="",MOD(('Model inputs'!L32-'Model inputs'!B153),12)=0=""),"",AND('Model inputs'!B426,MOD(('Model inputs'!L32-'Model inputs'!B153),12)=0))))="",FALSE,IF(IFERROR('Model inputs'!B426=FALSE,FALSE),FALSE,IF(IFERROR(MOD(('Model inputs'!L32-'Model inputs'!B153),12)=0=FALSE,FALSE),FALSE,IF(OR('Model inputs'!B426="",MOD(('Model inputs'!L32-'Model inputs'!B153),12)=0=""),"",AND('Model inputs'!B426,MOD(('Model inputs'!L32-'Model inputs'!B153),12)=0))))),'Model inputs'!B129*'Model inputs'!B141*12,0),IF('Model inputs'!L35="","",'Model inputs'!L35))</f>
        <v>40</v>
      </c>
      <c r="M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inputs'!B429=FALSE,FALSE),FALSE,IF(IFERROR(MOD(('Model inputs'!M32-'Model inputs'!B153),12)=0=FALSE,FALSE),FALSE,IF(OR('Model inputs'!B429="",MOD(('Model inputs'!M32-'Model inputs'!B153),12)=0=""),"",AND('Model inputs'!B429,MOD(('Model inputs'!M32-'Model inputs'!B153),12)=0))))="",FALSE,IF(IFERROR('Model inputs'!B429=FALSE,FALSE),FALSE,IF(IFERROR(MOD(('Model inputs'!M32-'Model inputs'!B153),12)=0=FALSE,FALSE),FALSE,IF(OR('Model inputs'!B429="",MOD(('Model inputs'!M32-'Model inputs'!B153),12)=0=""),"",AND('Model inputs'!B429,MOD(('Model inputs'!M32-'Model inputs'!B153),12)=0))))),'Model inputs'!B129*'Model inputs'!B141*12,0),IF('Model inputs'!M35="","",'Model inputs'!M35))</f>
        <v>40</v>
      </c>
      <c r="N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inputs'!B432=FALSE,FALSE),FALSE,IF(IFERROR(MOD(('Model inputs'!N32-'Model inputs'!B153),12)=0=FALSE,FALSE),FALSE,IF(OR('Model inputs'!B432="",MOD(('Model inputs'!N32-'Model inputs'!B153),12)=0=""),"",AND('Model inputs'!B432,MOD(('Model inputs'!N32-'Model inputs'!B153),12)=0))))="",FALSE,IF(IFERROR('Model inputs'!B432=FALSE,FALSE),FALSE,IF(IFERROR(MOD(('Model inputs'!N32-'Model inputs'!B153),12)=0=FALSE,FALSE),FALSE,IF(OR('Model inputs'!B432="",MOD(('Model inputs'!N32-'Model inputs'!B153),12)=0=""),"",AND('Model inputs'!B432,MOD(('Model inputs'!N32-'Model inputs'!B153),12)=0))))),'Model inputs'!B129*'Model inputs'!B141*12,0),IF('Model inputs'!N35="","",'Model inputs'!N35))</f>
        <v>40</v>
      </c>
      <c r="O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inputs'!B435=FALSE,FALSE),FALSE,IF(IFERROR(MOD(('Model inputs'!O32-'Model inputs'!B153),12)=0=FALSE,FALSE),FALSE,IF(OR('Model inputs'!B435="",MOD(('Model inputs'!O32-'Model inputs'!B153),12)=0=""),"",AND('Model inputs'!B435,MOD(('Model inputs'!O32-'Model inputs'!B153),12)=0))))="",FALSE,IF(IFERROR('Model inputs'!B435=FALSE,FALSE),FALSE,IF(IFERROR(MOD(('Model inputs'!O32-'Model inputs'!B153),12)=0=FALSE,FALSE),FALSE,IF(OR('Model inputs'!B435="",MOD(('Model inputs'!O32-'Model inputs'!B153),12)=0=""),"",AND('Model inputs'!B435,MOD(('Model inputs'!O32-'Model inputs'!B153),12)=0))))),'Model inputs'!B129*'Model inputs'!B141*12,0),IF('Model inputs'!O35="","",'Model inputs'!O35))</f>
        <v>40</v>
      </c>
      <c r="P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inputs'!B438=FALSE,FALSE),FALSE,IF(IFERROR(MOD(('Model inputs'!P32-'Model inputs'!B153),12)=0=FALSE,FALSE),FALSE,IF(OR('Model inputs'!B438="",MOD(('Model inputs'!P32-'Model inputs'!B153),12)=0=""),"",AND('Model inputs'!B438,MOD(('Model inputs'!P32-'Model inputs'!B153),12)=0))))="",FALSE,IF(IFERROR('Model inputs'!B438=FALSE,FALSE),FALSE,IF(IFERROR(MOD(('Model inputs'!P32-'Model inputs'!B153),12)=0=FALSE,FALSE),FALSE,IF(OR('Model inputs'!B438="",MOD(('Model inputs'!P32-'Model inputs'!B153),12)=0=""),"",AND('Model inputs'!B438,MOD(('Model inputs'!P32-'Model inputs'!B153),12)=0))))),'Model inputs'!B129*'Model inputs'!B141*12,0),IF('Model inputs'!P35="","",'Model inputs'!P35))</f>
        <v>40</v>
      </c>
      <c r="Q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inputs'!B441=FALSE,FALSE),FALSE,IF(IFERROR(MOD(('Model inputs'!Q32-'Model inputs'!B153),12)=0=FALSE,FALSE),FALSE,IF(OR('Model inputs'!B441="",MOD(('Model inputs'!Q32-'Model inputs'!B153),12)=0=""),"",AND('Model inputs'!B441,MOD(('Model inputs'!Q32-'Model inputs'!B153),12)=0))))="",FALSE,IF(IFERROR('Model inputs'!B441=FALSE,FALSE),FALSE,IF(IFERROR(MOD(('Model inputs'!Q32-'Model inputs'!B153),12)=0=FALSE,FALSE),FALSE,IF(OR('Model inputs'!B441="",MOD(('Model inputs'!Q32-'Model inputs'!B153),12)=0=""),"",AND('Model inputs'!B441,MOD(('Model inputs'!Q32-'Model inputs'!B153),12)=0))))),'Model inputs'!B129*'Model inputs'!B141*12,0),IF('Model inputs'!Q35="","",'Model inputs'!Q35))</f>
        <v>40</v>
      </c>
      <c r="R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inputs'!B444=FALSE,FALSE),FALSE,IF(IFERROR(MOD(('Model inputs'!R32-'Model inputs'!B153),12)=0=FALSE,FALSE),FALSE,IF(OR('Model inputs'!B444="",MOD(('Model inputs'!R32-'Model inputs'!B153),12)=0=""),"",AND('Model inputs'!B444,MOD(('Model inputs'!R32-'Model inputs'!B153),12)=0))))="",FALSE,IF(IFERROR('Model inputs'!B444=FALSE,FALSE),FALSE,IF(IFERROR(MOD(('Model inputs'!R32-'Model inputs'!B153),12)=0=FALSE,FALSE),FALSE,IF(OR('Model inputs'!B444="",MOD(('Model inputs'!R32-'Model inputs'!B153),12)=0=""),"",AND('Model inputs'!B444,MOD(('Model inputs'!R32-'Model inputs'!B153),12)=0))))),'Model inputs'!B129*'Model inputs'!B141*12,0),IF('Model inputs'!R35="","",'Model inputs'!R35))</f>
        <v>40</v>
      </c>
      <c r="S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inputs'!B447=FALSE,FALSE),FALSE,IF(IFERROR(MOD(('Model inputs'!S32-'Model inputs'!B153),12)=0=FALSE,FALSE),FALSE,IF(OR('Model inputs'!B447="",MOD(('Model inputs'!S32-'Model inputs'!B153),12)=0=""),"",AND('Model inputs'!B447,MOD(('Model inputs'!S32-'Model inputs'!B153),12)=0))))="",FALSE,IF(IFERROR('Model inputs'!B447=FALSE,FALSE),FALSE,IF(IFERROR(MOD(('Model inputs'!S32-'Model inputs'!B153),12)=0=FALSE,FALSE),FALSE,IF(OR('Model inputs'!B447="",MOD(('Model inputs'!S32-'Model inputs'!B153),12)=0=""),"",AND('Model inputs'!B447,MOD(('Model inputs'!S32-'Model inputs'!B153),12)=0))))),'Model inputs'!B129*'Model inputs'!B141*12,0),IF('Model inputs'!S35="","",'Model inputs'!S35))</f>
        <v>40</v>
      </c>
      <c r="T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inputs'!B450=FALSE,FALSE),FALSE,IF(IFERROR(MOD(('Model inputs'!T32-'Model inputs'!B153),12)=0=FALSE,FALSE),FALSE,IF(OR('Model inputs'!B450="",MOD(('Model inputs'!T32-'Model inputs'!B153),12)=0=""),"",AND('Model inputs'!B450,MOD(('Model inputs'!T32-'Model inputs'!B153),12)=0))))="",FALSE,IF(IFERROR('Model inputs'!B450=FALSE,FALSE),FALSE,IF(IFERROR(MOD(('Model inputs'!T32-'Model inputs'!B153),12)=0=FALSE,FALSE),FALSE,IF(OR('Model inputs'!B450="",MOD(('Model inputs'!T32-'Model inputs'!B153),12)=0=""),"",AND('Model inputs'!B450,MOD(('Model inputs'!T32-'Model inputs'!B153),12)=0))))),'Model inputs'!B129*'Model inputs'!B141*12,0),IF('Model inputs'!T35="","",'Model inputs'!T35))</f>
        <v>40</v>
      </c>
      <c r="U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inputs'!B453=FALSE,FALSE),FALSE,IF(IFERROR(MOD(('Model inputs'!U32-'Model inputs'!B153),12)=0=FALSE,FALSE),FALSE,IF(OR('Model inputs'!B453="",MOD(('Model inputs'!U32-'Model inputs'!B153),12)=0=""),"",AND('Model inputs'!B453,MOD(('Model inputs'!U32-'Model inputs'!B153),12)=0))))="",FALSE,IF(IFERROR('Model inputs'!B453=FALSE,FALSE),FALSE,IF(IFERROR(MOD(('Model inputs'!U32-'Model inputs'!B153),12)=0=FALSE,FALSE),FALSE,IF(OR('Model inputs'!B453="",MOD(('Model inputs'!U32-'Model inputs'!B153),12)=0=""),"",AND('Model inputs'!B453,MOD(('Model inputs'!U32-'Model inputs'!B153),12)=0))))),'Model inputs'!B129*'Model inputs'!B141*12,0),IF('Model inputs'!U35="","",'Model inputs'!U35))</f>
        <v>40</v>
      </c>
      <c r="V47" s="9">
        <f>IF(IF(IF(ISERROR('Model inputs'!B89=1),'Model inputs'!B89=1,IF('Model inputs'!B89="","",'Model inputs'!B89=1))="",FALSE,IF(ISERROR('Model inputs'!B89=1),'Model inputs'!B89=1,IF('Model inputs'!B89="","",'Model inputs'!B89=1))),IF(IF(IF(IFERROR('Model inputs'!B456=FALSE,FALSE),FALSE,IF(IFERROR(MOD(('Model inputs'!V32-'Model inputs'!B153),12)=0=FALSE,FALSE),FALSE,IF(OR('Model inputs'!B456="",MOD(('Model inputs'!V32-'Model inputs'!B153),12)=0=""),"",AND('Model inputs'!B456,MOD(('Model inputs'!V32-'Model inputs'!B153),12)=0))))="",FALSE,IF(IFERROR('Model inputs'!B456=FALSE,FALSE),FALSE,IF(IFERROR(MOD(('Model inputs'!V32-'Model inputs'!B153),12)=0=FALSE,FALSE),FALSE,IF(OR('Model inputs'!B456="",MOD(('Model inputs'!V32-'Model inputs'!B153),12)=0=""),"",AND('Model inputs'!B456,MOD(('Model inputs'!V32-'Model inputs'!B153),12)=0))))),'Model inputs'!B129*'Model inputs'!B141*12,0),IF('Model inputs'!V35="","",'Model inputs'!V35))</f>
        <v>40</v>
      </c>
    </row>
    <row r="48" outlineLevel="1">
      <c r="A48" t="inlineStr" s="18">
        <is>
          <t xml:space="preserve">Opex cash paid &gt; Entire cloud workspace</t>
        </is>
      </c>
      <c r="C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inputs'!B459=FALSE,FALSE),FALSE,IF(IFERROR(MOD(('Model inputs'!C32-'Model inputs'!B154),12)=0=FALSE,FALSE),FALSE,IF(OR('Model inputs'!B459="",MOD(('Model inputs'!C32-'Model inputs'!B154),12)=0=""),"",AND('Model inputs'!B459,MOD(('Model inputs'!C32-'Model inputs'!B154),12)=0))))="",FALSE,IF(IFERROR('Model inputs'!B459=FALSE,FALSE),FALSE,IF(IFERROR(MOD(('Model inputs'!C32-'Model inputs'!B154),12)=0=FALSE,FALSE),FALSE,IF(OR('Model inputs'!B459="",MOD(('Model inputs'!C32-'Model inputs'!B154),12)=0=""),"",AND('Model inputs'!B459,MOD(('Model inputs'!C32-'Model inputs'!B154),12)=0))))),'Model inputs'!B130*'Model inputs'!B142*12,0),IF('Model inputs'!C36="","",'Model inputs'!C36))</f>
        <v>0</v>
      </c>
      <c r="D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inputs'!B462=FALSE,FALSE),FALSE,IF(IFERROR(MOD(('Model inputs'!D32-'Model inputs'!B154),12)=0=FALSE,FALSE),FALSE,IF(OR('Model inputs'!B462="",MOD(('Model inputs'!D32-'Model inputs'!B154),12)=0=""),"",AND('Model inputs'!B462,MOD(('Model inputs'!D32-'Model inputs'!B154),12)=0))))="",FALSE,IF(IFERROR('Model inputs'!B462=FALSE,FALSE),FALSE,IF(IFERROR(MOD(('Model inputs'!D32-'Model inputs'!B154),12)=0=FALSE,FALSE),FALSE,IF(OR('Model inputs'!B462="",MOD(('Model inputs'!D32-'Model inputs'!B154),12)=0=""),"",AND('Model inputs'!B462,MOD(('Model inputs'!D32-'Model inputs'!B154),12)=0))))),'Model inputs'!B130*'Model inputs'!B142*12,0),IF('Model inputs'!D36="","",'Model inputs'!D36))</f>
        <v>0</v>
      </c>
      <c r="E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inputs'!B465=FALSE,FALSE),FALSE,IF(IFERROR(MOD(('Model inputs'!E32-'Model inputs'!B154),12)=0=FALSE,FALSE),FALSE,IF(OR('Model inputs'!B465="",MOD(('Model inputs'!E32-'Model inputs'!B154),12)=0=""),"",AND('Model inputs'!B465,MOD(('Model inputs'!E32-'Model inputs'!B154),12)=0))))="",FALSE,IF(IFERROR('Model inputs'!B465=FALSE,FALSE),FALSE,IF(IFERROR(MOD(('Model inputs'!E32-'Model inputs'!B154),12)=0=FALSE,FALSE),FALSE,IF(OR('Model inputs'!B465="",MOD(('Model inputs'!E32-'Model inputs'!B154),12)=0=""),"",AND('Model inputs'!B465,MOD(('Model inputs'!E32-'Model inputs'!B154),12)=0))))),'Model inputs'!B130*'Model inputs'!B142*12,0),IF('Model inputs'!E36="","",'Model inputs'!E36))</f>
        <v>0</v>
      </c>
      <c r="F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inputs'!B468=FALSE,FALSE),FALSE,IF(IFERROR(MOD(('Model inputs'!F32-'Model inputs'!B154),12)=0=FALSE,FALSE),FALSE,IF(OR('Model inputs'!B468="",MOD(('Model inputs'!F32-'Model inputs'!B154),12)=0=""),"",AND('Model inputs'!B468,MOD(('Model inputs'!F32-'Model inputs'!B154),12)=0))))="",FALSE,IF(IFERROR('Model inputs'!B468=FALSE,FALSE),FALSE,IF(IFERROR(MOD(('Model inputs'!F32-'Model inputs'!B154),12)=0=FALSE,FALSE),FALSE,IF(OR('Model inputs'!B468="",MOD(('Model inputs'!F32-'Model inputs'!B154),12)=0=""),"",AND('Model inputs'!B468,MOD(('Model inputs'!F32-'Model inputs'!B154),12)=0))))),'Model inputs'!B130*'Model inputs'!B142*12,0),IF('Model inputs'!F36="","",'Model inputs'!F36))</f>
        <v>0</v>
      </c>
      <c r="G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inputs'!B471=FALSE,FALSE),FALSE,IF(IFERROR(MOD(('Model inputs'!G32-'Model inputs'!B154),12)=0=FALSE,FALSE),FALSE,IF(OR('Model inputs'!B471="",MOD(('Model inputs'!G32-'Model inputs'!B154),12)=0=""),"",AND('Model inputs'!B471,MOD(('Model inputs'!G32-'Model inputs'!B154),12)=0))))="",FALSE,IF(IFERROR('Model inputs'!B471=FALSE,FALSE),FALSE,IF(IFERROR(MOD(('Model inputs'!G32-'Model inputs'!B154),12)=0=FALSE,FALSE),FALSE,IF(OR('Model inputs'!B471="",MOD(('Model inputs'!G32-'Model inputs'!B154),12)=0=""),"",AND('Model inputs'!B471,MOD(('Model inputs'!G32-'Model inputs'!B154),12)=0))))),'Model inputs'!B130*'Model inputs'!B142*12,0),IF('Model inputs'!G36="","",'Model inputs'!G36))</f>
        <v>0</v>
      </c>
      <c r="H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inputs'!B474=FALSE,FALSE),FALSE,IF(IFERROR(MOD(('Model inputs'!H32-'Model inputs'!B154),12)=0=FALSE,FALSE),FALSE,IF(OR('Model inputs'!B474="",MOD(('Model inputs'!H32-'Model inputs'!B154),12)=0=""),"",AND('Model inputs'!B474,MOD(('Model inputs'!H32-'Model inputs'!B154),12)=0))))="",FALSE,IF(IFERROR('Model inputs'!B474=FALSE,FALSE),FALSE,IF(IFERROR(MOD(('Model inputs'!H32-'Model inputs'!B154),12)=0=FALSE,FALSE),FALSE,IF(OR('Model inputs'!B474="",MOD(('Model inputs'!H32-'Model inputs'!B154),12)=0=""),"",AND('Model inputs'!B474,MOD(('Model inputs'!H32-'Model inputs'!B154),12)=0))))),'Model inputs'!B130*'Model inputs'!B142*12,0),IF('Model inputs'!H36="","",'Model inputs'!H36))</f>
        <v>0</v>
      </c>
      <c r="I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inputs'!B477=FALSE,FALSE),FALSE,IF(IFERROR(MOD(('Model inputs'!I32-'Model inputs'!B154),12)=0=FALSE,FALSE),FALSE,IF(OR('Model inputs'!B477="",MOD(('Model inputs'!I32-'Model inputs'!B154),12)=0=""),"",AND('Model inputs'!B477,MOD(('Model inputs'!I32-'Model inputs'!B154),12)=0))))="",FALSE,IF(IFERROR('Model inputs'!B477=FALSE,FALSE),FALSE,IF(IFERROR(MOD(('Model inputs'!I32-'Model inputs'!B154),12)=0=FALSE,FALSE),FALSE,IF(OR('Model inputs'!B477="",MOD(('Model inputs'!I32-'Model inputs'!B154),12)=0=""),"",AND('Model inputs'!B477,MOD(('Model inputs'!I32-'Model inputs'!B154),12)=0))))),'Model inputs'!B130*'Model inputs'!B142*12,0),IF('Model inputs'!I36="","",'Model inputs'!I36))</f>
        <v>200</v>
      </c>
      <c r="J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inputs'!B480=FALSE,FALSE),FALSE,IF(IFERROR(MOD(('Model inputs'!J32-'Model inputs'!B154),12)=0=FALSE,FALSE),FALSE,IF(OR('Model inputs'!B480="",MOD(('Model inputs'!J32-'Model inputs'!B154),12)=0=""),"",AND('Model inputs'!B480,MOD(('Model inputs'!J32-'Model inputs'!B154),12)=0))))="",FALSE,IF(IFERROR('Model inputs'!B480=FALSE,FALSE),FALSE,IF(IFERROR(MOD(('Model inputs'!J32-'Model inputs'!B154),12)=0=FALSE,FALSE),FALSE,IF(OR('Model inputs'!B480="",MOD(('Model inputs'!J32-'Model inputs'!B154),12)=0=""),"",AND('Model inputs'!B480,MOD(('Model inputs'!J32-'Model inputs'!B154),12)=0))))),'Model inputs'!B130*'Model inputs'!B142*12,0),IF('Model inputs'!J36="","",'Model inputs'!J36))</f>
        <v>200</v>
      </c>
      <c r="K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inputs'!B483=FALSE,FALSE),FALSE,IF(IFERROR(MOD(('Model inputs'!K32-'Model inputs'!B154),12)=0=FALSE,FALSE),FALSE,IF(OR('Model inputs'!B483="",MOD(('Model inputs'!K32-'Model inputs'!B154),12)=0=""),"",AND('Model inputs'!B483,MOD(('Model inputs'!K32-'Model inputs'!B154),12)=0))))="",FALSE,IF(IFERROR('Model inputs'!B483=FALSE,FALSE),FALSE,IF(IFERROR(MOD(('Model inputs'!K32-'Model inputs'!B154),12)=0=FALSE,FALSE),FALSE,IF(OR('Model inputs'!B483="",MOD(('Model inputs'!K32-'Model inputs'!B154),12)=0=""),"",AND('Model inputs'!B483,MOD(('Model inputs'!K32-'Model inputs'!B154),12)=0))))),'Model inputs'!B130*'Model inputs'!B142*12,0),IF('Model inputs'!K36="","",'Model inputs'!K36))</f>
        <v>200</v>
      </c>
      <c r="L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inputs'!B486=FALSE,FALSE),FALSE,IF(IFERROR(MOD(('Model inputs'!L32-'Model inputs'!B154),12)=0=FALSE,FALSE),FALSE,IF(OR('Model inputs'!B486="",MOD(('Model inputs'!L32-'Model inputs'!B154),12)=0=""),"",AND('Model inputs'!B486,MOD(('Model inputs'!L32-'Model inputs'!B154),12)=0))))="",FALSE,IF(IFERROR('Model inputs'!B486=FALSE,FALSE),FALSE,IF(IFERROR(MOD(('Model inputs'!L32-'Model inputs'!B154),12)=0=FALSE,FALSE),FALSE,IF(OR('Model inputs'!B486="",MOD(('Model inputs'!L32-'Model inputs'!B154),12)=0=""),"",AND('Model inputs'!B486,MOD(('Model inputs'!L32-'Model inputs'!B154),12)=0))))),'Model inputs'!B130*'Model inputs'!B142*12,0),IF('Model inputs'!L36="","",'Model inputs'!L36))</f>
        <v>200</v>
      </c>
      <c r="M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inputs'!B489=FALSE,FALSE),FALSE,IF(IFERROR(MOD(('Model inputs'!M32-'Model inputs'!B154),12)=0=FALSE,FALSE),FALSE,IF(OR('Model inputs'!B489="",MOD(('Model inputs'!M32-'Model inputs'!B154),12)=0=""),"",AND('Model inputs'!B489,MOD(('Model inputs'!M32-'Model inputs'!B154),12)=0))))="",FALSE,IF(IFERROR('Model inputs'!B489=FALSE,FALSE),FALSE,IF(IFERROR(MOD(('Model inputs'!M32-'Model inputs'!B154),12)=0=FALSE,FALSE),FALSE,IF(OR('Model inputs'!B489="",MOD(('Model inputs'!M32-'Model inputs'!B154),12)=0=""),"",AND('Model inputs'!B489,MOD(('Model inputs'!M32-'Model inputs'!B154),12)=0))))),'Model inputs'!B130*'Model inputs'!B142*12,0),IF('Model inputs'!M36="","",'Model inputs'!M36))</f>
        <v>200</v>
      </c>
      <c r="N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inputs'!B492=FALSE,FALSE),FALSE,IF(IFERROR(MOD(('Model inputs'!N32-'Model inputs'!B154),12)=0=FALSE,FALSE),FALSE,IF(OR('Model inputs'!B492="",MOD(('Model inputs'!N32-'Model inputs'!B154),12)=0=""),"",AND('Model inputs'!B492,MOD(('Model inputs'!N32-'Model inputs'!B154),12)=0))))="",FALSE,IF(IFERROR('Model inputs'!B492=FALSE,FALSE),FALSE,IF(IFERROR(MOD(('Model inputs'!N32-'Model inputs'!B154),12)=0=FALSE,FALSE),FALSE,IF(OR('Model inputs'!B492="",MOD(('Model inputs'!N32-'Model inputs'!B154),12)=0=""),"",AND('Model inputs'!B492,MOD(('Model inputs'!N32-'Model inputs'!B154),12)=0))))),'Model inputs'!B130*'Model inputs'!B142*12,0),IF('Model inputs'!N36="","",'Model inputs'!N36))</f>
        <v>200</v>
      </c>
      <c r="O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inputs'!B495=FALSE,FALSE),FALSE,IF(IFERROR(MOD(('Model inputs'!O32-'Model inputs'!B154),12)=0=FALSE,FALSE),FALSE,IF(OR('Model inputs'!B495="",MOD(('Model inputs'!O32-'Model inputs'!B154),12)=0=""),"",AND('Model inputs'!B495,MOD(('Model inputs'!O32-'Model inputs'!B154),12)=0))))="",FALSE,IF(IFERROR('Model inputs'!B495=FALSE,FALSE),FALSE,IF(IFERROR(MOD(('Model inputs'!O32-'Model inputs'!B154),12)=0=FALSE,FALSE),FALSE,IF(OR('Model inputs'!B495="",MOD(('Model inputs'!O32-'Model inputs'!B154),12)=0=""),"",AND('Model inputs'!B495,MOD(('Model inputs'!O32-'Model inputs'!B154),12)=0))))),'Model inputs'!B130*'Model inputs'!B142*12,0),IF('Model inputs'!O36="","",'Model inputs'!O36))</f>
        <v>200</v>
      </c>
      <c r="P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inputs'!B498=FALSE,FALSE),FALSE,IF(IFERROR(MOD(('Model inputs'!P32-'Model inputs'!B154),12)=0=FALSE,FALSE),FALSE,IF(OR('Model inputs'!B498="",MOD(('Model inputs'!P32-'Model inputs'!B154),12)=0=""),"",AND('Model inputs'!B498,MOD(('Model inputs'!P32-'Model inputs'!B154),12)=0))))="",FALSE,IF(IFERROR('Model inputs'!B498=FALSE,FALSE),FALSE,IF(IFERROR(MOD(('Model inputs'!P32-'Model inputs'!B154),12)=0=FALSE,FALSE),FALSE,IF(OR('Model inputs'!B498="",MOD(('Model inputs'!P32-'Model inputs'!B154),12)=0=""),"",AND('Model inputs'!B498,MOD(('Model inputs'!P32-'Model inputs'!B154),12)=0))))),'Model inputs'!B130*'Model inputs'!B142*12,0),IF('Model inputs'!P36="","",'Model inputs'!P36))</f>
        <v>200</v>
      </c>
      <c r="Q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inputs'!B501=FALSE,FALSE),FALSE,IF(IFERROR(MOD(('Model inputs'!Q32-'Model inputs'!B154),12)=0=FALSE,FALSE),FALSE,IF(OR('Model inputs'!B501="",MOD(('Model inputs'!Q32-'Model inputs'!B154),12)=0=""),"",AND('Model inputs'!B501,MOD(('Model inputs'!Q32-'Model inputs'!B154),12)=0))))="",FALSE,IF(IFERROR('Model inputs'!B501=FALSE,FALSE),FALSE,IF(IFERROR(MOD(('Model inputs'!Q32-'Model inputs'!B154),12)=0=FALSE,FALSE),FALSE,IF(OR('Model inputs'!B501="",MOD(('Model inputs'!Q32-'Model inputs'!B154),12)=0=""),"",AND('Model inputs'!B501,MOD(('Model inputs'!Q32-'Model inputs'!B154),12)=0))))),'Model inputs'!B130*'Model inputs'!B142*12,0),IF('Model inputs'!Q36="","",'Model inputs'!Q36))</f>
        <v>200</v>
      </c>
      <c r="R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inputs'!B504=FALSE,FALSE),FALSE,IF(IFERROR(MOD(('Model inputs'!R32-'Model inputs'!B154),12)=0=FALSE,FALSE),FALSE,IF(OR('Model inputs'!B504="",MOD(('Model inputs'!R32-'Model inputs'!B154),12)=0=""),"",AND('Model inputs'!B504,MOD(('Model inputs'!R32-'Model inputs'!B154),12)=0))))="",FALSE,IF(IFERROR('Model inputs'!B504=FALSE,FALSE),FALSE,IF(IFERROR(MOD(('Model inputs'!R32-'Model inputs'!B154),12)=0=FALSE,FALSE),FALSE,IF(OR('Model inputs'!B504="",MOD(('Model inputs'!R32-'Model inputs'!B154),12)=0=""),"",AND('Model inputs'!B504,MOD(('Model inputs'!R32-'Model inputs'!B154),12)=0))))),'Model inputs'!B130*'Model inputs'!B142*12,0),IF('Model inputs'!R36="","",'Model inputs'!R36))</f>
        <v>200</v>
      </c>
      <c r="S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inputs'!B507=FALSE,FALSE),FALSE,IF(IFERROR(MOD(('Model inputs'!S32-'Model inputs'!B154),12)=0=FALSE,FALSE),FALSE,IF(OR('Model inputs'!B507="",MOD(('Model inputs'!S32-'Model inputs'!B154),12)=0=""),"",AND('Model inputs'!B507,MOD(('Model inputs'!S32-'Model inputs'!B154),12)=0))))="",FALSE,IF(IFERROR('Model inputs'!B507=FALSE,FALSE),FALSE,IF(IFERROR(MOD(('Model inputs'!S32-'Model inputs'!B154),12)=0=FALSE,FALSE),FALSE,IF(OR('Model inputs'!B507="",MOD(('Model inputs'!S32-'Model inputs'!B154),12)=0=""),"",AND('Model inputs'!B507,MOD(('Model inputs'!S32-'Model inputs'!B154),12)=0))))),'Model inputs'!B130*'Model inputs'!B142*12,0),IF('Model inputs'!S36="","",'Model inputs'!S36))</f>
        <v>200</v>
      </c>
      <c r="T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inputs'!B510=FALSE,FALSE),FALSE,IF(IFERROR(MOD(('Model inputs'!T32-'Model inputs'!B154),12)=0=FALSE,FALSE),FALSE,IF(OR('Model inputs'!B510="",MOD(('Model inputs'!T32-'Model inputs'!B154),12)=0=""),"",AND('Model inputs'!B510,MOD(('Model inputs'!T32-'Model inputs'!B154),12)=0))))="",FALSE,IF(IFERROR('Model inputs'!B510=FALSE,FALSE),FALSE,IF(IFERROR(MOD(('Model inputs'!T32-'Model inputs'!B154),12)=0=FALSE,FALSE),FALSE,IF(OR('Model inputs'!B510="",MOD(('Model inputs'!T32-'Model inputs'!B154),12)=0=""),"",AND('Model inputs'!B510,MOD(('Model inputs'!T32-'Model inputs'!B154),12)=0))))),'Model inputs'!B130*'Model inputs'!B142*12,0),IF('Model inputs'!T36="","",'Model inputs'!T36))</f>
        <v>200</v>
      </c>
      <c r="U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inputs'!B513=FALSE,FALSE),FALSE,IF(IFERROR(MOD(('Model inputs'!U32-'Model inputs'!B154),12)=0=FALSE,FALSE),FALSE,IF(OR('Model inputs'!B513="",MOD(('Model inputs'!U32-'Model inputs'!B154),12)=0=""),"",AND('Model inputs'!B513,MOD(('Model inputs'!U32-'Model inputs'!B154),12)=0))))="",FALSE,IF(IFERROR('Model inputs'!B513=FALSE,FALSE),FALSE,IF(IFERROR(MOD(('Model inputs'!U32-'Model inputs'!B154),12)=0=FALSE,FALSE),FALSE,IF(OR('Model inputs'!B513="",MOD(('Model inputs'!U32-'Model inputs'!B154),12)=0=""),"",AND('Model inputs'!B513,MOD(('Model inputs'!U32-'Model inputs'!B154),12)=0))))),'Model inputs'!B130*'Model inputs'!B142*12,0),IF('Model inputs'!U36="","",'Model inputs'!U36))</f>
        <v>200</v>
      </c>
      <c r="V48" s="9">
        <f>IF(IF(IF(ISERROR('Model inputs'!B90=1),'Model inputs'!B90=1,IF('Model inputs'!B90="","",'Model inputs'!B90=1))="",FALSE,IF(ISERROR('Model inputs'!B90=1),'Model inputs'!B90=1,IF('Model inputs'!B90="","",'Model inputs'!B90=1))),IF(IF(IF(IFERROR('Model inputs'!B516=FALSE,FALSE),FALSE,IF(IFERROR(MOD(('Model inputs'!V32-'Model inputs'!B154),12)=0=FALSE,FALSE),FALSE,IF(OR('Model inputs'!B516="",MOD(('Model inputs'!V32-'Model inputs'!B154),12)=0=""),"",AND('Model inputs'!B516,MOD(('Model inputs'!V32-'Model inputs'!B154),12)=0))))="",FALSE,IF(IFERROR('Model inputs'!B516=FALSE,FALSE),FALSE,IF(IFERROR(MOD(('Model inputs'!V32-'Model inputs'!B154),12)=0=FALSE,FALSE),FALSE,IF(OR('Model inputs'!B516="",MOD(('Model inputs'!V32-'Model inputs'!B154),12)=0=""),"",AND('Model inputs'!B516,MOD(('Model inputs'!V32-'Model inputs'!B154),12)=0))))),'Model inputs'!B130*'Model inputs'!B142*12,0),IF('Model inputs'!V36="","",'Model inputs'!V36))</f>
        <v>200</v>
      </c>
    </row>
    <row r="49" outlineLevel="1">
      <c r="A49" t="inlineStr" s="18">
        <is>
          <t xml:space="preserve">Opex cash paid &gt; First engineer (loaded)</t>
        </is>
      </c>
      <c r="C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inputs'!B519=FALSE,FALSE),FALSE,IF(IFERROR(MOD(('Model inputs'!C32-'Model inputs'!B155),12)=0=FALSE,FALSE),FALSE,IF(OR('Model inputs'!B519="",MOD(('Model inputs'!C32-'Model inputs'!B155),12)=0=""),"",AND('Model inputs'!B519,MOD(('Model inputs'!C32-'Model inputs'!B155),12)=0))))="",FALSE,IF(IFERROR('Model inputs'!B519=FALSE,FALSE),FALSE,IF(IFERROR(MOD(('Model inputs'!C32-'Model inputs'!B155),12)=0=FALSE,FALSE),FALSE,IF(OR('Model inputs'!B519="",MOD(('Model inputs'!C32-'Model inputs'!B155),12)=0=""),"",AND('Model inputs'!B519,MOD(('Model inputs'!C32-'Model inputs'!B155),12)=0))))),'Model inputs'!B131*'Model inputs'!B143*12,0),IF('Model inputs'!C37="","",'Model inputs'!C37))</f>
        <v>0</v>
      </c>
      <c r="D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inputs'!B522=FALSE,FALSE),FALSE,IF(IFERROR(MOD(('Model inputs'!D32-'Model inputs'!B155),12)=0=FALSE,FALSE),FALSE,IF(OR('Model inputs'!B522="",MOD(('Model inputs'!D32-'Model inputs'!B155),12)=0=""),"",AND('Model inputs'!B522,MOD(('Model inputs'!D32-'Model inputs'!B155),12)=0))))="",FALSE,IF(IFERROR('Model inputs'!B522=FALSE,FALSE),FALSE,IF(IFERROR(MOD(('Model inputs'!D32-'Model inputs'!B155),12)=0=FALSE,FALSE),FALSE,IF(OR('Model inputs'!B522="",MOD(('Model inputs'!D32-'Model inputs'!B155),12)=0=""),"",AND('Model inputs'!B522,MOD(('Model inputs'!D32-'Model inputs'!B155),12)=0))))),'Model inputs'!B131*'Model inputs'!B143*12,0),IF('Model inputs'!D37="","",'Model inputs'!D37))</f>
        <v>0</v>
      </c>
      <c r="E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inputs'!B525=FALSE,FALSE),FALSE,IF(IFERROR(MOD(('Model inputs'!E32-'Model inputs'!B155),12)=0=FALSE,FALSE),FALSE,IF(OR('Model inputs'!B525="",MOD(('Model inputs'!E32-'Model inputs'!B155),12)=0=""),"",AND('Model inputs'!B525,MOD(('Model inputs'!E32-'Model inputs'!B155),12)=0))))="",FALSE,IF(IFERROR('Model inputs'!B525=FALSE,FALSE),FALSE,IF(IFERROR(MOD(('Model inputs'!E32-'Model inputs'!B155),12)=0=FALSE,FALSE),FALSE,IF(OR('Model inputs'!B525="",MOD(('Model inputs'!E32-'Model inputs'!B155),12)=0=""),"",AND('Model inputs'!B525,MOD(('Model inputs'!E32-'Model inputs'!B155),12)=0))))),'Model inputs'!B131*'Model inputs'!B143*12,0),IF('Model inputs'!E37="","",'Model inputs'!E37))</f>
        <v>0</v>
      </c>
      <c r="F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inputs'!B528=FALSE,FALSE),FALSE,IF(IFERROR(MOD(('Model inputs'!F32-'Model inputs'!B155),12)=0=FALSE,FALSE),FALSE,IF(OR('Model inputs'!B528="",MOD(('Model inputs'!F32-'Model inputs'!B155),12)=0=""),"",AND('Model inputs'!B528,MOD(('Model inputs'!F32-'Model inputs'!B155),12)=0))))="",FALSE,IF(IFERROR('Model inputs'!B528=FALSE,FALSE),FALSE,IF(IFERROR(MOD(('Model inputs'!F32-'Model inputs'!B155),12)=0=FALSE,FALSE),FALSE,IF(OR('Model inputs'!B528="",MOD(('Model inputs'!F32-'Model inputs'!B155),12)=0=""),"",AND('Model inputs'!B528,MOD(('Model inputs'!F32-'Model inputs'!B155),12)=0))))),'Model inputs'!B131*'Model inputs'!B143*12,0),IF('Model inputs'!F37="","",'Model inputs'!F37))</f>
        <v>0</v>
      </c>
      <c r="G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inputs'!B531=FALSE,FALSE),FALSE,IF(IFERROR(MOD(('Model inputs'!G32-'Model inputs'!B155),12)=0=FALSE,FALSE),FALSE,IF(OR('Model inputs'!B531="",MOD(('Model inputs'!G32-'Model inputs'!B155),12)=0=""),"",AND('Model inputs'!B531,MOD(('Model inputs'!G32-'Model inputs'!B155),12)=0))))="",FALSE,IF(IFERROR('Model inputs'!B531=FALSE,FALSE),FALSE,IF(IFERROR(MOD(('Model inputs'!G32-'Model inputs'!B155),12)=0=FALSE,FALSE),FALSE,IF(OR('Model inputs'!B531="",MOD(('Model inputs'!G32-'Model inputs'!B155),12)=0=""),"",AND('Model inputs'!B531,MOD(('Model inputs'!G32-'Model inputs'!B155),12)=0))))),'Model inputs'!B131*'Model inputs'!B143*12,0),IF('Model inputs'!G37="","",'Model inputs'!G37))</f>
        <v>0</v>
      </c>
      <c r="H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inputs'!B534=FALSE,FALSE),FALSE,IF(IFERROR(MOD(('Model inputs'!H32-'Model inputs'!B155),12)=0=FALSE,FALSE),FALSE,IF(OR('Model inputs'!B534="",MOD(('Model inputs'!H32-'Model inputs'!B155),12)=0=""),"",AND('Model inputs'!B534,MOD(('Model inputs'!H32-'Model inputs'!B155),12)=0))))="",FALSE,IF(IFERROR('Model inputs'!B534=FALSE,FALSE),FALSE,IF(IFERROR(MOD(('Model inputs'!H32-'Model inputs'!B155),12)=0=FALSE,FALSE),FALSE,IF(OR('Model inputs'!B534="",MOD(('Model inputs'!H32-'Model inputs'!B155),12)=0=""),"",AND('Model inputs'!B534,MOD(('Model inputs'!H32-'Model inputs'!B155),12)=0))))),'Model inputs'!B131*'Model inputs'!B143*12,0),IF('Model inputs'!H37="","",'Model inputs'!H37))</f>
        <v>0</v>
      </c>
      <c r="I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inputs'!B537=FALSE,FALSE),FALSE,IF(IFERROR(MOD(('Model inputs'!I32-'Model inputs'!B155),12)=0=FALSE,FALSE),FALSE,IF(OR('Model inputs'!B537="",MOD(('Model inputs'!I32-'Model inputs'!B155),12)=0=""),"",AND('Model inputs'!B537,MOD(('Model inputs'!I32-'Model inputs'!B155),12)=0))))="",FALSE,IF(IFERROR('Model inputs'!B537=FALSE,FALSE),FALSE,IF(IFERROR(MOD(('Model inputs'!I32-'Model inputs'!B155),12)=0=FALSE,FALSE),FALSE,IF(OR('Model inputs'!B537="",MOD(('Model inputs'!I32-'Model inputs'!B155),12)=0=""),"",AND('Model inputs'!B537,MOD(('Model inputs'!I32-'Model inputs'!B155),12)=0))))),'Model inputs'!B131*'Model inputs'!B143*12,0),IF('Model inputs'!I37="","",'Model inputs'!I37))</f>
        <v>0</v>
      </c>
      <c r="J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inputs'!B540=FALSE,FALSE),FALSE,IF(IFERROR(MOD(('Model inputs'!J32-'Model inputs'!B155),12)=0=FALSE,FALSE),FALSE,IF(OR('Model inputs'!B540="",MOD(('Model inputs'!J32-'Model inputs'!B155),12)=0=""),"",AND('Model inputs'!B540,MOD(('Model inputs'!J32-'Model inputs'!B155),12)=0))))="",FALSE,IF(IFERROR('Model inputs'!B540=FALSE,FALSE),FALSE,IF(IFERROR(MOD(('Model inputs'!J32-'Model inputs'!B155),12)=0=FALSE,FALSE),FALSE,IF(OR('Model inputs'!B540="",MOD(('Model inputs'!J32-'Model inputs'!B155),12)=0=""),"",AND('Model inputs'!B540,MOD(('Model inputs'!J32-'Model inputs'!B155),12)=0))))),'Model inputs'!B131*'Model inputs'!B143*12,0),IF('Model inputs'!J37="","",'Model inputs'!J37))</f>
        <v>0</v>
      </c>
      <c r="K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inputs'!B543=FALSE,FALSE),FALSE,IF(IFERROR(MOD(('Model inputs'!K32-'Model inputs'!B155),12)=0=FALSE,FALSE),FALSE,IF(OR('Model inputs'!B543="",MOD(('Model inputs'!K32-'Model inputs'!B155),12)=0=""),"",AND('Model inputs'!B543,MOD(('Model inputs'!K32-'Model inputs'!B155),12)=0))))="",FALSE,IF(IFERROR('Model inputs'!B543=FALSE,FALSE),FALSE,IF(IFERROR(MOD(('Model inputs'!K32-'Model inputs'!B155),12)=0=FALSE,FALSE),FALSE,IF(OR('Model inputs'!B543="",MOD(('Model inputs'!K32-'Model inputs'!B155),12)=0=""),"",AND('Model inputs'!B543,MOD(('Model inputs'!K32-'Model inputs'!B155),12)=0))))),'Model inputs'!B131*'Model inputs'!B143*12,0),IF('Model inputs'!K37="","",'Model inputs'!K37))</f>
        <v>0</v>
      </c>
      <c r="L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inputs'!B546=FALSE,FALSE),FALSE,IF(IFERROR(MOD(('Model inputs'!L32-'Model inputs'!B155),12)=0=FALSE,FALSE),FALSE,IF(OR('Model inputs'!B546="",MOD(('Model inputs'!L32-'Model inputs'!B155),12)=0=""),"",AND('Model inputs'!B546,MOD(('Model inputs'!L32-'Model inputs'!B155),12)=0))))="",FALSE,IF(IFERROR('Model inputs'!B546=FALSE,FALSE),FALSE,IF(IFERROR(MOD(('Model inputs'!L32-'Model inputs'!B155),12)=0=FALSE,FALSE),FALSE,IF(OR('Model inputs'!B546="",MOD(('Model inputs'!L32-'Model inputs'!B155),12)=0=""),"",AND('Model inputs'!B546,MOD(('Model inputs'!L32-'Model inputs'!B155),12)=0))))),'Model inputs'!B131*'Model inputs'!B143*12,0),IF('Model inputs'!L37="","",'Model inputs'!L37))</f>
        <v>0</v>
      </c>
      <c r="M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inputs'!B549=FALSE,FALSE),FALSE,IF(IFERROR(MOD(('Model inputs'!M32-'Model inputs'!B155),12)=0=FALSE,FALSE),FALSE,IF(OR('Model inputs'!B549="",MOD(('Model inputs'!M32-'Model inputs'!B155),12)=0=""),"",AND('Model inputs'!B549,MOD(('Model inputs'!M32-'Model inputs'!B155),12)=0))))="",FALSE,IF(IFERROR('Model inputs'!B549=FALSE,FALSE),FALSE,IF(IFERROR(MOD(('Model inputs'!M32-'Model inputs'!B155),12)=0=FALSE,FALSE),FALSE,IF(OR('Model inputs'!B549="",MOD(('Model inputs'!M32-'Model inputs'!B155),12)=0=""),"",AND('Model inputs'!B549,MOD(('Model inputs'!M32-'Model inputs'!B155),12)=0))))),'Model inputs'!B131*'Model inputs'!B143*12,0),IF('Model inputs'!M37="","",'Model inputs'!M37))</f>
        <v>0</v>
      </c>
      <c r="N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inputs'!B552=FALSE,FALSE),FALSE,IF(IFERROR(MOD(('Model inputs'!N32-'Model inputs'!B155),12)=0=FALSE,FALSE),FALSE,IF(OR('Model inputs'!B552="",MOD(('Model inputs'!N32-'Model inputs'!B155),12)=0=""),"",AND('Model inputs'!B552,MOD(('Model inputs'!N32-'Model inputs'!B155),12)=0))))="",FALSE,IF(IFERROR('Model inputs'!B552=FALSE,FALSE),FALSE,IF(IFERROR(MOD(('Model inputs'!N32-'Model inputs'!B155),12)=0=FALSE,FALSE),FALSE,IF(OR('Model inputs'!B552="",MOD(('Model inputs'!N32-'Model inputs'!B155),12)=0=""),"",AND('Model inputs'!B552,MOD(('Model inputs'!N32-'Model inputs'!B155),12)=0))))),'Model inputs'!B131*'Model inputs'!B143*12,0),IF('Model inputs'!N37="","",'Model inputs'!N37))</f>
        <v>0</v>
      </c>
      <c r="O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inputs'!B555=FALSE,FALSE),FALSE,IF(IFERROR(MOD(('Model inputs'!O32-'Model inputs'!B155),12)=0=FALSE,FALSE),FALSE,IF(OR('Model inputs'!B555="",MOD(('Model inputs'!O32-'Model inputs'!B155),12)=0=""),"",AND('Model inputs'!B555,MOD(('Model inputs'!O32-'Model inputs'!B155),12)=0))))="",FALSE,IF(IFERROR('Model inputs'!B555=FALSE,FALSE),FALSE,IF(IFERROR(MOD(('Model inputs'!O32-'Model inputs'!B155),12)=0=FALSE,FALSE),FALSE,IF(OR('Model inputs'!B555="",MOD(('Model inputs'!O32-'Model inputs'!B155),12)=0=""),"",AND('Model inputs'!B555,MOD(('Model inputs'!O32-'Model inputs'!B155),12)=0))))),'Model inputs'!B131*'Model inputs'!B143*12,0),IF('Model inputs'!O37="","",'Model inputs'!O37))</f>
        <v>0</v>
      </c>
      <c r="P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inputs'!B558=FALSE,FALSE),FALSE,IF(IFERROR(MOD(('Model inputs'!P32-'Model inputs'!B155),12)=0=FALSE,FALSE),FALSE,IF(OR('Model inputs'!B558="",MOD(('Model inputs'!P32-'Model inputs'!B155),12)=0=""),"",AND('Model inputs'!B558,MOD(('Model inputs'!P32-'Model inputs'!B155),12)=0))))="",FALSE,IF(IFERROR('Model inputs'!B558=FALSE,FALSE),FALSE,IF(IFERROR(MOD(('Model inputs'!P32-'Model inputs'!B155),12)=0=FALSE,FALSE),FALSE,IF(OR('Model inputs'!B558="",MOD(('Model inputs'!P32-'Model inputs'!B155),12)=0=""),"",AND('Model inputs'!B558,MOD(('Model inputs'!P32-'Model inputs'!B155),12)=0))))),'Model inputs'!B131*'Model inputs'!B143*12,0),IF('Model inputs'!P37="","",'Model inputs'!P37))</f>
        <v>0</v>
      </c>
      <c r="Q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inputs'!B561=FALSE,FALSE),FALSE,IF(IFERROR(MOD(('Model inputs'!Q32-'Model inputs'!B155),12)=0=FALSE,FALSE),FALSE,IF(OR('Model inputs'!B561="",MOD(('Model inputs'!Q32-'Model inputs'!B155),12)=0=""),"",AND('Model inputs'!B561,MOD(('Model inputs'!Q32-'Model inputs'!B155),12)=0))))="",FALSE,IF(IFERROR('Model inputs'!B561=FALSE,FALSE),FALSE,IF(IFERROR(MOD(('Model inputs'!Q32-'Model inputs'!B155),12)=0=FALSE,FALSE),FALSE,IF(OR('Model inputs'!B561="",MOD(('Model inputs'!Q32-'Model inputs'!B155),12)=0=""),"",AND('Model inputs'!B561,MOD(('Model inputs'!Q32-'Model inputs'!B155),12)=0))))),'Model inputs'!B131*'Model inputs'!B143*12,0),IF('Model inputs'!Q37="","",'Model inputs'!Q37))</f>
        <v>0</v>
      </c>
      <c r="R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inputs'!B564=FALSE,FALSE),FALSE,IF(IFERROR(MOD(('Model inputs'!R32-'Model inputs'!B155),12)=0=FALSE,FALSE),FALSE,IF(OR('Model inputs'!B564="",MOD(('Model inputs'!R32-'Model inputs'!B155),12)=0=""),"",AND('Model inputs'!B564,MOD(('Model inputs'!R32-'Model inputs'!B155),12)=0))))="",FALSE,IF(IFERROR('Model inputs'!B564=FALSE,FALSE),FALSE,IF(IFERROR(MOD(('Model inputs'!R32-'Model inputs'!B155),12)=0=FALSE,FALSE),FALSE,IF(OR('Model inputs'!B564="",MOD(('Model inputs'!R32-'Model inputs'!B155),12)=0=""),"",AND('Model inputs'!B564,MOD(('Model inputs'!R32-'Model inputs'!B155),12)=0))))),'Model inputs'!B131*'Model inputs'!B143*12,0),IF('Model inputs'!R37="","",'Model inputs'!R37))</f>
        <v>0</v>
      </c>
      <c r="S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inputs'!B567=FALSE,FALSE),FALSE,IF(IFERROR(MOD(('Model inputs'!S32-'Model inputs'!B155),12)=0=FALSE,FALSE),FALSE,IF(OR('Model inputs'!B567="",MOD(('Model inputs'!S32-'Model inputs'!B155),12)=0=""),"",AND('Model inputs'!B567,MOD(('Model inputs'!S32-'Model inputs'!B155),12)=0))))="",FALSE,IF(IFERROR('Model inputs'!B567=FALSE,FALSE),FALSE,IF(IFERROR(MOD(('Model inputs'!S32-'Model inputs'!B155),12)=0=FALSE,FALSE),FALSE,IF(OR('Model inputs'!B567="",MOD(('Model inputs'!S32-'Model inputs'!B155),12)=0=""),"",AND('Model inputs'!B567,MOD(('Model inputs'!S32-'Model inputs'!B155),12)=0))))),'Model inputs'!B131*'Model inputs'!B143*12,0),IF('Model inputs'!S37="","",'Model inputs'!S37))</f>
        <v>0</v>
      </c>
      <c r="T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inputs'!B570=FALSE,FALSE),FALSE,IF(IFERROR(MOD(('Model inputs'!T32-'Model inputs'!B155),12)=0=FALSE,FALSE),FALSE,IF(OR('Model inputs'!B570="",MOD(('Model inputs'!T32-'Model inputs'!B155),12)=0=""),"",AND('Model inputs'!B570,MOD(('Model inputs'!T32-'Model inputs'!B155),12)=0))))="",FALSE,IF(IFERROR('Model inputs'!B570=FALSE,FALSE),FALSE,IF(IFERROR(MOD(('Model inputs'!T32-'Model inputs'!B155),12)=0=FALSE,FALSE),FALSE,IF(OR('Model inputs'!B570="",MOD(('Model inputs'!T32-'Model inputs'!B155),12)=0=""),"",AND('Model inputs'!B570,MOD(('Model inputs'!T32-'Model inputs'!B155),12)=0))))),'Model inputs'!B131*'Model inputs'!B143*12,0),IF('Model inputs'!T37="","",'Model inputs'!T37))</f>
        <v>0</v>
      </c>
      <c r="U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inputs'!B573=FALSE,FALSE),FALSE,IF(IFERROR(MOD(('Model inputs'!U32-'Model inputs'!B155),12)=0=FALSE,FALSE),FALSE,IF(OR('Model inputs'!B573="",MOD(('Model inputs'!U32-'Model inputs'!B155),12)=0=""),"",AND('Model inputs'!B573,MOD(('Model inputs'!U32-'Model inputs'!B155),12)=0))))="",FALSE,IF(IFERROR('Model inputs'!B573=FALSE,FALSE),FALSE,IF(IFERROR(MOD(('Model inputs'!U32-'Model inputs'!B155),12)=0=FALSE,FALSE),FALSE,IF(OR('Model inputs'!B573="",MOD(('Model inputs'!U32-'Model inputs'!B155),12)=0=""),"",AND('Model inputs'!B573,MOD(('Model inputs'!U32-'Model inputs'!B155),12)=0))))),'Model inputs'!B131*'Model inputs'!B143*12,0),IF('Model inputs'!U37="","",'Model inputs'!U37))</f>
        <v>0</v>
      </c>
      <c r="V49" s="9">
        <f>IF(IF(IF(ISERROR('Model inputs'!B91=1),'Model inputs'!B91=1,IF('Model inputs'!B91="","",'Model inputs'!B91=1))="",FALSE,IF(ISERROR('Model inputs'!B91=1),'Model inputs'!B91=1,IF('Model inputs'!B91="","",'Model inputs'!B91=1))),IF(IF(IF(IFERROR('Model inputs'!B576=FALSE,FALSE),FALSE,IF(IFERROR(MOD(('Model inputs'!V32-'Model inputs'!B155),12)=0=FALSE,FALSE),FALSE,IF(OR('Model inputs'!B576="",MOD(('Model inputs'!V32-'Model inputs'!B155),12)=0=""),"",AND('Model inputs'!B576,MOD(('Model inputs'!V32-'Model inputs'!B155),12)=0))))="",FALSE,IF(IFERROR('Model inputs'!B576=FALSE,FALSE),FALSE,IF(IFERROR(MOD(('Model inputs'!V32-'Model inputs'!B155),12)=0=FALSE,FALSE),FALSE,IF(OR('Model inputs'!B576="",MOD(('Model inputs'!V32-'Model inputs'!B155),12)=0=""),"",AND('Model inputs'!B576,MOD(('Model inputs'!V32-'Model inputs'!B155),12)=0))))),'Model inputs'!B131*'Model inputs'!B143*12,0),IF('Model inputs'!V37="","",'Model inputs'!V37))</f>
        <v>0</v>
      </c>
    </row>
    <row r="50" outlineLevel="1">
      <c r="A50" t="inlineStr" s="18">
        <is>
          <t xml:space="preserve">Opex cash paid &gt; Founder full-time step-up</t>
        </is>
      </c>
      <c r="C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inputs'!B579=FALSE,FALSE),FALSE,IF(IFERROR(MOD(('Model inputs'!C32-'Model inputs'!B156),12)=0=FALSE,FALSE),FALSE,IF(OR('Model inputs'!B579="",MOD(('Model inputs'!C32-'Model inputs'!B156),12)=0=""),"",AND('Model inputs'!B579,MOD(('Model inputs'!C32-'Model inputs'!B156),12)=0))))="",FALSE,IF(IFERROR('Model inputs'!B579=FALSE,FALSE),FALSE,IF(IFERROR(MOD(('Model inputs'!C32-'Model inputs'!B156),12)=0=FALSE,FALSE),FALSE,IF(OR('Model inputs'!B579="",MOD(('Model inputs'!C32-'Model inputs'!B156),12)=0=""),"",AND('Model inputs'!B579,MOD(('Model inputs'!C32-'Model inputs'!B156),12)=0))))),'Model inputs'!B132*'Model inputs'!B144*12,0),IF('Model inputs'!C38="","",'Model inputs'!C38))</f>
        <v>0</v>
      </c>
      <c r="D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inputs'!B582=FALSE,FALSE),FALSE,IF(IFERROR(MOD(('Model inputs'!D32-'Model inputs'!B156),12)=0=FALSE,FALSE),FALSE,IF(OR('Model inputs'!B582="",MOD(('Model inputs'!D32-'Model inputs'!B156),12)=0=""),"",AND('Model inputs'!B582,MOD(('Model inputs'!D32-'Model inputs'!B156),12)=0))))="",FALSE,IF(IFERROR('Model inputs'!B582=FALSE,FALSE),FALSE,IF(IFERROR(MOD(('Model inputs'!D32-'Model inputs'!B156),12)=0=FALSE,FALSE),FALSE,IF(OR('Model inputs'!B582="",MOD(('Model inputs'!D32-'Model inputs'!B156),12)=0=""),"",AND('Model inputs'!B582,MOD(('Model inputs'!D32-'Model inputs'!B156),12)=0))))),'Model inputs'!B132*'Model inputs'!B144*12,0),IF('Model inputs'!D38="","",'Model inputs'!D38))</f>
        <v>0</v>
      </c>
      <c r="E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inputs'!B585=FALSE,FALSE),FALSE,IF(IFERROR(MOD(('Model inputs'!E32-'Model inputs'!B156),12)=0=FALSE,FALSE),FALSE,IF(OR('Model inputs'!B585="",MOD(('Model inputs'!E32-'Model inputs'!B156),12)=0=""),"",AND('Model inputs'!B585,MOD(('Model inputs'!E32-'Model inputs'!B156),12)=0))))="",FALSE,IF(IFERROR('Model inputs'!B585=FALSE,FALSE),FALSE,IF(IFERROR(MOD(('Model inputs'!E32-'Model inputs'!B156),12)=0=FALSE,FALSE),FALSE,IF(OR('Model inputs'!B585="",MOD(('Model inputs'!E32-'Model inputs'!B156),12)=0=""),"",AND('Model inputs'!B585,MOD(('Model inputs'!E32-'Model inputs'!B156),12)=0))))),'Model inputs'!B132*'Model inputs'!B144*12,0),IF('Model inputs'!E38="","",'Model inputs'!E38))</f>
        <v>0</v>
      </c>
      <c r="F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inputs'!B588=FALSE,FALSE),FALSE,IF(IFERROR(MOD(('Model inputs'!F32-'Model inputs'!B156),12)=0=FALSE,FALSE),FALSE,IF(OR('Model inputs'!B588="",MOD(('Model inputs'!F32-'Model inputs'!B156),12)=0=""),"",AND('Model inputs'!B588,MOD(('Model inputs'!F32-'Model inputs'!B156),12)=0))))="",FALSE,IF(IFERROR('Model inputs'!B588=FALSE,FALSE),FALSE,IF(IFERROR(MOD(('Model inputs'!F32-'Model inputs'!B156),12)=0=FALSE,FALSE),FALSE,IF(OR('Model inputs'!B588="",MOD(('Model inputs'!F32-'Model inputs'!B156),12)=0=""),"",AND('Model inputs'!B588,MOD(('Model inputs'!F32-'Model inputs'!B156),12)=0))))),'Model inputs'!B132*'Model inputs'!B144*12,0),IF('Model inputs'!F38="","",'Model inputs'!F38))</f>
        <v>0</v>
      </c>
      <c r="G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inputs'!B591=FALSE,FALSE),FALSE,IF(IFERROR(MOD(('Model inputs'!G32-'Model inputs'!B156),12)=0=FALSE,FALSE),FALSE,IF(OR('Model inputs'!B591="",MOD(('Model inputs'!G32-'Model inputs'!B156),12)=0=""),"",AND('Model inputs'!B591,MOD(('Model inputs'!G32-'Model inputs'!B156),12)=0))))="",FALSE,IF(IFERROR('Model inputs'!B591=FALSE,FALSE),FALSE,IF(IFERROR(MOD(('Model inputs'!G32-'Model inputs'!B156),12)=0=FALSE,FALSE),FALSE,IF(OR('Model inputs'!B591="",MOD(('Model inputs'!G32-'Model inputs'!B156),12)=0=""),"",AND('Model inputs'!B591,MOD(('Model inputs'!G32-'Model inputs'!B156),12)=0))))),'Model inputs'!B132*'Model inputs'!B144*12,0),IF('Model inputs'!G38="","",'Model inputs'!G38))</f>
        <v>0</v>
      </c>
      <c r="H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inputs'!B594=FALSE,FALSE),FALSE,IF(IFERROR(MOD(('Model inputs'!H32-'Model inputs'!B156),12)=0=FALSE,FALSE),FALSE,IF(OR('Model inputs'!B594="",MOD(('Model inputs'!H32-'Model inputs'!B156),12)=0=""),"",AND('Model inputs'!B594,MOD(('Model inputs'!H32-'Model inputs'!B156),12)=0))))="",FALSE,IF(IFERROR('Model inputs'!B594=FALSE,FALSE),FALSE,IF(IFERROR(MOD(('Model inputs'!H32-'Model inputs'!B156),12)=0=FALSE,FALSE),FALSE,IF(OR('Model inputs'!B594="",MOD(('Model inputs'!H32-'Model inputs'!B156),12)=0=""),"",AND('Model inputs'!B594,MOD(('Model inputs'!H32-'Model inputs'!B156),12)=0))))),'Model inputs'!B132*'Model inputs'!B144*12,0),IF('Model inputs'!H38="","",'Model inputs'!H38))</f>
        <v>0</v>
      </c>
      <c r="I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inputs'!B597=FALSE,FALSE),FALSE,IF(IFERROR(MOD(('Model inputs'!I32-'Model inputs'!B156),12)=0=FALSE,FALSE),FALSE,IF(OR('Model inputs'!B597="",MOD(('Model inputs'!I32-'Model inputs'!B156),12)=0=""),"",AND('Model inputs'!B597,MOD(('Model inputs'!I32-'Model inputs'!B156),12)=0))))="",FALSE,IF(IFERROR('Model inputs'!B597=FALSE,FALSE),FALSE,IF(IFERROR(MOD(('Model inputs'!I32-'Model inputs'!B156),12)=0=FALSE,FALSE),FALSE,IF(OR('Model inputs'!B597="",MOD(('Model inputs'!I32-'Model inputs'!B156),12)=0=""),"",AND('Model inputs'!B597,MOD(('Model inputs'!I32-'Model inputs'!B156),12)=0))))),'Model inputs'!B132*'Model inputs'!B144*12,0),IF('Model inputs'!I38="","",'Model inputs'!I38))</f>
        <v>0</v>
      </c>
      <c r="J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inputs'!B600=FALSE,FALSE),FALSE,IF(IFERROR(MOD(('Model inputs'!J32-'Model inputs'!B156),12)=0=FALSE,FALSE),FALSE,IF(OR('Model inputs'!B600="",MOD(('Model inputs'!J32-'Model inputs'!B156),12)=0=""),"",AND('Model inputs'!B600,MOD(('Model inputs'!J32-'Model inputs'!B156),12)=0))))="",FALSE,IF(IFERROR('Model inputs'!B600=FALSE,FALSE),FALSE,IF(IFERROR(MOD(('Model inputs'!J32-'Model inputs'!B156),12)=0=FALSE,FALSE),FALSE,IF(OR('Model inputs'!B600="",MOD(('Model inputs'!J32-'Model inputs'!B156),12)=0=""),"",AND('Model inputs'!B600,MOD(('Model inputs'!J32-'Model inputs'!B156),12)=0))))),'Model inputs'!B132*'Model inputs'!B144*12,0),IF('Model inputs'!J38="","",'Model inputs'!J38))</f>
        <v>0</v>
      </c>
      <c r="K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inputs'!B603=FALSE,FALSE),FALSE,IF(IFERROR(MOD(('Model inputs'!K32-'Model inputs'!B156),12)=0=FALSE,FALSE),FALSE,IF(OR('Model inputs'!B603="",MOD(('Model inputs'!K32-'Model inputs'!B156),12)=0=""),"",AND('Model inputs'!B603,MOD(('Model inputs'!K32-'Model inputs'!B156),12)=0))))="",FALSE,IF(IFERROR('Model inputs'!B603=FALSE,FALSE),FALSE,IF(IFERROR(MOD(('Model inputs'!K32-'Model inputs'!B156),12)=0=FALSE,FALSE),FALSE,IF(OR('Model inputs'!B603="",MOD(('Model inputs'!K32-'Model inputs'!B156),12)=0=""),"",AND('Model inputs'!B603,MOD(('Model inputs'!K32-'Model inputs'!B156),12)=0))))),'Model inputs'!B132*'Model inputs'!B144*12,0),IF('Model inputs'!K38="","",'Model inputs'!K38))</f>
        <v>4000</v>
      </c>
      <c r="L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inputs'!B606=FALSE,FALSE),FALSE,IF(IFERROR(MOD(('Model inputs'!L32-'Model inputs'!B156),12)=0=FALSE,FALSE),FALSE,IF(OR('Model inputs'!B606="",MOD(('Model inputs'!L32-'Model inputs'!B156),12)=0=""),"",AND('Model inputs'!B606,MOD(('Model inputs'!L32-'Model inputs'!B156),12)=0))))="",FALSE,IF(IFERROR('Model inputs'!B606=FALSE,FALSE),FALSE,IF(IFERROR(MOD(('Model inputs'!L32-'Model inputs'!B156),12)=0=FALSE,FALSE),FALSE,IF(OR('Model inputs'!B606="",MOD(('Model inputs'!L32-'Model inputs'!B156),12)=0=""),"",AND('Model inputs'!B606,MOD(('Model inputs'!L32-'Model inputs'!B156),12)=0))))),'Model inputs'!B132*'Model inputs'!B144*12,0),IF('Model inputs'!L38="","",'Model inputs'!L38))</f>
        <v>4000</v>
      </c>
      <c r="M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inputs'!B609=FALSE,FALSE),FALSE,IF(IFERROR(MOD(('Model inputs'!M32-'Model inputs'!B156),12)=0=FALSE,FALSE),FALSE,IF(OR('Model inputs'!B609="",MOD(('Model inputs'!M32-'Model inputs'!B156),12)=0=""),"",AND('Model inputs'!B609,MOD(('Model inputs'!M32-'Model inputs'!B156),12)=0))))="",FALSE,IF(IFERROR('Model inputs'!B609=FALSE,FALSE),FALSE,IF(IFERROR(MOD(('Model inputs'!M32-'Model inputs'!B156),12)=0=FALSE,FALSE),FALSE,IF(OR('Model inputs'!B609="",MOD(('Model inputs'!M32-'Model inputs'!B156),12)=0=""),"",AND('Model inputs'!B609,MOD(('Model inputs'!M32-'Model inputs'!B156),12)=0))))),'Model inputs'!B132*'Model inputs'!B144*12,0),IF('Model inputs'!M38="","",'Model inputs'!M38))</f>
        <v>4000</v>
      </c>
      <c r="N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inputs'!B612=FALSE,FALSE),FALSE,IF(IFERROR(MOD(('Model inputs'!N32-'Model inputs'!B156),12)=0=FALSE,FALSE),FALSE,IF(OR('Model inputs'!B612="",MOD(('Model inputs'!N32-'Model inputs'!B156),12)=0=""),"",AND('Model inputs'!B612,MOD(('Model inputs'!N32-'Model inputs'!B156),12)=0))))="",FALSE,IF(IFERROR('Model inputs'!B612=FALSE,FALSE),FALSE,IF(IFERROR(MOD(('Model inputs'!N32-'Model inputs'!B156),12)=0=FALSE,FALSE),FALSE,IF(OR('Model inputs'!B612="",MOD(('Model inputs'!N32-'Model inputs'!B156),12)=0=""),"",AND('Model inputs'!B612,MOD(('Model inputs'!N32-'Model inputs'!B156),12)=0))))),'Model inputs'!B132*'Model inputs'!B144*12,0),IF('Model inputs'!N38="","",'Model inputs'!N38))</f>
        <v>4000</v>
      </c>
      <c r="O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inputs'!B615=FALSE,FALSE),FALSE,IF(IFERROR(MOD(('Model inputs'!O32-'Model inputs'!B156),12)=0=FALSE,FALSE),FALSE,IF(OR('Model inputs'!B615="",MOD(('Model inputs'!O32-'Model inputs'!B156),12)=0=""),"",AND('Model inputs'!B615,MOD(('Model inputs'!O32-'Model inputs'!B156),12)=0))))="",FALSE,IF(IFERROR('Model inputs'!B615=FALSE,FALSE),FALSE,IF(IFERROR(MOD(('Model inputs'!O32-'Model inputs'!B156),12)=0=FALSE,FALSE),FALSE,IF(OR('Model inputs'!B615="",MOD(('Model inputs'!O32-'Model inputs'!B156),12)=0=""),"",AND('Model inputs'!B615,MOD(('Model inputs'!O32-'Model inputs'!B156),12)=0))))),'Model inputs'!B132*'Model inputs'!B144*12,0),IF('Model inputs'!O38="","",'Model inputs'!O38))</f>
        <v>4000</v>
      </c>
      <c r="P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inputs'!B618=FALSE,FALSE),FALSE,IF(IFERROR(MOD(('Model inputs'!P32-'Model inputs'!B156),12)=0=FALSE,FALSE),FALSE,IF(OR('Model inputs'!B618="",MOD(('Model inputs'!P32-'Model inputs'!B156),12)=0=""),"",AND('Model inputs'!B618,MOD(('Model inputs'!P32-'Model inputs'!B156),12)=0))))="",FALSE,IF(IFERROR('Model inputs'!B618=FALSE,FALSE),FALSE,IF(IFERROR(MOD(('Model inputs'!P32-'Model inputs'!B156),12)=0=FALSE,FALSE),FALSE,IF(OR('Model inputs'!B618="",MOD(('Model inputs'!P32-'Model inputs'!B156),12)=0=""),"",AND('Model inputs'!B618,MOD(('Model inputs'!P32-'Model inputs'!B156),12)=0))))),'Model inputs'!B132*'Model inputs'!B144*12,0),IF('Model inputs'!P38="","",'Model inputs'!P38))</f>
        <v>4000</v>
      </c>
      <c r="Q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inputs'!B621=FALSE,FALSE),FALSE,IF(IFERROR(MOD(('Model inputs'!Q32-'Model inputs'!B156),12)=0=FALSE,FALSE),FALSE,IF(OR('Model inputs'!B621="",MOD(('Model inputs'!Q32-'Model inputs'!B156),12)=0=""),"",AND('Model inputs'!B621,MOD(('Model inputs'!Q32-'Model inputs'!B156),12)=0))))="",FALSE,IF(IFERROR('Model inputs'!B621=FALSE,FALSE),FALSE,IF(IFERROR(MOD(('Model inputs'!Q32-'Model inputs'!B156),12)=0=FALSE,FALSE),FALSE,IF(OR('Model inputs'!B621="",MOD(('Model inputs'!Q32-'Model inputs'!B156),12)=0=""),"",AND('Model inputs'!B621,MOD(('Model inputs'!Q32-'Model inputs'!B156),12)=0))))),'Model inputs'!B132*'Model inputs'!B144*12,0),IF('Model inputs'!Q38="","",'Model inputs'!Q38))</f>
        <v>4000</v>
      </c>
      <c r="R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inputs'!B624=FALSE,FALSE),FALSE,IF(IFERROR(MOD(('Model inputs'!R32-'Model inputs'!B156),12)=0=FALSE,FALSE),FALSE,IF(OR('Model inputs'!B624="",MOD(('Model inputs'!R32-'Model inputs'!B156),12)=0=""),"",AND('Model inputs'!B624,MOD(('Model inputs'!R32-'Model inputs'!B156),12)=0))))="",FALSE,IF(IFERROR('Model inputs'!B624=FALSE,FALSE),FALSE,IF(IFERROR(MOD(('Model inputs'!R32-'Model inputs'!B156),12)=0=FALSE,FALSE),FALSE,IF(OR('Model inputs'!B624="",MOD(('Model inputs'!R32-'Model inputs'!B156),12)=0=""),"",AND('Model inputs'!B624,MOD(('Model inputs'!R32-'Model inputs'!B156),12)=0))))),'Model inputs'!B132*'Model inputs'!B144*12,0),IF('Model inputs'!R38="","",'Model inputs'!R38))</f>
        <v>4000</v>
      </c>
      <c r="S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inputs'!B627=FALSE,FALSE),FALSE,IF(IFERROR(MOD(('Model inputs'!S32-'Model inputs'!B156),12)=0=FALSE,FALSE),FALSE,IF(OR('Model inputs'!B627="",MOD(('Model inputs'!S32-'Model inputs'!B156),12)=0=""),"",AND('Model inputs'!B627,MOD(('Model inputs'!S32-'Model inputs'!B156),12)=0))))="",FALSE,IF(IFERROR('Model inputs'!B627=FALSE,FALSE),FALSE,IF(IFERROR(MOD(('Model inputs'!S32-'Model inputs'!B156),12)=0=FALSE,FALSE),FALSE,IF(OR('Model inputs'!B627="",MOD(('Model inputs'!S32-'Model inputs'!B156),12)=0=""),"",AND('Model inputs'!B627,MOD(('Model inputs'!S32-'Model inputs'!B156),12)=0))))),'Model inputs'!B132*'Model inputs'!B144*12,0),IF('Model inputs'!S38="","",'Model inputs'!S38))</f>
        <v>4000</v>
      </c>
      <c r="T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inputs'!B630=FALSE,FALSE),FALSE,IF(IFERROR(MOD(('Model inputs'!T32-'Model inputs'!B156),12)=0=FALSE,FALSE),FALSE,IF(OR('Model inputs'!B630="",MOD(('Model inputs'!T32-'Model inputs'!B156),12)=0=""),"",AND('Model inputs'!B630,MOD(('Model inputs'!T32-'Model inputs'!B156),12)=0))))="",FALSE,IF(IFERROR('Model inputs'!B630=FALSE,FALSE),FALSE,IF(IFERROR(MOD(('Model inputs'!T32-'Model inputs'!B156),12)=0=FALSE,FALSE),FALSE,IF(OR('Model inputs'!B630="",MOD(('Model inputs'!T32-'Model inputs'!B156),12)=0=""),"",AND('Model inputs'!B630,MOD(('Model inputs'!T32-'Model inputs'!B156),12)=0))))),'Model inputs'!B132*'Model inputs'!B144*12,0),IF('Model inputs'!T38="","",'Model inputs'!T38))</f>
        <v>4000</v>
      </c>
      <c r="U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inputs'!B633=FALSE,FALSE),FALSE,IF(IFERROR(MOD(('Model inputs'!U32-'Model inputs'!B156),12)=0=FALSE,FALSE),FALSE,IF(OR('Model inputs'!B633="",MOD(('Model inputs'!U32-'Model inputs'!B156),12)=0=""),"",AND('Model inputs'!B633,MOD(('Model inputs'!U32-'Model inputs'!B156),12)=0))))="",FALSE,IF(IFERROR('Model inputs'!B633=FALSE,FALSE),FALSE,IF(IFERROR(MOD(('Model inputs'!U32-'Model inputs'!B156),12)=0=FALSE,FALSE),FALSE,IF(OR('Model inputs'!B633="",MOD(('Model inputs'!U32-'Model inputs'!B156),12)=0=""),"",AND('Model inputs'!B633,MOD(('Model inputs'!U32-'Model inputs'!B156),12)=0))))),'Model inputs'!B132*'Model inputs'!B144*12,0),IF('Model inputs'!U38="","",'Model inputs'!U38))</f>
        <v>4000</v>
      </c>
      <c r="V50" s="9">
        <f>IF(IF(IF(ISERROR('Model inputs'!B92=1),'Model inputs'!B92=1,IF('Model inputs'!B92="","",'Model inputs'!B92=1))="",FALSE,IF(ISERROR('Model inputs'!B92=1),'Model inputs'!B92=1,IF('Model inputs'!B92="","",'Model inputs'!B92=1))),IF(IF(IF(IFERROR('Model inputs'!B636=FALSE,FALSE),FALSE,IF(IFERROR(MOD(('Model inputs'!V32-'Model inputs'!B156),12)=0=FALSE,FALSE),FALSE,IF(OR('Model inputs'!B636="",MOD(('Model inputs'!V32-'Model inputs'!B156),12)=0=""),"",AND('Model inputs'!B636,MOD(('Model inputs'!V32-'Model inputs'!B156),12)=0))))="",FALSE,IF(IFERROR('Model inputs'!B636=FALSE,FALSE),FALSE,IF(IFERROR(MOD(('Model inputs'!V32-'Model inputs'!B156),12)=0=FALSE,FALSE),FALSE,IF(OR('Model inputs'!B636="",MOD(('Model inputs'!V32-'Model inputs'!B156),12)=0=""),"",AND('Model inputs'!B636,MOD(('Model inputs'!V32-'Model inputs'!B156),12)=0))))),'Model inputs'!B132*'Model inputs'!B144*12,0),IF('Model inputs'!V38="","",'Model inputs'!V38))</f>
        <v>4000</v>
      </c>
    </row>
    <row r="51" outlineLevel="1">
      <c r="A51" t="inlineStr" s="18">
        <is>
          <t xml:space="preserve">Opex cash paid &gt; Founder salary (0.5 FTE)</t>
        </is>
      </c>
      <c r="C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inputs'!B639=FALSE,FALSE),FALSE,IF(IFERROR(MOD(('Model inputs'!C32-'Model inputs'!B157),12)=0=FALSE,FALSE),FALSE,IF(OR('Model inputs'!B639="",MOD(('Model inputs'!C32-'Model inputs'!B157),12)=0=""),"",AND('Model inputs'!B639,MOD(('Model inputs'!C32-'Model inputs'!B157),12)=0))))="",FALSE,IF(IFERROR('Model inputs'!B639=FALSE,FALSE),FALSE,IF(IFERROR(MOD(('Model inputs'!C32-'Model inputs'!B157),12)=0=FALSE,FALSE),FALSE,IF(OR('Model inputs'!B639="",MOD(('Model inputs'!C32-'Model inputs'!B157),12)=0=""),"",AND('Model inputs'!B639,MOD(('Model inputs'!C32-'Model inputs'!B157),12)=0))))),'Model inputs'!B133*'Model inputs'!B145*12,0),IF('Model inputs'!C39="","",'Model inputs'!C39))</f>
        <v>0</v>
      </c>
      <c r="D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inputs'!B642=FALSE,FALSE),FALSE,IF(IFERROR(MOD(('Model inputs'!D32-'Model inputs'!B157),12)=0=FALSE,FALSE),FALSE,IF(OR('Model inputs'!B642="",MOD(('Model inputs'!D32-'Model inputs'!B157),12)=0=""),"",AND('Model inputs'!B642,MOD(('Model inputs'!D32-'Model inputs'!B157),12)=0))))="",FALSE,IF(IFERROR('Model inputs'!B642=FALSE,FALSE),FALSE,IF(IFERROR(MOD(('Model inputs'!D32-'Model inputs'!B157),12)=0=FALSE,FALSE),FALSE,IF(OR('Model inputs'!B642="",MOD(('Model inputs'!D32-'Model inputs'!B157),12)=0=""),"",AND('Model inputs'!B642,MOD(('Model inputs'!D32-'Model inputs'!B157),12)=0))))),'Model inputs'!B133*'Model inputs'!B145*12,0),IF('Model inputs'!D39="","",'Model inputs'!D39))</f>
        <v>0</v>
      </c>
      <c r="E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inputs'!B645=FALSE,FALSE),FALSE,IF(IFERROR(MOD(('Model inputs'!E32-'Model inputs'!B157),12)=0=FALSE,FALSE),FALSE,IF(OR('Model inputs'!B645="",MOD(('Model inputs'!E32-'Model inputs'!B157),12)=0=""),"",AND('Model inputs'!B645,MOD(('Model inputs'!E32-'Model inputs'!B157),12)=0))))="",FALSE,IF(IFERROR('Model inputs'!B645=FALSE,FALSE),FALSE,IF(IFERROR(MOD(('Model inputs'!E32-'Model inputs'!B157),12)=0=FALSE,FALSE),FALSE,IF(OR('Model inputs'!B645="",MOD(('Model inputs'!E32-'Model inputs'!B157),12)=0=""),"",AND('Model inputs'!B645,MOD(('Model inputs'!E32-'Model inputs'!B157),12)=0))))),'Model inputs'!B133*'Model inputs'!B145*12,0),IF('Model inputs'!E39="","",'Model inputs'!E39))</f>
        <v>4000</v>
      </c>
      <c r="F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inputs'!B648=FALSE,FALSE),FALSE,IF(IFERROR(MOD(('Model inputs'!F32-'Model inputs'!B157),12)=0=FALSE,FALSE),FALSE,IF(OR('Model inputs'!B648="",MOD(('Model inputs'!F32-'Model inputs'!B157),12)=0=""),"",AND('Model inputs'!B648,MOD(('Model inputs'!F32-'Model inputs'!B157),12)=0))))="",FALSE,IF(IFERROR('Model inputs'!B648=FALSE,FALSE),FALSE,IF(IFERROR(MOD(('Model inputs'!F32-'Model inputs'!B157),12)=0=FALSE,FALSE),FALSE,IF(OR('Model inputs'!B648="",MOD(('Model inputs'!F32-'Model inputs'!B157),12)=0=""),"",AND('Model inputs'!B648,MOD(('Model inputs'!F32-'Model inputs'!B157),12)=0))))),'Model inputs'!B133*'Model inputs'!B145*12,0),IF('Model inputs'!F39="","",'Model inputs'!F39))</f>
        <v>4000</v>
      </c>
      <c r="G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inputs'!B651=FALSE,FALSE),FALSE,IF(IFERROR(MOD(('Model inputs'!G32-'Model inputs'!B157),12)=0=FALSE,FALSE),FALSE,IF(OR('Model inputs'!B651="",MOD(('Model inputs'!G32-'Model inputs'!B157),12)=0=""),"",AND('Model inputs'!B651,MOD(('Model inputs'!G32-'Model inputs'!B157),12)=0))))="",FALSE,IF(IFERROR('Model inputs'!B651=FALSE,FALSE),FALSE,IF(IFERROR(MOD(('Model inputs'!G32-'Model inputs'!B157),12)=0=FALSE,FALSE),FALSE,IF(OR('Model inputs'!B651="",MOD(('Model inputs'!G32-'Model inputs'!B157),12)=0=""),"",AND('Model inputs'!B651,MOD(('Model inputs'!G32-'Model inputs'!B157),12)=0))))),'Model inputs'!B133*'Model inputs'!B145*12,0),IF('Model inputs'!G39="","",'Model inputs'!G39))</f>
        <v>4000</v>
      </c>
      <c r="H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inputs'!B654=FALSE,FALSE),FALSE,IF(IFERROR(MOD(('Model inputs'!H32-'Model inputs'!B157),12)=0=FALSE,FALSE),FALSE,IF(OR('Model inputs'!B654="",MOD(('Model inputs'!H32-'Model inputs'!B157),12)=0=""),"",AND('Model inputs'!B654,MOD(('Model inputs'!H32-'Model inputs'!B157),12)=0))))="",FALSE,IF(IFERROR('Model inputs'!B654=FALSE,FALSE),FALSE,IF(IFERROR(MOD(('Model inputs'!H32-'Model inputs'!B157),12)=0=FALSE,FALSE),FALSE,IF(OR('Model inputs'!B654="",MOD(('Model inputs'!H32-'Model inputs'!B157),12)=0=""),"",AND('Model inputs'!B654,MOD(('Model inputs'!H32-'Model inputs'!B157),12)=0))))),'Model inputs'!B133*'Model inputs'!B145*12,0),IF('Model inputs'!H39="","",'Model inputs'!H39))</f>
        <v>4000</v>
      </c>
      <c r="I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inputs'!B657=FALSE,FALSE),FALSE,IF(IFERROR(MOD(('Model inputs'!I32-'Model inputs'!B157),12)=0=FALSE,FALSE),FALSE,IF(OR('Model inputs'!B657="",MOD(('Model inputs'!I32-'Model inputs'!B157),12)=0=""),"",AND('Model inputs'!B657,MOD(('Model inputs'!I32-'Model inputs'!B157),12)=0))))="",FALSE,IF(IFERROR('Model inputs'!B657=FALSE,FALSE),FALSE,IF(IFERROR(MOD(('Model inputs'!I32-'Model inputs'!B157),12)=0=FALSE,FALSE),FALSE,IF(OR('Model inputs'!B657="",MOD(('Model inputs'!I32-'Model inputs'!B157),12)=0=""),"",AND('Model inputs'!B657,MOD(('Model inputs'!I32-'Model inputs'!B157),12)=0))))),'Model inputs'!B133*'Model inputs'!B145*12,0),IF('Model inputs'!I39="","",'Model inputs'!I39))</f>
        <v>4000</v>
      </c>
      <c r="J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inputs'!B660=FALSE,FALSE),FALSE,IF(IFERROR(MOD(('Model inputs'!J32-'Model inputs'!B157),12)=0=FALSE,FALSE),FALSE,IF(OR('Model inputs'!B660="",MOD(('Model inputs'!J32-'Model inputs'!B157),12)=0=""),"",AND('Model inputs'!B660,MOD(('Model inputs'!J32-'Model inputs'!B157),12)=0))))="",FALSE,IF(IFERROR('Model inputs'!B660=FALSE,FALSE),FALSE,IF(IFERROR(MOD(('Model inputs'!J32-'Model inputs'!B157),12)=0=FALSE,FALSE),FALSE,IF(OR('Model inputs'!B660="",MOD(('Model inputs'!J32-'Model inputs'!B157),12)=0=""),"",AND('Model inputs'!B660,MOD(('Model inputs'!J32-'Model inputs'!B157),12)=0))))),'Model inputs'!B133*'Model inputs'!B145*12,0),IF('Model inputs'!J39="","",'Model inputs'!J39))</f>
        <v>4000</v>
      </c>
      <c r="K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inputs'!B663=FALSE,FALSE),FALSE,IF(IFERROR(MOD(('Model inputs'!K32-'Model inputs'!B157),12)=0=FALSE,FALSE),FALSE,IF(OR('Model inputs'!B663="",MOD(('Model inputs'!K32-'Model inputs'!B157),12)=0=""),"",AND('Model inputs'!B663,MOD(('Model inputs'!K32-'Model inputs'!B157),12)=0))))="",FALSE,IF(IFERROR('Model inputs'!B663=FALSE,FALSE),FALSE,IF(IFERROR(MOD(('Model inputs'!K32-'Model inputs'!B157),12)=0=FALSE,FALSE),FALSE,IF(OR('Model inputs'!B663="",MOD(('Model inputs'!K32-'Model inputs'!B157),12)=0=""),"",AND('Model inputs'!B663,MOD(('Model inputs'!K32-'Model inputs'!B157),12)=0))))),'Model inputs'!B133*'Model inputs'!B145*12,0),IF('Model inputs'!K39="","",'Model inputs'!K39))</f>
        <v>4000</v>
      </c>
      <c r="L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inputs'!B666=FALSE,FALSE),FALSE,IF(IFERROR(MOD(('Model inputs'!L32-'Model inputs'!B157),12)=0=FALSE,FALSE),FALSE,IF(OR('Model inputs'!B666="",MOD(('Model inputs'!L32-'Model inputs'!B157),12)=0=""),"",AND('Model inputs'!B666,MOD(('Model inputs'!L32-'Model inputs'!B157),12)=0))))="",FALSE,IF(IFERROR('Model inputs'!B666=FALSE,FALSE),FALSE,IF(IFERROR(MOD(('Model inputs'!L32-'Model inputs'!B157),12)=0=FALSE,FALSE),FALSE,IF(OR('Model inputs'!B666="",MOD(('Model inputs'!L32-'Model inputs'!B157),12)=0=""),"",AND('Model inputs'!B666,MOD(('Model inputs'!L32-'Model inputs'!B157),12)=0))))),'Model inputs'!B133*'Model inputs'!B145*12,0),IF('Model inputs'!L39="","",'Model inputs'!L39))</f>
        <v>4000</v>
      </c>
      <c r="M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inputs'!B669=FALSE,FALSE),FALSE,IF(IFERROR(MOD(('Model inputs'!M32-'Model inputs'!B157),12)=0=FALSE,FALSE),FALSE,IF(OR('Model inputs'!B669="",MOD(('Model inputs'!M32-'Model inputs'!B157),12)=0=""),"",AND('Model inputs'!B669,MOD(('Model inputs'!M32-'Model inputs'!B157),12)=0))))="",FALSE,IF(IFERROR('Model inputs'!B669=FALSE,FALSE),FALSE,IF(IFERROR(MOD(('Model inputs'!M32-'Model inputs'!B157),12)=0=FALSE,FALSE),FALSE,IF(OR('Model inputs'!B669="",MOD(('Model inputs'!M32-'Model inputs'!B157),12)=0=""),"",AND('Model inputs'!B669,MOD(('Model inputs'!M32-'Model inputs'!B157),12)=0))))),'Model inputs'!B133*'Model inputs'!B145*12,0),IF('Model inputs'!M39="","",'Model inputs'!M39))</f>
        <v>4000</v>
      </c>
      <c r="N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inputs'!B672=FALSE,FALSE),FALSE,IF(IFERROR(MOD(('Model inputs'!N32-'Model inputs'!B157),12)=0=FALSE,FALSE),FALSE,IF(OR('Model inputs'!B672="",MOD(('Model inputs'!N32-'Model inputs'!B157),12)=0=""),"",AND('Model inputs'!B672,MOD(('Model inputs'!N32-'Model inputs'!B157),12)=0))))="",FALSE,IF(IFERROR('Model inputs'!B672=FALSE,FALSE),FALSE,IF(IFERROR(MOD(('Model inputs'!N32-'Model inputs'!B157),12)=0=FALSE,FALSE),FALSE,IF(OR('Model inputs'!B672="",MOD(('Model inputs'!N32-'Model inputs'!B157),12)=0=""),"",AND('Model inputs'!B672,MOD(('Model inputs'!N32-'Model inputs'!B157),12)=0))))),'Model inputs'!B133*'Model inputs'!B145*12,0),IF('Model inputs'!N39="","",'Model inputs'!N39))</f>
        <v>4000</v>
      </c>
      <c r="O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inputs'!B675=FALSE,FALSE),FALSE,IF(IFERROR(MOD(('Model inputs'!O32-'Model inputs'!B157),12)=0=FALSE,FALSE),FALSE,IF(OR('Model inputs'!B675="",MOD(('Model inputs'!O32-'Model inputs'!B157),12)=0=""),"",AND('Model inputs'!B675,MOD(('Model inputs'!O32-'Model inputs'!B157),12)=0))))="",FALSE,IF(IFERROR('Model inputs'!B675=FALSE,FALSE),FALSE,IF(IFERROR(MOD(('Model inputs'!O32-'Model inputs'!B157),12)=0=FALSE,FALSE),FALSE,IF(OR('Model inputs'!B675="",MOD(('Model inputs'!O32-'Model inputs'!B157),12)=0=""),"",AND('Model inputs'!B675,MOD(('Model inputs'!O32-'Model inputs'!B157),12)=0))))),'Model inputs'!B133*'Model inputs'!B145*12,0),IF('Model inputs'!O39="","",'Model inputs'!O39))</f>
        <v>4000</v>
      </c>
      <c r="P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inputs'!B678=FALSE,FALSE),FALSE,IF(IFERROR(MOD(('Model inputs'!P32-'Model inputs'!B157),12)=0=FALSE,FALSE),FALSE,IF(OR('Model inputs'!B678="",MOD(('Model inputs'!P32-'Model inputs'!B157),12)=0=""),"",AND('Model inputs'!B678,MOD(('Model inputs'!P32-'Model inputs'!B157),12)=0))))="",FALSE,IF(IFERROR('Model inputs'!B678=FALSE,FALSE),FALSE,IF(IFERROR(MOD(('Model inputs'!P32-'Model inputs'!B157),12)=0=FALSE,FALSE),FALSE,IF(OR('Model inputs'!B678="",MOD(('Model inputs'!P32-'Model inputs'!B157),12)=0=""),"",AND('Model inputs'!B678,MOD(('Model inputs'!P32-'Model inputs'!B157),12)=0))))),'Model inputs'!B133*'Model inputs'!B145*12,0),IF('Model inputs'!P39="","",'Model inputs'!P39))</f>
        <v>4000</v>
      </c>
      <c r="Q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inputs'!B681=FALSE,FALSE),FALSE,IF(IFERROR(MOD(('Model inputs'!Q32-'Model inputs'!B157),12)=0=FALSE,FALSE),FALSE,IF(OR('Model inputs'!B681="",MOD(('Model inputs'!Q32-'Model inputs'!B157),12)=0=""),"",AND('Model inputs'!B681,MOD(('Model inputs'!Q32-'Model inputs'!B157),12)=0))))="",FALSE,IF(IFERROR('Model inputs'!B681=FALSE,FALSE),FALSE,IF(IFERROR(MOD(('Model inputs'!Q32-'Model inputs'!B157),12)=0=FALSE,FALSE),FALSE,IF(OR('Model inputs'!B681="",MOD(('Model inputs'!Q32-'Model inputs'!B157),12)=0=""),"",AND('Model inputs'!B681,MOD(('Model inputs'!Q32-'Model inputs'!B157),12)=0))))),'Model inputs'!B133*'Model inputs'!B145*12,0),IF('Model inputs'!Q39="","",'Model inputs'!Q39))</f>
        <v>4000</v>
      </c>
      <c r="R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inputs'!B684=FALSE,FALSE),FALSE,IF(IFERROR(MOD(('Model inputs'!R32-'Model inputs'!B157),12)=0=FALSE,FALSE),FALSE,IF(OR('Model inputs'!B684="",MOD(('Model inputs'!R32-'Model inputs'!B157),12)=0=""),"",AND('Model inputs'!B684,MOD(('Model inputs'!R32-'Model inputs'!B157),12)=0))))="",FALSE,IF(IFERROR('Model inputs'!B684=FALSE,FALSE),FALSE,IF(IFERROR(MOD(('Model inputs'!R32-'Model inputs'!B157),12)=0=FALSE,FALSE),FALSE,IF(OR('Model inputs'!B684="",MOD(('Model inputs'!R32-'Model inputs'!B157),12)=0=""),"",AND('Model inputs'!B684,MOD(('Model inputs'!R32-'Model inputs'!B157),12)=0))))),'Model inputs'!B133*'Model inputs'!B145*12,0),IF('Model inputs'!R39="","",'Model inputs'!R39))</f>
        <v>4000</v>
      </c>
      <c r="S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inputs'!B687=FALSE,FALSE),FALSE,IF(IFERROR(MOD(('Model inputs'!S32-'Model inputs'!B157),12)=0=FALSE,FALSE),FALSE,IF(OR('Model inputs'!B687="",MOD(('Model inputs'!S32-'Model inputs'!B157),12)=0=""),"",AND('Model inputs'!B687,MOD(('Model inputs'!S32-'Model inputs'!B157),12)=0))))="",FALSE,IF(IFERROR('Model inputs'!B687=FALSE,FALSE),FALSE,IF(IFERROR(MOD(('Model inputs'!S32-'Model inputs'!B157),12)=0=FALSE,FALSE),FALSE,IF(OR('Model inputs'!B687="",MOD(('Model inputs'!S32-'Model inputs'!B157),12)=0=""),"",AND('Model inputs'!B687,MOD(('Model inputs'!S32-'Model inputs'!B157),12)=0))))),'Model inputs'!B133*'Model inputs'!B145*12,0),IF('Model inputs'!S39="","",'Model inputs'!S39))</f>
        <v>4000</v>
      </c>
      <c r="T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inputs'!B690=FALSE,FALSE),FALSE,IF(IFERROR(MOD(('Model inputs'!T32-'Model inputs'!B157),12)=0=FALSE,FALSE),FALSE,IF(OR('Model inputs'!B690="",MOD(('Model inputs'!T32-'Model inputs'!B157),12)=0=""),"",AND('Model inputs'!B690,MOD(('Model inputs'!T32-'Model inputs'!B157),12)=0))))="",FALSE,IF(IFERROR('Model inputs'!B690=FALSE,FALSE),FALSE,IF(IFERROR(MOD(('Model inputs'!T32-'Model inputs'!B157),12)=0=FALSE,FALSE),FALSE,IF(OR('Model inputs'!B690="",MOD(('Model inputs'!T32-'Model inputs'!B157),12)=0=""),"",AND('Model inputs'!B690,MOD(('Model inputs'!T32-'Model inputs'!B157),12)=0))))),'Model inputs'!B133*'Model inputs'!B145*12,0),IF('Model inputs'!T39="","",'Model inputs'!T39))</f>
        <v>4000</v>
      </c>
      <c r="U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inputs'!B693=FALSE,FALSE),FALSE,IF(IFERROR(MOD(('Model inputs'!U32-'Model inputs'!B157),12)=0=FALSE,FALSE),FALSE,IF(OR('Model inputs'!B693="",MOD(('Model inputs'!U32-'Model inputs'!B157),12)=0=""),"",AND('Model inputs'!B693,MOD(('Model inputs'!U32-'Model inputs'!B157),12)=0))))="",FALSE,IF(IFERROR('Model inputs'!B693=FALSE,FALSE),FALSE,IF(IFERROR(MOD(('Model inputs'!U32-'Model inputs'!B157),12)=0=FALSE,FALSE),FALSE,IF(OR('Model inputs'!B693="",MOD(('Model inputs'!U32-'Model inputs'!B157),12)=0=""),"",AND('Model inputs'!B693,MOD(('Model inputs'!U32-'Model inputs'!B157),12)=0))))),'Model inputs'!B133*'Model inputs'!B145*12,0),IF('Model inputs'!U39="","",'Model inputs'!U39))</f>
        <v>4000</v>
      </c>
      <c r="V51" s="9">
        <f>IF(IF(IF(ISERROR('Model inputs'!B93=1),'Model inputs'!B93=1,IF('Model inputs'!B93="","",'Model inputs'!B93=1))="",FALSE,IF(ISERROR('Model inputs'!B93=1),'Model inputs'!B93=1,IF('Model inputs'!B93="","",'Model inputs'!B93=1))),IF(IF(IF(IFERROR('Model inputs'!B696=FALSE,FALSE),FALSE,IF(IFERROR(MOD(('Model inputs'!V32-'Model inputs'!B157),12)=0=FALSE,FALSE),FALSE,IF(OR('Model inputs'!B696="",MOD(('Model inputs'!V32-'Model inputs'!B157),12)=0=""),"",AND('Model inputs'!B696,MOD(('Model inputs'!V32-'Model inputs'!B157),12)=0))))="",FALSE,IF(IFERROR('Model inputs'!B696=FALSE,FALSE),FALSE,IF(IFERROR(MOD(('Model inputs'!V32-'Model inputs'!B157),12)=0=FALSE,FALSE),FALSE,IF(OR('Model inputs'!B696="",MOD(('Model inputs'!V32-'Model inputs'!B157),12)=0=""),"",AND('Model inputs'!B696,MOD(('Model inputs'!V32-'Model inputs'!B157),12)=0))))),'Model inputs'!B133*'Model inputs'!B145*12,0),IF('Model inputs'!V39="","",'Model inputs'!V39))</f>
        <v>4000</v>
      </c>
    </row>
    <row r="52" outlineLevel="1">
      <c r="A52" t="inlineStr" s="18">
        <is>
          <t xml:space="preserve">Opex cash paid &gt; Frontend contractor (0.25 FTE)</t>
        </is>
      </c>
      <c r="C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inputs'!B699=FALSE,FALSE),FALSE,IF(IFERROR(MOD(('Model inputs'!C32-'Model inputs'!B158),12)=0=FALSE,FALSE),FALSE,IF(OR('Model inputs'!B699="",MOD(('Model inputs'!C32-'Model inputs'!B158),12)=0=""),"",AND('Model inputs'!B699,MOD(('Model inputs'!C32-'Model inputs'!B158),12)=0))))="",FALSE,IF(IFERROR('Model inputs'!B699=FALSE,FALSE),FALSE,IF(IFERROR(MOD(('Model inputs'!C32-'Model inputs'!B158),12)=0=FALSE,FALSE),FALSE,IF(OR('Model inputs'!B699="",MOD(('Model inputs'!C32-'Model inputs'!B158),12)=0=""),"",AND('Model inputs'!B699,MOD(('Model inputs'!C32-'Model inputs'!B158),12)=0))))),'Model inputs'!B134*'Model inputs'!B146*12,0),IF('Model inputs'!C40="","",'Model inputs'!C40))</f>
        <v>0</v>
      </c>
      <c r="D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inputs'!B702=FALSE,FALSE),FALSE,IF(IFERROR(MOD(('Model inputs'!D32-'Model inputs'!B158),12)=0=FALSE,FALSE),FALSE,IF(OR('Model inputs'!B702="",MOD(('Model inputs'!D32-'Model inputs'!B158),12)=0=""),"",AND('Model inputs'!B702,MOD(('Model inputs'!D32-'Model inputs'!B158),12)=0))))="",FALSE,IF(IFERROR('Model inputs'!B702=FALSE,FALSE),FALSE,IF(IFERROR(MOD(('Model inputs'!D32-'Model inputs'!B158),12)=0=FALSE,FALSE),FALSE,IF(OR('Model inputs'!B702="",MOD(('Model inputs'!D32-'Model inputs'!B158),12)=0=""),"",AND('Model inputs'!B702,MOD(('Model inputs'!D32-'Model inputs'!B158),12)=0))))),'Model inputs'!B134*'Model inputs'!B146*12,0),IF('Model inputs'!D40="","",'Model inputs'!D40))</f>
        <v>0</v>
      </c>
      <c r="E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inputs'!B705=FALSE,FALSE),FALSE,IF(IFERROR(MOD(('Model inputs'!E32-'Model inputs'!B158),12)=0=FALSE,FALSE),FALSE,IF(OR('Model inputs'!B705="",MOD(('Model inputs'!E32-'Model inputs'!B158),12)=0=""),"",AND('Model inputs'!B705,MOD(('Model inputs'!E32-'Model inputs'!B158),12)=0))))="",FALSE,IF(IFERROR('Model inputs'!B705=FALSE,FALSE),FALSE,IF(IFERROR(MOD(('Model inputs'!E32-'Model inputs'!B158),12)=0=FALSE,FALSE),FALSE,IF(OR('Model inputs'!B705="",MOD(('Model inputs'!E32-'Model inputs'!B158),12)=0=""),"",AND('Model inputs'!B705,MOD(('Model inputs'!E32-'Model inputs'!B158),12)=0))))),'Model inputs'!B134*'Model inputs'!B146*12,0),IF('Model inputs'!E40="","",'Model inputs'!E40))</f>
        <v>0</v>
      </c>
      <c r="F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inputs'!B708=FALSE,FALSE),FALSE,IF(IFERROR(MOD(('Model inputs'!F32-'Model inputs'!B158),12)=0=FALSE,FALSE),FALSE,IF(OR('Model inputs'!B708="",MOD(('Model inputs'!F32-'Model inputs'!B158),12)=0=""),"",AND('Model inputs'!B708,MOD(('Model inputs'!F32-'Model inputs'!B158),12)=0))))="",FALSE,IF(IFERROR('Model inputs'!B708=FALSE,FALSE),FALSE,IF(IFERROR(MOD(('Model inputs'!F32-'Model inputs'!B158),12)=0=FALSE,FALSE),FALSE,IF(OR('Model inputs'!B708="",MOD(('Model inputs'!F32-'Model inputs'!B158),12)=0=""),"",AND('Model inputs'!B708,MOD(('Model inputs'!F32-'Model inputs'!B158),12)=0))))),'Model inputs'!B134*'Model inputs'!B146*12,0),IF('Model inputs'!F40="","",'Model inputs'!F40))</f>
        <v>0</v>
      </c>
      <c r="G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inputs'!B711=FALSE,FALSE),FALSE,IF(IFERROR(MOD(('Model inputs'!G32-'Model inputs'!B158),12)=0=FALSE,FALSE),FALSE,IF(OR('Model inputs'!B711="",MOD(('Model inputs'!G32-'Model inputs'!B158),12)=0=""),"",AND('Model inputs'!B711,MOD(('Model inputs'!G32-'Model inputs'!B158),12)=0))))="",FALSE,IF(IFERROR('Model inputs'!B711=FALSE,FALSE),FALSE,IF(IFERROR(MOD(('Model inputs'!G32-'Model inputs'!B158),12)=0=FALSE,FALSE),FALSE,IF(OR('Model inputs'!B711="",MOD(('Model inputs'!G32-'Model inputs'!B158),12)=0=""),"",AND('Model inputs'!B711,MOD(('Model inputs'!G32-'Model inputs'!B158),12)=0))))),'Model inputs'!B134*'Model inputs'!B146*12,0),IF('Model inputs'!G40="","",'Model inputs'!G40))</f>
        <v>0</v>
      </c>
      <c r="H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inputs'!B714=FALSE,FALSE),FALSE,IF(IFERROR(MOD(('Model inputs'!H32-'Model inputs'!B158),12)=0=FALSE,FALSE),FALSE,IF(OR('Model inputs'!B714="",MOD(('Model inputs'!H32-'Model inputs'!B158),12)=0=""),"",AND('Model inputs'!B714,MOD(('Model inputs'!H32-'Model inputs'!B158),12)=0))))="",FALSE,IF(IFERROR('Model inputs'!B714=FALSE,FALSE),FALSE,IF(IFERROR(MOD(('Model inputs'!H32-'Model inputs'!B158),12)=0=FALSE,FALSE),FALSE,IF(OR('Model inputs'!B714="",MOD(('Model inputs'!H32-'Model inputs'!B158),12)=0=""),"",AND('Model inputs'!B714,MOD(('Model inputs'!H32-'Model inputs'!B158),12)=0))))),'Model inputs'!B134*'Model inputs'!B146*12,0),IF('Model inputs'!H40="","",'Model inputs'!H40))</f>
        <v>2000</v>
      </c>
      <c r="I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inputs'!B717=FALSE,FALSE),FALSE,IF(IFERROR(MOD(('Model inputs'!I32-'Model inputs'!B158),12)=0=FALSE,FALSE),FALSE,IF(OR('Model inputs'!B717="",MOD(('Model inputs'!I32-'Model inputs'!B158),12)=0=""),"",AND('Model inputs'!B717,MOD(('Model inputs'!I32-'Model inputs'!B158),12)=0))))="",FALSE,IF(IFERROR('Model inputs'!B717=FALSE,FALSE),FALSE,IF(IFERROR(MOD(('Model inputs'!I32-'Model inputs'!B158),12)=0=FALSE,FALSE),FALSE,IF(OR('Model inputs'!B717="",MOD(('Model inputs'!I32-'Model inputs'!B158),12)=0=""),"",AND('Model inputs'!B717,MOD(('Model inputs'!I32-'Model inputs'!B158),12)=0))))),'Model inputs'!B134*'Model inputs'!B146*12,0),IF('Model inputs'!I40="","",'Model inputs'!I40))</f>
        <v>2000</v>
      </c>
      <c r="J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inputs'!B720=FALSE,FALSE),FALSE,IF(IFERROR(MOD(('Model inputs'!J32-'Model inputs'!B158),12)=0=FALSE,FALSE),FALSE,IF(OR('Model inputs'!B720="",MOD(('Model inputs'!J32-'Model inputs'!B158),12)=0=""),"",AND('Model inputs'!B720,MOD(('Model inputs'!J32-'Model inputs'!B158),12)=0))))="",FALSE,IF(IFERROR('Model inputs'!B720=FALSE,FALSE),FALSE,IF(IFERROR(MOD(('Model inputs'!J32-'Model inputs'!B158),12)=0=FALSE,FALSE),FALSE,IF(OR('Model inputs'!B720="",MOD(('Model inputs'!J32-'Model inputs'!B158),12)=0=""),"",AND('Model inputs'!B720,MOD(('Model inputs'!J32-'Model inputs'!B158),12)=0))))),'Model inputs'!B134*'Model inputs'!B146*12,0),IF('Model inputs'!J40="","",'Model inputs'!J40))</f>
        <v>2000</v>
      </c>
      <c r="K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inputs'!B723=FALSE,FALSE),FALSE,IF(IFERROR(MOD(('Model inputs'!K32-'Model inputs'!B158),12)=0=FALSE,FALSE),FALSE,IF(OR('Model inputs'!B723="",MOD(('Model inputs'!K32-'Model inputs'!B158),12)=0=""),"",AND('Model inputs'!B723,MOD(('Model inputs'!K32-'Model inputs'!B158),12)=0))))="",FALSE,IF(IFERROR('Model inputs'!B723=FALSE,FALSE),FALSE,IF(IFERROR(MOD(('Model inputs'!K32-'Model inputs'!B158),12)=0=FALSE,FALSE),FALSE,IF(OR('Model inputs'!B723="",MOD(('Model inputs'!K32-'Model inputs'!B158),12)=0=""),"",AND('Model inputs'!B723,MOD(('Model inputs'!K32-'Model inputs'!B158),12)=0))))),'Model inputs'!B134*'Model inputs'!B146*12,0),IF('Model inputs'!K40="","",'Model inputs'!K40))</f>
        <v>2000</v>
      </c>
      <c r="L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inputs'!B726=FALSE,FALSE),FALSE,IF(IFERROR(MOD(('Model inputs'!L32-'Model inputs'!B158),12)=0=FALSE,FALSE),FALSE,IF(OR('Model inputs'!B726="",MOD(('Model inputs'!L32-'Model inputs'!B158),12)=0=""),"",AND('Model inputs'!B726,MOD(('Model inputs'!L32-'Model inputs'!B158),12)=0))))="",FALSE,IF(IFERROR('Model inputs'!B726=FALSE,FALSE),FALSE,IF(IFERROR(MOD(('Model inputs'!L32-'Model inputs'!B158),12)=0=FALSE,FALSE),FALSE,IF(OR('Model inputs'!B726="",MOD(('Model inputs'!L32-'Model inputs'!B158),12)=0=""),"",AND('Model inputs'!B726,MOD(('Model inputs'!L32-'Model inputs'!B158),12)=0))))),'Model inputs'!B134*'Model inputs'!B146*12,0),IF('Model inputs'!L40="","",'Model inputs'!L40))</f>
        <v>2000</v>
      </c>
      <c r="M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inputs'!B729=FALSE,FALSE),FALSE,IF(IFERROR(MOD(('Model inputs'!M32-'Model inputs'!B158),12)=0=FALSE,FALSE),FALSE,IF(OR('Model inputs'!B729="",MOD(('Model inputs'!M32-'Model inputs'!B158),12)=0=""),"",AND('Model inputs'!B729,MOD(('Model inputs'!M32-'Model inputs'!B158),12)=0))))="",FALSE,IF(IFERROR('Model inputs'!B729=FALSE,FALSE),FALSE,IF(IFERROR(MOD(('Model inputs'!M32-'Model inputs'!B158),12)=0=FALSE,FALSE),FALSE,IF(OR('Model inputs'!B729="",MOD(('Model inputs'!M32-'Model inputs'!B158),12)=0=""),"",AND('Model inputs'!B729,MOD(('Model inputs'!M32-'Model inputs'!B158),12)=0))))),'Model inputs'!B134*'Model inputs'!B146*12,0),IF('Model inputs'!M40="","",'Model inputs'!M40))</f>
        <v>2000</v>
      </c>
      <c r="N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inputs'!B732=FALSE,FALSE),FALSE,IF(IFERROR(MOD(('Model inputs'!N32-'Model inputs'!B158),12)=0=FALSE,FALSE),FALSE,IF(OR('Model inputs'!B732="",MOD(('Model inputs'!N32-'Model inputs'!B158),12)=0=""),"",AND('Model inputs'!B732,MOD(('Model inputs'!N32-'Model inputs'!B158),12)=0))))="",FALSE,IF(IFERROR('Model inputs'!B732=FALSE,FALSE),FALSE,IF(IFERROR(MOD(('Model inputs'!N32-'Model inputs'!B158),12)=0=FALSE,FALSE),FALSE,IF(OR('Model inputs'!B732="",MOD(('Model inputs'!N32-'Model inputs'!B158),12)=0=""),"",AND('Model inputs'!B732,MOD(('Model inputs'!N32-'Model inputs'!B158),12)=0))))),'Model inputs'!B134*'Model inputs'!B146*12,0),IF('Model inputs'!N40="","",'Model inputs'!N40))</f>
        <v>2000</v>
      </c>
      <c r="O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inputs'!B735=FALSE,FALSE),FALSE,IF(IFERROR(MOD(('Model inputs'!O32-'Model inputs'!B158),12)=0=FALSE,FALSE),FALSE,IF(OR('Model inputs'!B735="",MOD(('Model inputs'!O32-'Model inputs'!B158),12)=0=""),"",AND('Model inputs'!B735,MOD(('Model inputs'!O32-'Model inputs'!B158),12)=0))))="",FALSE,IF(IFERROR('Model inputs'!B735=FALSE,FALSE),FALSE,IF(IFERROR(MOD(('Model inputs'!O32-'Model inputs'!B158),12)=0=FALSE,FALSE),FALSE,IF(OR('Model inputs'!B735="",MOD(('Model inputs'!O32-'Model inputs'!B158),12)=0=""),"",AND('Model inputs'!B735,MOD(('Model inputs'!O32-'Model inputs'!B158),12)=0))))),'Model inputs'!B134*'Model inputs'!B146*12,0),IF('Model inputs'!O40="","",'Model inputs'!O40))</f>
        <v>2000</v>
      </c>
      <c r="P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inputs'!B738=FALSE,FALSE),FALSE,IF(IFERROR(MOD(('Model inputs'!P32-'Model inputs'!B158),12)=0=FALSE,FALSE),FALSE,IF(OR('Model inputs'!B738="",MOD(('Model inputs'!P32-'Model inputs'!B158),12)=0=""),"",AND('Model inputs'!B738,MOD(('Model inputs'!P32-'Model inputs'!B158),12)=0))))="",FALSE,IF(IFERROR('Model inputs'!B738=FALSE,FALSE),FALSE,IF(IFERROR(MOD(('Model inputs'!P32-'Model inputs'!B158),12)=0=FALSE,FALSE),FALSE,IF(OR('Model inputs'!B738="",MOD(('Model inputs'!P32-'Model inputs'!B158),12)=0=""),"",AND('Model inputs'!B738,MOD(('Model inputs'!P32-'Model inputs'!B158),12)=0))))),'Model inputs'!B134*'Model inputs'!B146*12,0),IF('Model inputs'!P40="","",'Model inputs'!P40))</f>
        <v>2000</v>
      </c>
      <c r="Q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inputs'!B741=FALSE,FALSE),FALSE,IF(IFERROR(MOD(('Model inputs'!Q32-'Model inputs'!B158),12)=0=FALSE,FALSE),FALSE,IF(OR('Model inputs'!B741="",MOD(('Model inputs'!Q32-'Model inputs'!B158),12)=0=""),"",AND('Model inputs'!B741,MOD(('Model inputs'!Q32-'Model inputs'!B158),12)=0))))="",FALSE,IF(IFERROR('Model inputs'!B741=FALSE,FALSE),FALSE,IF(IFERROR(MOD(('Model inputs'!Q32-'Model inputs'!B158),12)=0=FALSE,FALSE),FALSE,IF(OR('Model inputs'!B741="",MOD(('Model inputs'!Q32-'Model inputs'!B158),12)=0=""),"",AND('Model inputs'!B741,MOD(('Model inputs'!Q32-'Model inputs'!B158),12)=0))))),'Model inputs'!B134*'Model inputs'!B146*12,0),IF('Model inputs'!Q40="","",'Model inputs'!Q40))</f>
        <v>2000</v>
      </c>
      <c r="R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inputs'!B744=FALSE,FALSE),FALSE,IF(IFERROR(MOD(('Model inputs'!R32-'Model inputs'!B158),12)=0=FALSE,FALSE),FALSE,IF(OR('Model inputs'!B744="",MOD(('Model inputs'!R32-'Model inputs'!B158),12)=0=""),"",AND('Model inputs'!B744,MOD(('Model inputs'!R32-'Model inputs'!B158),12)=0))))="",FALSE,IF(IFERROR('Model inputs'!B744=FALSE,FALSE),FALSE,IF(IFERROR(MOD(('Model inputs'!R32-'Model inputs'!B158),12)=0=FALSE,FALSE),FALSE,IF(OR('Model inputs'!B744="",MOD(('Model inputs'!R32-'Model inputs'!B158),12)=0=""),"",AND('Model inputs'!B744,MOD(('Model inputs'!R32-'Model inputs'!B158),12)=0))))),'Model inputs'!B134*'Model inputs'!B146*12,0),IF('Model inputs'!R40="","",'Model inputs'!R40))</f>
        <v>2000</v>
      </c>
      <c r="S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inputs'!B747=FALSE,FALSE),FALSE,IF(IFERROR(MOD(('Model inputs'!S32-'Model inputs'!B158),12)=0=FALSE,FALSE),FALSE,IF(OR('Model inputs'!B747="",MOD(('Model inputs'!S32-'Model inputs'!B158),12)=0=""),"",AND('Model inputs'!B747,MOD(('Model inputs'!S32-'Model inputs'!B158),12)=0))))="",FALSE,IF(IFERROR('Model inputs'!B747=FALSE,FALSE),FALSE,IF(IFERROR(MOD(('Model inputs'!S32-'Model inputs'!B158),12)=0=FALSE,FALSE),FALSE,IF(OR('Model inputs'!B747="",MOD(('Model inputs'!S32-'Model inputs'!B158),12)=0=""),"",AND('Model inputs'!B747,MOD(('Model inputs'!S32-'Model inputs'!B158),12)=0))))),'Model inputs'!B134*'Model inputs'!B146*12,0),IF('Model inputs'!S40="","",'Model inputs'!S40))</f>
        <v>2000</v>
      </c>
      <c r="T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inputs'!B750=FALSE,FALSE),FALSE,IF(IFERROR(MOD(('Model inputs'!T32-'Model inputs'!B158),12)=0=FALSE,FALSE),FALSE,IF(OR('Model inputs'!B750="",MOD(('Model inputs'!T32-'Model inputs'!B158),12)=0=""),"",AND('Model inputs'!B750,MOD(('Model inputs'!T32-'Model inputs'!B158),12)=0))))="",FALSE,IF(IFERROR('Model inputs'!B750=FALSE,FALSE),FALSE,IF(IFERROR(MOD(('Model inputs'!T32-'Model inputs'!B158),12)=0=FALSE,FALSE),FALSE,IF(OR('Model inputs'!B750="",MOD(('Model inputs'!T32-'Model inputs'!B158),12)=0=""),"",AND('Model inputs'!B750,MOD(('Model inputs'!T32-'Model inputs'!B158),12)=0))))),'Model inputs'!B134*'Model inputs'!B146*12,0),IF('Model inputs'!T40="","",'Model inputs'!T40))</f>
        <v>2000</v>
      </c>
      <c r="U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inputs'!B753=FALSE,FALSE),FALSE,IF(IFERROR(MOD(('Model inputs'!U32-'Model inputs'!B158),12)=0=FALSE,FALSE),FALSE,IF(OR('Model inputs'!B753="",MOD(('Model inputs'!U32-'Model inputs'!B158),12)=0=""),"",AND('Model inputs'!B753,MOD(('Model inputs'!U32-'Model inputs'!B158),12)=0))))="",FALSE,IF(IFERROR('Model inputs'!B753=FALSE,FALSE),FALSE,IF(IFERROR(MOD(('Model inputs'!U32-'Model inputs'!B158),12)=0=FALSE,FALSE),FALSE,IF(OR('Model inputs'!B753="",MOD(('Model inputs'!U32-'Model inputs'!B158),12)=0=""),"",AND('Model inputs'!B753,MOD(('Model inputs'!U32-'Model inputs'!B158),12)=0))))),'Model inputs'!B134*'Model inputs'!B146*12,0),IF('Model inputs'!U40="","",'Model inputs'!U40))</f>
        <v>2000</v>
      </c>
      <c r="V52" s="9">
        <f>IF(IF(IF(ISERROR('Model inputs'!B94=1),'Model inputs'!B94=1,IF('Model inputs'!B94="","",'Model inputs'!B94=1))="",FALSE,IF(ISERROR('Model inputs'!B94=1),'Model inputs'!B94=1,IF('Model inputs'!B94="","",'Model inputs'!B94=1))),IF(IF(IF(IFERROR('Model inputs'!B756=FALSE,FALSE),FALSE,IF(IFERROR(MOD(('Model inputs'!V32-'Model inputs'!B158),12)=0=FALSE,FALSE),FALSE,IF(OR('Model inputs'!B756="",MOD(('Model inputs'!V32-'Model inputs'!B158),12)=0=""),"",AND('Model inputs'!B756,MOD(('Model inputs'!V32-'Model inputs'!B158),12)=0))))="",FALSE,IF(IFERROR('Model inputs'!B756=FALSE,FALSE),FALSE,IF(IFERROR(MOD(('Model inputs'!V32-'Model inputs'!B158),12)=0=FALSE,FALSE),FALSE,IF(OR('Model inputs'!B756="",MOD(('Model inputs'!V32-'Model inputs'!B158),12)=0=""),"",AND('Model inputs'!B756,MOD(('Model inputs'!V32-'Model inputs'!B158),12)=0))))),'Model inputs'!B134*'Model inputs'!B146*12,0),IF('Model inputs'!V40="","",'Model inputs'!V40))</f>
        <v>2000</v>
      </c>
    </row>
    <row r="53" outlineLevel="1">
      <c r="A53" t="inlineStr" s="18">
        <is>
          <t xml:space="preserve">Opex cash paid &gt; Hosting (Vercel + storage)</t>
        </is>
      </c>
      <c r="C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inputs'!B759=FALSE,FALSE),FALSE,IF(IFERROR(MOD(('Model inputs'!C32-'Model inputs'!B159),12)=0=FALSE,FALSE),FALSE,IF(OR('Model inputs'!B759="",MOD(('Model inputs'!C32-'Model inputs'!B159),12)=0=""),"",AND('Model inputs'!B759,MOD(('Model inputs'!C32-'Model inputs'!B159),12)=0))))="",FALSE,IF(IFERROR('Model inputs'!B759=FALSE,FALSE),FALSE,IF(IFERROR(MOD(('Model inputs'!C32-'Model inputs'!B159),12)=0=FALSE,FALSE),FALSE,IF(OR('Model inputs'!B759="",MOD(('Model inputs'!C32-'Model inputs'!B159),12)=0=""),"",AND('Model inputs'!B759,MOD(('Model inputs'!C32-'Model inputs'!B159),12)=0))))),'Model inputs'!B135*'Model inputs'!B147*12,0),IF('Model inputs'!C41="","",'Model inputs'!C41))</f>
        <v>0</v>
      </c>
      <c r="D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inputs'!B762=FALSE,FALSE),FALSE,IF(IFERROR(MOD(('Model inputs'!D32-'Model inputs'!B159),12)=0=FALSE,FALSE),FALSE,IF(OR('Model inputs'!B762="",MOD(('Model inputs'!D32-'Model inputs'!B159),12)=0=""),"",AND('Model inputs'!B762,MOD(('Model inputs'!D32-'Model inputs'!B159),12)=0))))="",FALSE,IF(IFERROR('Model inputs'!B762=FALSE,FALSE),FALSE,IF(IFERROR(MOD(('Model inputs'!D32-'Model inputs'!B159),12)=0=FALSE,FALSE),FALSE,IF(OR('Model inputs'!B762="",MOD(('Model inputs'!D32-'Model inputs'!B159),12)=0=""),"",AND('Model inputs'!B762,MOD(('Model inputs'!D32-'Model inputs'!B159),12)=0))))),'Model inputs'!B135*'Model inputs'!B147*12,0),IF('Model inputs'!D41="","",'Model inputs'!D41))</f>
        <v>0</v>
      </c>
      <c r="E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inputs'!B765=FALSE,FALSE),FALSE,IF(IFERROR(MOD(('Model inputs'!E32-'Model inputs'!B159),12)=0=FALSE,FALSE),FALSE,IF(OR('Model inputs'!B765="",MOD(('Model inputs'!E32-'Model inputs'!B159),12)=0=""),"",AND('Model inputs'!B765,MOD(('Model inputs'!E32-'Model inputs'!B159),12)=0))))="",FALSE,IF(IFERROR('Model inputs'!B765=FALSE,FALSE),FALSE,IF(IFERROR(MOD(('Model inputs'!E32-'Model inputs'!B159),12)=0=FALSE,FALSE),FALSE,IF(OR('Model inputs'!B765="",MOD(('Model inputs'!E32-'Model inputs'!B159),12)=0=""),"",AND('Model inputs'!B765,MOD(('Model inputs'!E32-'Model inputs'!B159),12)=0))))),'Model inputs'!B135*'Model inputs'!B147*12,0),IF('Model inputs'!E41="","",'Model inputs'!E41))</f>
        <v>80</v>
      </c>
      <c r="F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inputs'!B768=FALSE,FALSE),FALSE,IF(IFERROR(MOD(('Model inputs'!F32-'Model inputs'!B159),12)=0=FALSE,FALSE),FALSE,IF(OR('Model inputs'!B768="",MOD(('Model inputs'!F32-'Model inputs'!B159),12)=0=""),"",AND('Model inputs'!B768,MOD(('Model inputs'!F32-'Model inputs'!B159),12)=0))))="",FALSE,IF(IFERROR('Model inputs'!B768=FALSE,FALSE),FALSE,IF(IFERROR(MOD(('Model inputs'!F32-'Model inputs'!B159),12)=0=FALSE,FALSE),FALSE,IF(OR('Model inputs'!B768="",MOD(('Model inputs'!F32-'Model inputs'!B159),12)=0=""),"",AND('Model inputs'!B768,MOD(('Model inputs'!F32-'Model inputs'!B159),12)=0))))),'Model inputs'!B135*'Model inputs'!B147*12,0),IF('Model inputs'!F41="","",'Model inputs'!F41))</f>
        <v>80</v>
      </c>
      <c r="G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inputs'!B771=FALSE,FALSE),FALSE,IF(IFERROR(MOD(('Model inputs'!G32-'Model inputs'!B159),12)=0=FALSE,FALSE),FALSE,IF(OR('Model inputs'!B771="",MOD(('Model inputs'!G32-'Model inputs'!B159),12)=0=""),"",AND('Model inputs'!B771,MOD(('Model inputs'!G32-'Model inputs'!B159),12)=0))))="",FALSE,IF(IFERROR('Model inputs'!B771=FALSE,FALSE),FALSE,IF(IFERROR(MOD(('Model inputs'!G32-'Model inputs'!B159),12)=0=FALSE,FALSE),FALSE,IF(OR('Model inputs'!B771="",MOD(('Model inputs'!G32-'Model inputs'!B159),12)=0=""),"",AND('Model inputs'!B771,MOD(('Model inputs'!G32-'Model inputs'!B159),12)=0))))),'Model inputs'!B135*'Model inputs'!B147*12,0),IF('Model inputs'!G41="","",'Model inputs'!G41))</f>
        <v>80</v>
      </c>
      <c r="H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inputs'!B774=FALSE,FALSE),FALSE,IF(IFERROR(MOD(('Model inputs'!H32-'Model inputs'!B159),12)=0=FALSE,FALSE),FALSE,IF(OR('Model inputs'!B774="",MOD(('Model inputs'!H32-'Model inputs'!B159),12)=0=""),"",AND('Model inputs'!B774,MOD(('Model inputs'!H32-'Model inputs'!B159),12)=0))))="",FALSE,IF(IFERROR('Model inputs'!B774=FALSE,FALSE),FALSE,IF(IFERROR(MOD(('Model inputs'!H32-'Model inputs'!B159),12)=0=FALSE,FALSE),FALSE,IF(OR('Model inputs'!B774="",MOD(('Model inputs'!H32-'Model inputs'!B159),12)=0=""),"",AND('Model inputs'!B774,MOD(('Model inputs'!H32-'Model inputs'!B159),12)=0))))),'Model inputs'!B135*'Model inputs'!B147*12,0),IF('Model inputs'!H41="","",'Model inputs'!H41))</f>
        <v>80</v>
      </c>
      <c r="I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inputs'!B777=FALSE,FALSE),FALSE,IF(IFERROR(MOD(('Model inputs'!I32-'Model inputs'!B159),12)=0=FALSE,FALSE),FALSE,IF(OR('Model inputs'!B777="",MOD(('Model inputs'!I32-'Model inputs'!B159),12)=0=""),"",AND('Model inputs'!B777,MOD(('Model inputs'!I32-'Model inputs'!B159),12)=0))))="",FALSE,IF(IFERROR('Model inputs'!B777=FALSE,FALSE),FALSE,IF(IFERROR(MOD(('Model inputs'!I32-'Model inputs'!B159),12)=0=FALSE,FALSE),FALSE,IF(OR('Model inputs'!B777="",MOD(('Model inputs'!I32-'Model inputs'!B159),12)=0=""),"",AND('Model inputs'!B777,MOD(('Model inputs'!I32-'Model inputs'!B159),12)=0))))),'Model inputs'!B135*'Model inputs'!B147*12,0),IF('Model inputs'!I41="","",'Model inputs'!I41))</f>
        <v>80</v>
      </c>
      <c r="J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inputs'!B780=FALSE,FALSE),FALSE,IF(IFERROR(MOD(('Model inputs'!J32-'Model inputs'!B159),12)=0=FALSE,FALSE),FALSE,IF(OR('Model inputs'!B780="",MOD(('Model inputs'!J32-'Model inputs'!B159),12)=0=""),"",AND('Model inputs'!B780,MOD(('Model inputs'!J32-'Model inputs'!B159),12)=0))))="",FALSE,IF(IFERROR('Model inputs'!B780=FALSE,FALSE),FALSE,IF(IFERROR(MOD(('Model inputs'!J32-'Model inputs'!B159),12)=0=FALSE,FALSE),FALSE,IF(OR('Model inputs'!B780="",MOD(('Model inputs'!J32-'Model inputs'!B159),12)=0=""),"",AND('Model inputs'!B780,MOD(('Model inputs'!J32-'Model inputs'!B159),12)=0))))),'Model inputs'!B135*'Model inputs'!B147*12,0),IF('Model inputs'!J41="","",'Model inputs'!J41))</f>
        <v>80</v>
      </c>
      <c r="K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inputs'!B783=FALSE,FALSE),FALSE,IF(IFERROR(MOD(('Model inputs'!K32-'Model inputs'!B159),12)=0=FALSE,FALSE),FALSE,IF(OR('Model inputs'!B783="",MOD(('Model inputs'!K32-'Model inputs'!B159),12)=0=""),"",AND('Model inputs'!B783,MOD(('Model inputs'!K32-'Model inputs'!B159),12)=0))))="",FALSE,IF(IFERROR('Model inputs'!B783=FALSE,FALSE),FALSE,IF(IFERROR(MOD(('Model inputs'!K32-'Model inputs'!B159),12)=0=FALSE,FALSE),FALSE,IF(OR('Model inputs'!B783="",MOD(('Model inputs'!K32-'Model inputs'!B159),12)=0=""),"",AND('Model inputs'!B783,MOD(('Model inputs'!K32-'Model inputs'!B159),12)=0))))),'Model inputs'!B135*'Model inputs'!B147*12,0),IF('Model inputs'!K41="","",'Model inputs'!K41))</f>
        <v>80</v>
      </c>
      <c r="L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inputs'!B786=FALSE,FALSE),FALSE,IF(IFERROR(MOD(('Model inputs'!L32-'Model inputs'!B159),12)=0=FALSE,FALSE),FALSE,IF(OR('Model inputs'!B786="",MOD(('Model inputs'!L32-'Model inputs'!B159),12)=0=""),"",AND('Model inputs'!B786,MOD(('Model inputs'!L32-'Model inputs'!B159),12)=0))))="",FALSE,IF(IFERROR('Model inputs'!B786=FALSE,FALSE),FALSE,IF(IFERROR(MOD(('Model inputs'!L32-'Model inputs'!B159),12)=0=FALSE,FALSE),FALSE,IF(OR('Model inputs'!B786="",MOD(('Model inputs'!L32-'Model inputs'!B159),12)=0=""),"",AND('Model inputs'!B786,MOD(('Model inputs'!L32-'Model inputs'!B159),12)=0))))),'Model inputs'!B135*'Model inputs'!B147*12,0),IF('Model inputs'!L41="","",'Model inputs'!L41))</f>
        <v>80</v>
      </c>
      <c r="M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inputs'!B789=FALSE,FALSE),FALSE,IF(IFERROR(MOD(('Model inputs'!M32-'Model inputs'!B159),12)=0=FALSE,FALSE),FALSE,IF(OR('Model inputs'!B789="",MOD(('Model inputs'!M32-'Model inputs'!B159),12)=0=""),"",AND('Model inputs'!B789,MOD(('Model inputs'!M32-'Model inputs'!B159),12)=0))))="",FALSE,IF(IFERROR('Model inputs'!B789=FALSE,FALSE),FALSE,IF(IFERROR(MOD(('Model inputs'!M32-'Model inputs'!B159),12)=0=FALSE,FALSE),FALSE,IF(OR('Model inputs'!B789="",MOD(('Model inputs'!M32-'Model inputs'!B159),12)=0=""),"",AND('Model inputs'!B789,MOD(('Model inputs'!M32-'Model inputs'!B159),12)=0))))),'Model inputs'!B135*'Model inputs'!B147*12,0),IF('Model inputs'!M41="","",'Model inputs'!M41))</f>
        <v>80</v>
      </c>
      <c r="N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inputs'!B792=FALSE,FALSE),FALSE,IF(IFERROR(MOD(('Model inputs'!N32-'Model inputs'!B159),12)=0=FALSE,FALSE),FALSE,IF(OR('Model inputs'!B792="",MOD(('Model inputs'!N32-'Model inputs'!B159),12)=0=""),"",AND('Model inputs'!B792,MOD(('Model inputs'!N32-'Model inputs'!B159),12)=0))))="",FALSE,IF(IFERROR('Model inputs'!B792=FALSE,FALSE),FALSE,IF(IFERROR(MOD(('Model inputs'!N32-'Model inputs'!B159),12)=0=FALSE,FALSE),FALSE,IF(OR('Model inputs'!B792="",MOD(('Model inputs'!N32-'Model inputs'!B159),12)=0=""),"",AND('Model inputs'!B792,MOD(('Model inputs'!N32-'Model inputs'!B159),12)=0))))),'Model inputs'!B135*'Model inputs'!B147*12,0),IF('Model inputs'!N41="","",'Model inputs'!N41))</f>
        <v>80</v>
      </c>
      <c r="O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inputs'!B795=FALSE,FALSE),FALSE,IF(IFERROR(MOD(('Model inputs'!O32-'Model inputs'!B159),12)=0=FALSE,FALSE),FALSE,IF(OR('Model inputs'!B795="",MOD(('Model inputs'!O32-'Model inputs'!B159),12)=0=""),"",AND('Model inputs'!B795,MOD(('Model inputs'!O32-'Model inputs'!B159),12)=0))))="",FALSE,IF(IFERROR('Model inputs'!B795=FALSE,FALSE),FALSE,IF(IFERROR(MOD(('Model inputs'!O32-'Model inputs'!B159),12)=0=FALSE,FALSE),FALSE,IF(OR('Model inputs'!B795="",MOD(('Model inputs'!O32-'Model inputs'!B159),12)=0=""),"",AND('Model inputs'!B795,MOD(('Model inputs'!O32-'Model inputs'!B159),12)=0))))),'Model inputs'!B135*'Model inputs'!B147*12,0),IF('Model inputs'!O41="","",'Model inputs'!O41))</f>
        <v>80</v>
      </c>
      <c r="P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inputs'!B798=FALSE,FALSE),FALSE,IF(IFERROR(MOD(('Model inputs'!P32-'Model inputs'!B159),12)=0=FALSE,FALSE),FALSE,IF(OR('Model inputs'!B798="",MOD(('Model inputs'!P32-'Model inputs'!B159),12)=0=""),"",AND('Model inputs'!B798,MOD(('Model inputs'!P32-'Model inputs'!B159),12)=0))))="",FALSE,IF(IFERROR('Model inputs'!B798=FALSE,FALSE),FALSE,IF(IFERROR(MOD(('Model inputs'!P32-'Model inputs'!B159),12)=0=FALSE,FALSE),FALSE,IF(OR('Model inputs'!B798="",MOD(('Model inputs'!P32-'Model inputs'!B159),12)=0=""),"",AND('Model inputs'!B798,MOD(('Model inputs'!P32-'Model inputs'!B159),12)=0))))),'Model inputs'!B135*'Model inputs'!B147*12,0),IF('Model inputs'!P41="","",'Model inputs'!P41))</f>
        <v>80</v>
      </c>
      <c r="Q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inputs'!B801=FALSE,FALSE),FALSE,IF(IFERROR(MOD(('Model inputs'!Q32-'Model inputs'!B159),12)=0=FALSE,FALSE),FALSE,IF(OR('Model inputs'!B801="",MOD(('Model inputs'!Q32-'Model inputs'!B159),12)=0=""),"",AND('Model inputs'!B801,MOD(('Model inputs'!Q32-'Model inputs'!B159),12)=0))))="",FALSE,IF(IFERROR('Model inputs'!B801=FALSE,FALSE),FALSE,IF(IFERROR(MOD(('Model inputs'!Q32-'Model inputs'!B159),12)=0=FALSE,FALSE),FALSE,IF(OR('Model inputs'!B801="",MOD(('Model inputs'!Q32-'Model inputs'!B159),12)=0=""),"",AND('Model inputs'!B801,MOD(('Model inputs'!Q32-'Model inputs'!B159),12)=0))))),'Model inputs'!B135*'Model inputs'!B147*12,0),IF('Model inputs'!Q41="","",'Model inputs'!Q41))</f>
        <v>80</v>
      </c>
      <c r="R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inputs'!B804=FALSE,FALSE),FALSE,IF(IFERROR(MOD(('Model inputs'!R32-'Model inputs'!B159),12)=0=FALSE,FALSE),FALSE,IF(OR('Model inputs'!B804="",MOD(('Model inputs'!R32-'Model inputs'!B159),12)=0=""),"",AND('Model inputs'!B804,MOD(('Model inputs'!R32-'Model inputs'!B159),12)=0))))="",FALSE,IF(IFERROR('Model inputs'!B804=FALSE,FALSE),FALSE,IF(IFERROR(MOD(('Model inputs'!R32-'Model inputs'!B159),12)=0=FALSE,FALSE),FALSE,IF(OR('Model inputs'!B804="",MOD(('Model inputs'!R32-'Model inputs'!B159),12)=0=""),"",AND('Model inputs'!B804,MOD(('Model inputs'!R32-'Model inputs'!B159),12)=0))))),'Model inputs'!B135*'Model inputs'!B147*12,0),IF('Model inputs'!R41="","",'Model inputs'!R41))</f>
        <v>80</v>
      </c>
      <c r="S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inputs'!B807=FALSE,FALSE),FALSE,IF(IFERROR(MOD(('Model inputs'!S32-'Model inputs'!B159),12)=0=FALSE,FALSE),FALSE,IF(OR('Model inputs'!B807="",MOD(('Model inputs'!S32-'Model inputs'!B159),12)=0=""),"",AND('Model inputs'!B807,MOD(('Model inputs'!S32-'Model inputs'!B159),12)=0))))="",FALSE,IF(IFERROR('Model inputs'!B807=FALSE,FALSE),FALSE,IF(IFERROR(MOD(('Model inputs'!S32-'Model inputs'!B159),12)=0=FALSE,FALSE),FALSE,IF(OR('Model inputs'!B807="",MOD(('Model inputs'!S32-'Model inputs'!B159),12)=0=""),"",AND('Model inputs'!B807,MOD(('Model inputs'!S32-'Model inputs'!B159),12)=0))))),'Model inputs'!B135*'Model inputs'!B147*12,0),IF('Model inputs'!S41="","",'Model inputs'!S41))</f>
        <v>80</v>
      </c>
      <c r="T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inputs'!B810=FALSE,FALSE),FALSE,IF(IFERROR(MOD(('Model inputs'!T32-'Model inputs'!B159),12)=0=FALSE,FALSE),FALSE,IF(OR('Model inputs'!B810="",MOD(('Model inputs'!T32-'Model inputs'!B159),12)=0=""),"",AND('Model inputs'!B810,MOD(('Model inputs'!T32-'Model inputs'!B159),12)=0))))="",FALSE,IF(IFERROR('Model inputs'!B810=FALSE,FALSE),FALSE,IF(IFERROR(MOD(('Model inputs'!T32-'Model inputs'!B159),12)=0=FALSE,FALSE),FALSE,IF(OR('Model inputs'!B810="",MOD(('Model inputs'!T32-'Model inputs'!B159),12)=0=""),"",AND('Model inputs'!B810,MOD(('Model inputs'!T32-'Model inputs'!B159),12)=0))))),'Model inputs'!B135*'Model inputs'!B147*12,0),IF('Model inputs'!T41="","",'Model inputs'!T41))</f>
        <v>80</v>
      </c>
      <c r="U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inputs'!B813=FALSE,FALSE),FALSE,IF(IFERROR(MOD(('Model inputs'!U32-'Model inputs'!B159),12)=0=FALSE,FALSE),FALSE,IF(OR('Model inputs'!B813="",MOD(('Model inputs'!U32-'Model inputs'!B159),12)=0=""),"",AND('Model inputs'!B813,MOD(('Model inputs'!U32-'Model inputs'!B159),12)=0))))="",FALSE,IF(IFERROR('Model inputs'!B813=FALSE,FALSE),FALSE,IF(IFERROR(MOD(('Model inputs'!U32-'Model inputs'!B159),12)=0=FALSE,FALSE),FALSE,IF(OR('Model inputs'!B813="",MOD(('Model inputs'!U32-'Model inputs'!B159),12)=0=""),"",AND('Model inputs'!B813,MOD(('Model inputs'!U32-'Model inputs'!B159),12)=0))))),'Model inputs'!B135*'Model inputs'!B147*12,0),IF('Model inputs'!U41="","",'Model inputs'!U41))</f>
        <v>80</v>
      </c>
      <c r="V53" s="9">
        <f>IF(IF(IF(ISERROR('Model inputs'!B95=1),'Model inputs'!B95=1,IF('Model inputs'!B95="","",'Model inputs'!B95=1))="",FALSE,IF(ISERROR('Model inputs'!B95=1),'Model inputs'!B95=1,IF('Model inputs'!B95="","",'Model inputs'!B95=1))),IF(IF(IF(IFERROR('Model inputs'!B816=FALSE,FALSE),FALSE,IF(IFERROR(MOD(('Model inputs'!V32-'Model inputs'!B159),12)=0=FALSE,FALSE),FALSE,IF(OR('Model inputs'!B816="",MOD(('Model inputs'!V32-'Model inputs'!B159),12)=0=""),"",AND('Model inputs'!B816,MOD(('Model inputs'!V32-'Model inputs'!B159),12)=0))))="",FALSE,IF(IFERROR('Model inputs'!B816=FALSE,FALSE),FALSE,IF(IFERROR(MOD(('Model inputs'!V32-'Model inputs'!B159),12)=0=FALSE,FALSE),FALSE,IF(OR('Model inputs'!B816="",MOD(('Model inputs'!V32-'Model inputs'!B159),12)=0=""),"",AND('Model inputs'!B816,MOD(('Model inputs'!V32-'Model inputs'!B159),12)=0))))),'Model inputs'!B135*'Model inputs'!B147*12,0),IF('Model inputs'!V41="","",'Model inputs'!V41))</f>
        <v>80</v>
      </c>
    </row>
    <row r="54" outlineLevel="1">
      <c r="A54" t="inlineStr" s="18">
        <is>
          <t xml:space="preserve">Opex cash paid &gt; Marketing: always-on</t>
        </is>
      </c>
      <c r="C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inputs'!B819=FALSE,FALSE),FALSE,IF(IFERROR(MOD(('Model inputs'!C32-'Model inputs'!B160),12)=0=FALSE,FALSE),FALSE,IF(OR('Model inputs'!B819="",MOD(('Model inputs'!C32-'Model inputs'!B160),12)=0=""),"",AND('Model inputs'!B819,MOD(('Model inputs'!C32-'Model inputs'!B160),12)=0))))="",FALSE,IF(IFERROR('Model inputs'!B819=FALSE,FALSE),FALSE,IF(IFERROR(MOD(('Model inputs'!C32-'Model inputs'!B160),12)=0=FALSE,FALSE),FALSE,IF(OR('Model inputs'!B819="",MOD(('Model inputs'!C32-'Model inputs'!B160),12)=0=""),"",AND('Model inputs'!B819,MOD(('Model inputs'!C32-'Model inputs'!B160),12)=0))))),'Model inputs'!B136*'Model inputs'!B148*12,0),IF('Model inputs'!C42="","",'Model inputs'!C42))</f>
        <v>0</v>
      </c>
      <c r="D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inputs'!B822=FALSE,FALSE),FALSE,IF(IFERROR(MOD(('Model inputs'!D32-'Model inputs'!B160),12)=0=FALSE,FALSE),FALSE,IF(OR('Model inputs'!B822="",MOD(('Model inputs'!D32-'Model inputs'!B160),12)=0=""),"",AND('Model inputs'!B822,MOD(('Model inputs'!D32-'Model inputs'!B160),12)=0))))="",FALSE,IF(IFERROR('Model inputs'!B822=FALSE,FALSE),FALSE,IF(IFERROR(MOD(('Model inputs'!D32-'Model inputs'!B160),12)=0=FALSE,FALSE),FALSE,IF(OR('Model inputs'!B822="",MOD(('Model inputs'!D32-'Model inputs'!B160),12)=0=""),"",AND('Model inputs'!B822,MOD(('Model inputs'!D32-'Model inputs'!B160),12)=0))))),'Model inputs'!B136*'Model inputs'!B148*12,0),IF('Model inputs'!D42="","",'Model inputs'!D42))</f>
        <v>0</v>
      </c>
      <c r="E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inputs'!B825=FALSE,FALSE),FALSE,IF(IFERROR(MOD(('Model inputs'!E32-'Model inputs'!B160),12)=0=FALSE,FALSE),FALSE,IF(OR('Model inputs'!B825="",MOD(('Model inputs'!E32-'Model inputs'!B160),12)=0=""),"",AND('Model inputs'!B825,MOD(('Model inputs'!E32-'Model inputs'!B160),12)=0))))="",FALSE,IF(IFERROR('Model inputs'!B825=FALSE,FALSE),FALSE,IF(IFERROR(MOD(('Model inputs'!E32-'Model inputs'!B160),12)=0=FALSE,FALSE),FALSE,IF(OR('Model inputs'!B825="",MOD(('Model inputs'!E32-'Model inputs'!B160),12)=0=""),"",AND('Model inputs'!B825,MOD(('Model inputs'!E32-'Model inputs'!B160),12)=0))))),'Model inputs'!B136*'Model inputs'!B148*12,0),IF('Model inputs'!E42="","",'Model inputs'!E42))</f>
        <v>250</v>
      </c>
      <c r="F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inputs'!B828=FALSE,FALSE),FALSE,IF(IFERROR(MOD(('Model inputs'!F32-'Model inputs'!B160),12)=0=FALSE,FALSE),FALSE,IF(OR('Model inputs'!B828="",MOD(('Model inputs'!F32-'Model inputs'!B160),12)=0=""),"",AND('Model inputs'!B828,MOD(('Model inputs'!F32-'Model inputs'!B160),12)=0))))="",FALSE,IF(IFERROR('Model inputs'!B828=FALSE,FALSE),FALSE,IF(IFERROR(MOD(('Model inputs'!F32-'Model inputs'!B160),12)=0=FALSE,FALSE),FALSE,IF(OR('Model inputs'!B828="",MOD(('Model inputs'!F32-'Model inputs'!B160),12)=0=""),"",AND('Model inputs'!B828,MOD(('Model inputs'!F32-'Model inputs'!B160),12)=0))))),'Model inputs'!B136*'Model inputs'!B148*12,0),IF('Model inputs'!F42="","",'Model inputs'!F42))</f>
        <v>250</v>
      </c>
      <c r="G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inputs'!B831=FALSE,FALSE),FALSE,IF(IFERROR(MOD(('Model inputs'!G32-'Model inputs'!B160),12)=0=FALSE,FALSE),FALSE,IF(OR('Model inputs'!B831="",MOD(('Model inputs'!G32-'Model inputs'!B160),12)=0=""),"",AND('Model inputs'!B831,MOD(('Model inputs'!G32-'Model inputs'!B160),12)=0))))="",FALSE,IF(IFERROR('Model inputs'!B831=FALSE,FALSE),FALSE,IF(IFERROR(MOD(('Model inputs'!G32-'Model inputs'!B160),12)=0=FALSE,FALSE),FALSE,IF(OR('Model inputs'!B831="",MOD(('Model inputs'!G32-'Model inputs'!B160),12)=0=""),"",AND('Model inputs'!B831,MOD(('Model inputs'!G32-'Model inputs'!B160),12)=0))))),'Model inputs'!B136*'Model inputs'!B148*12,0),IF('Model inputs'!G42="","",'Model inputs'!G42))</f>
        <v>250</v>
      </c>
      <c r="H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inputs'!B834=FALSE,FALSE),FALSE,IF(IFERROR(MOD(('Model inputs'!H32-'Model inputs'!B160),12)=0=FALSE,FALSE),FALSE,IF(OR('Model inputs'!B834="",MOD(('Model inputs'!H32-'Model inputs'!B160),12)=0=""),"",AND('Model inputs'!B834,MOD(('Model inputs'!H32-'Model inputs'!B160),12)=0))))="",FALSE,IF(IFERROR('Model inputs'!B834=FALSE,FALSE),FALSE,IF(IFERROR(MOD(('Model inputs'!H32-'Model inputs'!B160),12)=0=FALSE,FALSE),FALSE,IF(OR('Model inputs'!B834="",MOD(('Model inputs'!H32-'Model inputs'!B160),12)=0=""),"",AND('Model inputs'!B834,MOD(('Model inputs'!H32-'Model inputs'!B160),12)=0))))),'Model inputs'!B136*'Model inputs'!B148*12,0),IF('Model inputs'!H42="","",'Model inputs'!H42))</f>
        <v>250</v>
      </c>
      <c r="I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inputs'!B837=FALSE,FALSE),FALSE,IF(IFERROR(MOD(('Model inputs'!I32-'Model inputs'!B160),12)=0=FALSE,FALSE),FALSE,IF(OR('Model inputs'!B837="",MOD(('Model inputs'!I32-'Model inputs'!B160),12)=0=""),"",AND('Model inputs'!B837,MOD(('Model inputs'!I32-'Model inputs'!B160),12)=0))))="",FALSE,IF(IFERROR('Model inputs'!B837=FALSE,FALSE),FALSE,IF(IFERROR(MOD(('Model inputs'!I32-'Model inputs'!B160),12)=0=FALSE,FALSE),FALSE,IF(OR('Model inputs'!B837="",MOD(('Model inputs'!I32-'Model inputs'!B160),12)=0=""),"",AND('Model inputs'!B837,MOD(('Model inputs'!I32-'Model inputs'!B160),12)=0))))),'Model inputs'!B136*'Model inputs'!B148*12,0),IF('Model inputs'!I42="","",'Model inputs'!I42))</f>
        <v>250</v>
      </c>
      <c r="J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inputs'!B840=FALSE,FALSE),FALSE,IF(IFERROR(MOD(('Model inputs'!J32-'Model inputs'!B160),12)=0=FALSE,FALSE),FALSE,IF(OR('Model inputs'!B840="",MOD(('Model inputs'!J32-'Model inputs'!B160),12)=0=""),"",AND('Model inputs'!B840,MOD(('Model inputs'!J32-'Model inputs'!B160),12)=0))))="",FALSE,IF(IFERROR('Model inputs'!B840=FALSE,FALSE),FALSE,IF(IFERROR(MOD(('Model inputs'!J32-'Model inputs'!B160),12)=0=FALSE,FALSE),FALSE,IF(OR('Model inputs'!B840="",MOD(('Model inputs'!J32-'Model inputs'!B160),12)=0=""),"",AND('Model inputs'!B840,MOD(('Model inputs'!J32-'Model inputs'!B160),12)=0))))),'Model inputs'!B136*'Model inputs'!B148*12,0),IF('Model inputs'!J42="","",'Model inputs'!J42))</f>
        <v>250</v>
      </c>
      <c r="K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inputs'!B843=FALSE,FALSE),FALSE,IF(IFERROR(MOD(('Model inputs'!K32-'Model inputs'!B160),12)=0=FALSE,FALSE),FALSE,IF(OR('Model inputs'!B843="",MOD(('Model inputs'!K32-'Model inputs'!B160),12)=0=""),"",AND('Model inputs'!B843,MOD(('Model inputs'!K32-'Model inputs'!B160),12)=0))))="",FALSE,IF(IFERROR('Model inputs'!B843=FALSE,FALSE),FALSE,IF(IFERROR(MOD(('Model inputs'!K32-'Model inputs'!B160),12)=0=FALSE,FALSE),FALSE,IF(OR('Model inputs'!B843="",MOD(('Model inputs'!K32-'Model inputs'!B160),12)=0=""),"",AND('Model inputs'!B843,MOD(('Model inputs'!K32-'Model inputs'!B160),12)=0))))),'Model inputs'!B136*'Model inputs'!B148*12,0),IF('Model inputs'!K42="","",'Model inputs'!K42))</f>
        <v>250</v>
      </c>
      <c r="L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inputs'!B846=FALSE,FALSE),FALSE,IF(IFERROR(MOD(('Model inputs'!L32-'Model inputs'!B160),12)=0=FALSE,FALSE),FALSE,IF(OR('Model inputs'!B846="",MOD(('Model inputs'!L32-'Model inputs'!B160),12)=0=""),"",AND('Model inputs'!B846,MOD(('Model inputs'!L32-'Model inputs'!B160),12)=0))))="",FALSE,IF(IFERROR('Model inputs'!B846=FALSE,FALSE),FALSE,IF(IFERROR(MOD(('Model inputs'!L32-'Model inputs'!B160),12)=0=FALSE,FALSE),FALSE,IF(OR('Model inputs'!B846="",MOD(('Model inputs'!L32-'Model inputs'!B160),12)=0=""),"",AND('Model inputs'!B846,MOD(('Model inputs'!L32-'Model inputs'!B160),12)=0))))),'Model inputs'!B136*'Model inputs'!B148*12,0),IF('Model inputs'!L42="","",'Model inputs'!L42))</f>
        <v>250</v>
      </c>
      <c r="M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inputs'!B849=FALSE,FALSE),FALSE,IF(IFERROR(MOD(('Model inputs'!M32-'Model inputs'!B160),12)=0=FALSE,FALSE),FALSE,IF(OR('Model inputs'!B849="",MOD(('Model inputs'!M32-'Model inputs'!B160),12)=0=""),"",AND('Model inputs'!B849,MOD(('Model inputs'!M32-'Model inputs'!B160),12)=0))))="",FALSE,IF(IFERROR('Model inputs'!B849=FALSE,FALSE),FALSE,IF(IFERROR(MOD(('Model inputs'!M32-'Model inputs'!B160),12)=0=FALSE,FALSE),FALSE,IF(OR('Model inputs'!B849="",MOD(('Model inputs'!M32-'Model inputs'!B160),12)=0=""),"",AND('Model inputs'!B849,MOD(('Model inputs'!M32-'Model inputs'!B160),12)=0))))),'Model inputs'!B136*'Model inputs'!B148*12,0),IF('Model inputs'!M42="","",'Model inputs'!M42))</f>
        <v>250</v>
      </c>
      <c r="N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inputs'!B852=FALSE,FALSE),FALSE,IF(IFERROR(MOD(('Model inputs'!N32-'Model inputs'!B160),12)=0=FALSE,FALSE),FALSE,IF(OR('Model inputs'!B852="",MOD(('Model inputs'!N32-'Model inputs'!B160),12)=0=""),"",AND('Model inputs'!B852,MOD(('Model inputs'!N32-'Model inputs'!B160),12)=0))))="",FALSE,IF(IFERROR('Model inputs'!B852=FALSE,FALSE),FALSE,IF(IFERROR(MOD(('Model inputs'!N32-'Model inputs'!B160),12)=0=FALSE,FALSE),FALSE,IF(OR('Model inputs'!B852="",MOD(('Model inputs'!N32-'Model inputs'!B160),12)=0=""),"",AND('Model inputs'!B852,MOD(('Model inputs'!N32-'Model inputs'!B160),12)=0))))),'Model inputs'!B136*'Model inputs'!B148*12,0),IF('Model inputs'!N42="","",'Model inputs'!N42))</f>
        <v>250</v>
      </c>
      <c r="O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inputs'!B855=FALSE,FALSE),FALSE,IF(IFERROR(MOD(('Model inputs'!O32-'Model inputs'!B160),12)=0=FALSE,FALSE),FALSE,IF(OR('Model inputs'!B855="",MOD(('Model inputs'!O32-'Model inputs'!B160),12)=0=""),"",AND('Model inputs'!B855,MOD(('Model inputs'!O32-'Model inputs'!B160),12)=0))))="",FALSE,IF(IFERROR('Model inputs'!B855=FALSE,FALSE),FALSE,IF(IFERROR(MOD(('Model inputs'!O32-'Model inputs'!B160),12)=0=FALSE,FALSE),FALSE,IF(OR('Model inputs'!B855="",MOD(('Model inputs'!O32-'Model inputs'!B160),12)=0=""),"",AND('Model inputs'!B855,MOD(('Model inputs'!O32-'Model inputs'!B160),12)=0))))),'Model inputs'!B136*'Model inputs'!B148*12,0),IF('Model inputs'!O42="","",'Model inputs'!O42))</f>
        <v>250</v>
      </c>
      <c r="P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inputs'!B858=FALSE,FALSE),FALSE,IF(IFERROR(MOD(('Model inputs'!P32-'Model inputs'!B160),12)=0=FALSE,FALSE),FALSE,IF(OR('Model inputs'!B858="",MOD(('Model inputs'!P32-'Model inputs'!B160),12)=0=""),"",AND('Model inputs'!B858,MOD(('Model inputs'!P32-'Model inputs'!B160),12)=0))))="",FALSE,IF(IFERROR('Model inputs'!B858=FALSE,FALSE),FALSE,IF(IFERROR(MOD(('Model inputs'!P32-'Model inputs'!B160),12)=0=FALSE,FALSE),FALSE,IF(OR('Model inputs'!B858="",MOD(('Model inputs'!P32-'Model inputs'!B160),12)=0=""),"",AND('Model inputs'!B858,MOD(('Model inputs'!P32-'Model inputs'!B160),12)=0))))),'Model inputs'!B136*'Model inputs'!B148*12,0),IF('Model inputs'!P42="","",'Model inputs'!P42))</f>
        <v>250</v>
      </c>
      <c r="Q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inputs'!B861=FALSE,FALSE),FALSE,IF(IFERROR(MOD(('Model inputs'!Q32-'Model inputs'!B160),12)=0=FALSE,FALSE),FALSE,IF(OR('Model inputs'!B861="",MOD(('Model inputs'!Q32-'Model inputs'!B160),12)=0=""),"",AND('Model inputs'!B861,MOD(('Model inputs'!Q32-'Model inputs'!B160),12)=0))))="",FALSE,IF(IFERROR('Model inputs'!B861=FALSE,FALSE),FALSE,IF(IFERROR(MOD(('Model inputs'!Q32-'Model inputs'!B160),12)=0=FALSE,FALSE),FALSE,IF(OR('Model inputs'!B861="",MOD(('Model inputs'!Q32-'Model inputs'!B160),12)=0=""),"",AND('Model inputs'!B861,MOD(('Model inputs'!Q32-'Model inputs'!B160),12)=0))))),'Model inputs'!B136*'Model inputs'!B148*12,0),IF('Model inputs'!Q42="","",'Model inputs'!Q42))</f>
        <v>250</v>
      </c>
      <c r="R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inputs'!B864=FALSE,FALSE),FALSE,IF(IFERROR(MOD(('Model inputs'!R32-'Model inputs'!B160),12)=0=FALSE,FALSE),FALSE,IF(OR('Model inputs'!B864="",MOD(('Model inputs'!R32-'Model inputs'!B160),12)=0=""),"",AND('Model inputs'!B864,MOD(('Model inputs'!R32-'Model inputs'!B160),12)=0))))="",FALSE,IF(IFERROR('Model inputs'!B864=FALSE,FALSE),FALSE,IF(IFERROR(MOD(('Model inputs'!R32-'Model inputs'!B160),12)=0=FALSE,FALSE),FALSE,IF(OR('Model inputs'!B864="",MOD(('Model inputs'!R32-'Model inputs'!B160),12)=0=""),"",AND('Model inputs'!B864,MOD(('Model inputs'!R32-'Model inputs'!B160),12)=0))))),'Model inputs'!B136*'Model inputs'!B148*12,0),IF('Model inputs'!R42="","",'Model inputs'!R42))</f>
        <v>250</v>
      </c>
      <c r="S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inputs'!B867=FALSE,FALSE),FALSE,IF(IFERROR(MOD(('Model inputs'!S32-'Model inputs'!B160),12)=0=FALSE,FALSE),FALSE,IF(OR('Model inputs'!B867="",MOD(('Model inputs'!S32-'Model inputs'!B160),12)=0=""),"",AND('Model inputs'!B867,MOD(('Model inputs'!S32-'Model inputs'!B160),12)=0))))="",FALSE,IF(IFERROR('Model inputs'!B867=FALSE,FALSE),FALSE,IF(IFERROR(MOD(('Model inputs'!S32-'Model inputs'!B160),12)=0=FALSE,FALSE),FALSE,IF(OR('Model inputs'!B867="",MOD(('Model inputs'!S32-'Model inputs'!B160),12)=0=""),"",AND('Model inputs'!B867,MOD(('Model inputs'!S32-'Model inputs'!B160),12)=0))))),'Model inputs'!B136*'Model inputs'!B148*12,0),IF('Model inputs'!S42="","",'Model inputs'!S42))</f>
        <v>250</v>
      </c>
      <c r="T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inputs'!B870=FALSE,FALSE),FALSE,IF(IFERROR(MOD(('Model inputs'!T32-'Model inputs'!B160),12)=0=FALSE,FALSE),FALSE,IF(OR('Model inputs'!B870="",MOD(('Model inputs'!T32-'Model inputs'!B160),12)=0=""),"",AND('Model inputs'!B870,MOD(('Model inputs'!T32-'Model inputs'!B160),12)=0))))="",FALSE,IF(IFERROR('Model inputs'!B870=FALSE,FALSE),FALSE,IF(IFERROR(MOD(('Model inputs'!T32-'Model inputs'!B160),12)=0=FALSE,FALSE),FALSE,IF(OR('Model inputs'!B870="",MOD(('Model inputs'!T32-'Model inputs'!B160),12)=0=""),"",AND('Model inputs'!B870,MOD(('Model inputs'!T32-'Model inputs'!B160),12)=0))))),'Model inputs'!B136*'Model inputs'!B148*12,0),IF('Model inputs'!T42="","",'Model inputs'!T42))</f>
        <v>250</v>
      </c>
      <c r="U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inputs'!B873=FALSE,FALSE),FALSE,IF(IFERROR(MOD(('Model inputs'!U32-'Model inputs'!B160),12)=0=FALSE,FALSE),FALSE,IF(OR('Model inputs'!B873="",MOD(('Model inputs'!U32-'Model inputs'!B160),12)=0=""),"",AND('Model inputs'!B873,MOD(('Model inputs'!U32-'Model inputs'!B160),12)=0))))="",FALSE,IF(IFERROR('Model inputs'!B873=FALSE,FALSE),FALSE,IF(IFERROR(MOD(('Model inputs'!U32-'Model inputs'!B160),12)=0=FALSE,FALSE),FALSE,IF(OR('Model inputs'!B873="",MOD(('Model inputs'!U32-'Model inputs'!B160),12)=0=""),"",AND('Model inputs'!B873,MOD(('Model inputs'!U32-'Model inputs'!B160),12)=0))))),'Model inputs'!B136*'Model inputs'!B148*12,0),IF('Model inputs'!U42="","",'Model inputs'!U42))</f>
        <v>250</v>
      </c>
      <c r="V54" s="9">
        <f>IF(IF(IF(ISERROR('Model inputs'!B96=1),'Model inputs'!B96=1,IF('Model inputs'!B96="","",'Model inputs'!B96=1))="",FALSE,IF(ISERROR('Model inputs'!B96=1),'Model inputs'!B96=1,IF('Model inputs'!B96="","",'Model inputs'!B96=1))),IF(IF(IF(IFERROR('Model inputs'!B876=FALSE,FALSE),FALSE,IF(IFERROR(MOD(('Model inputs'!V32-'Model inputs'!B160),12)=0=FALSE,FALSE),FALSE,IF(OR('Model inputs'!B876="",MOD(('Model inputs'!V32-'Model inputs'!B160),12)=0=""),"",AND('Model inputs'!B876,MOD(('Model inputs'!V32-'Model inputs'!B160),12)=0))))="",FALSE,IF(IFERROR('Model inputs'!B876=FALSE,FALSE),FALSE,IF(IFERROR(MOD(('Model inputs'!V32-'Model inputs'!B160),12)=0=FALSE,FALSE),FALSE,IF(OR('Model inputs'!B876="",MOD(('Model inputs'!V32-'Model inputs'!B160),12)=0=""),"",AND('Model inputs'!B876,MOD(('Model inputs'!V32-'Model inputs'!B160),12)=0))))),'Model inputs'!B136*'Model inputs'!B148*12,0),IF('Model inputs'!V42="","",'Model inputs'!V42))</f>
        <v>250</v>
      </c>
    </row>
    <row r="55" outlineLevel="1">
      <c r="A55" t="inlineStr" s="18">
        <is>
          <t xml:space="preserve">Opex cash paid &gt; Marketing: launch push</t>
        </is>
      </c>
      <c r="C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inputs'!B879=FALSE,FALSE),FALSE,IF(IFERROR(MOD(('Model inputs'!C32-'Model inputs'!B161),12)=0=FALSE,FALSE),FALSE,IF(OR('Model inputs'!B879="",MOD(('Model inputs'!C32-'Model inputs'!B161),12)=0=""),"",AND('Model inputs'!B879,MOD(('Model inputs'!C32-'Model inputs'!B161),12)=0))))="",FALSE,IF(IFERROR('Model inputs'!B879=FALSE,FALSE),FALSE,IF(IFERROR(MOD(('Model inputs'!C32-'Model inputs'!B161),12)=0=FALSE,FALSE),FALSE,IF(OR('Model inputs'!B879="",MOD(('Model inputs'!C32-'Model inputs'!B161),12)=0=""),"",AND('Model inputs'!B879,MOD(('Model inputs'!C32-'Model inputs'!B161),12)=0))))),'Model inputs'!B137*'Model inputs'!B149*12,0),IF('Model inputs'!C43="","",'Model inputs'!C43))</f>
        <v>0</v>
      </c>
      <c r="D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inputs'!B882=FALSE,FALSE),FALSE,IF(IFERROR(MOD(('Model inputs'!D32-'Model inputs'!B161),12)=0=FALSE,FALSE),FALSE,IF(OR('Model inputs'!B882="",MOD(('Model inputs'!D32-'Model inputs'!B161),12)=0=""),"",AND('Model inputs'!B882,MOD(('Model inputs'!D32-'Model inputs'!B161),12)=0))))="",FALSE,IF(IFERROR('Model inputs'!B882=FALSE,FALSE),FALSE,IF(IFERROR(MOD(('Model inputs'!D32-'Model inputs'!B161),12)=0=FALSE,FALSE),FALSE,IF(OR('Model inputs'!B882="",MOD(('Model inputs'!D32-'Model inputs'!B161),12)=0=""),"",AND('Model inputs'!B882,MOD(('Model inputs'!D32-'Model inputs'!B161),12)=0))))),'Model inputs'!B137*'Model inputs'!B149*12,0),IF('Model inputs'!D43="","",'Model inputs'!D43))</f>
        <v>0</v>
      </c>
      <c r="E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inputs'!B885=FALSE,FALSE),FALSE,IF(IFERROR(MOD(('Model inputs'!E32-'Model inputs'!B161),12)=0=FALSE,FALSE),FALSE,IF(OR('Model inputs'!B885="",MOD(('Model inputs'!E32-'Model inputs'!B161),12)=0=""),"",AND('Model inputs'!B885,MOD(('Model inputs'!E32-'Model inputs'!B161),12)=0))))="",FALSE,IF(IFERROR('Model inputs'!B885=FALSE,FALSE),FALSE,IF(IFERROR(MOD(('Model inputs'!E32-'Model inputs'!B161),12)=0=FALSE,FALSE),FALSE,IF(OR('Model inputs'!B885="",MOD(('Model inputs'!E32-'Model inputs'!B161),12)=0=""),"",AND('Model inputs'!B885,MOD(('Model inputs'!E32-'Model inputs'!B161),12)=0))))),'Model inputs'!B137*'Model inputs'!B149*12,0),IF('Model inputs'!E43="","",'Model inputs'!E43))</f>
        <v>0</v>
      </c>
      <c r="F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inputs'!B888=FALSE,FALSE),FALSE,IF(IFERROR(MOD(('Model inputs'!F32-'Model inputs'!B161),12)=0=FALSE,FALSE),FALSE,IF(OR('Model inputs'!B888="",MOD(('Model inputs'!F32-'Model inputs'!B161),12)=0=""),"",AND('Model inputs'!B888,MOD(('Model inputs'!F32-'Model inputs'!B161),12)=0))))="",FALSE,IF(IFERROR('Model inputs'!B888=FALSE,FALSE),FALSE,IF(IFERROR(MOD(('Model inputs'!F32-'Model inputs'!B161),12)=0=FALSE,FALSE),FALSE,IF(OR('Model inputs'!B888="",MOD(('Model inputs'!F32-'Model inputs'!B161),12)=0=""),"",AND('Model inputs'!B888,MOD(('Model inputs'!F32-'Model inputs'!B161),12)=0))))),'Model inputs'!B137*'Model inputs'!B149*12,0),IF('Model inputs'!F43="","",'Model inputs'!F43))</f>
        <v>350</v>
      </c>
      <c r="G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inputs'!B891=FALSE,FALSE),FALSE,IF(IFERROR(MOD(('Model inputs'!G32-'Model inputs'!B161),12)=0=FALSE,FALSE),FALSE,IF(OR('Model inputs'!B891="",MOD(('Model inputs'!G32-'Model inputs'!B161),12)=0=""),"",AND('Model inputs'!B891,MOD(('Model inputs'!G32-'Model inputs'!B161),12)=0))))="",FALSE,IF(IFERROR('Model inputs'!B891=FALSE,FALSE),FALSE,IF(IFERROR(MOD(('Model inputs'!G32-'Model inputs'!B161),12)=0=FALSE,FALSE),FALSE,IF(OR('Model inputs'!B891="",MOD(('Model inputs'!G32-'Model inputs'!B161),12)=0=""),"",AND('Model inputs'!B891,MOD(('Model inputs'!G32-'Model inputs'!B161),12)=0))))),'Model inputs'!B137*'Model inputs'!B149*12,0),IF('Model inputs'!G43="","",'Model inputs'!G43))</f>
        <v>350</v>
      </c>
      <c r="H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inputs'!B894=FALSE,FALSE),FALSE,IF(IFERROR(MOD(('Model inputs'!H32-'Model inputs'!B161),12)=0=FALSE,FALSE),FALSE,IF(OR('Model inputs'!B894="",MOD(('Model inputs'!H32-'Model inputs'!B161),12)=0=""),"",AND('Model inputs'!B894,MOD(('Model inputs'!H32-'Model inputs'!B161),12)=0))))="",FALSE,IF(IFERROR('Model inputs'!B894=FALSE,FALSE),FALSE,IF(IFERROR(MOD(('Model inputs'!H32-'Model inputs'!B161),12)=0=FALSE,FALSE),FALSE,IF(OR('Model inputs'!B894="",MOD(('Model inputs'!H32-'Model inputs'!B161),12)=0=""),"",AND('Model inputs'!B894,MOD(('Model inputs'!H32-'Model inputs'!B161),12)=0))))),'Model inputs'!B137*'Model inputs'!B149*12,0),IF('Model inputs'!H43="","",'Model inputs'!H43))</f>
        <v>0</v>
      </c>
      <c r="I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inputs'!B897=FALSE,FALSE),FALSE,IF(IFERROR(MOD(('Model inputs'!I32-'Model inputs'!B161),12)=0=FALSE,FALSE),FALSE,IF(OR('Model inputs'!B897="",MOD(('Model inputs'!I32-'Model inputs'!B161),12)=0=""),"",AND('Model inputs'!B897,MOD(('Model inputs'!I32-'Model inputs'!B161),12)=0))))="",FALSE,IF(IFERROR('Model inputs'!B897=FALSE,FALSE),FALSE,IF(IFERROR(MOD(('Model inputs'!I32-'Model inputs'!B161),12)=0=FALSE,FALSE),FALSE,IF(OR('Model inputs'!B897="",MOD(('Model inputs'!I32-'Model inputs'!B161),12)=0=""),"",AND('Model inputs'!B897,MOD(('Model inputs'!I32-'Model inputs'!B161),12)=0))))),'Model inputs'!B137*'Model inputs'!B149*12,0),IF('Model inputs'!I43="","",'Model inputs'!I43))</f>
        <v>0</v>
      </c>
      <c r="J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inputs'!B900=FALSE,FALSE),FALSE,IF(IFERROR(MOD(('Model inputs'!J32-'Model inputs'!B161),12)=0=FALSE,FALSE),FALSE,IF(OR('Model inputs'!B900="",MOD(('Model inputs'!J32-'Model inputs'!B161),12)=0=""),"",AND('Model inputs'!B900,MOD(('Model inputs'!J32-'Model inputs'!B161),12)=0))))="",FALSE,IF(IFERROR('Model inputs'!B900=FALSE,FALSE),FALSE,IF(IFERROR(MOD(('Model inputs'!J32-'Model inputs'!B161),12)=0=FALSE,FALSE),FALSE,IF(OR('Model inputs'!B900="",MOD(('Model inputs'!J32-'Model inputs'!B161),12)=0=""),"",AND('Model inputs'!B900,MOD(('Model inputs'!J32-'Model inputs'!B161),12)=0))))),'Model inputs'!B137*'Model inputs'!B149*12,0),IF('Model inputs'!J43="","",'Model inputs'!J43))</f>
        <v>0</v>
      </c>
      <c r="K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inputs'!B903=FALSE,FALSE),FALSE,IF(IFERROR(MOD(('Model inputs'!K32-'Model inputs'!B161),12)=0=FALSE,FALSE),FALSE,IF(OR('Model inputs'!B903="",MOD(('Model inputs'!K32-'Model inputs'!B161),12)=0=""),"",AND('Model inputs'!B903,MOD(('Model inputs'!K32-'Model inputs'!B161),12)=0))))="",FALSE,IF(IFERROR('Model inputs'!B903=FALSE,FALSE),FALSE,IF(IFERROR(MOD(('Model inputs'!K32-'Model inputs'!B161),12)=0=FALSE,FALSE),FALSE,IF(OR('Model inputs'!B903="",MOD(('Model inputs'!K32-'Model inputs'!B161),12)=0=""),"",AND('Model inputs'!B903,MOD(('Model inputs'!K32-'Model inputs'!B161),12)=0))))),'Model inputs'!B137*'Model inputs'!B149*12,0),IF('Model inputs'!K43="","",'Model inputs'!K43))</f>
        <v>0</v>
      </c>
      <c r="L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inputs'!B906=FALSE,FALSE),FALSE,IF(IFERROR(MOD(('Model inputs'!L32-'Model inputs'!B161),12)=0=FALSE,FALSE),FALSE,IF(OR('Model inputs'!B906="",MOD(('Model inputs'!L32-'Model inputs'!B161),12)=0=""),"",AND('Model inputs'!B906,MOD(('Model inputs'!L32-'Model inputs'!B161),12)=0))))="",FALSE,IF(IFERROR('Model inputs'!B906=FALSE,FALSE),FALSE,IF(IFERROR(MOD(('Model inputs'!L32-'Model inputs'!B161),12)=0=FALSE,FALSE),FALSE,IF(OR('Model inputs'!B906="",MOD(('Model inputs'!L32-'Model inputs'!B161),12)=0=""),"",AND('Model inputs'!B906,MOD(('Model inputs'!L32-'Model inputs'!B161),12)=0))))),'Model inputs'!B137*'Model inputs'!B149*12,0),IF('Model inputs'!L43="","",'Model inputs'!L43))</f>
        <v>0</v>
      </c>
      <c r="M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inputs'!B909=FALSE,FALSE),FALSE,IF(IFERROR(MOD(('Model inputs'!M32-'Model inputs'!B161),12)=0=FALSE,FALSE),FALSE,IF(OR('Model inputs'!B909="",MOD(('Model inputs'!M32-'Model inputs'!B161),12)=0=""),"",AND('Model inputs'!B909,MOD(('Model inputs'!M32-'Model inputs'!B161),12)=0))))="",FALSE,IF(IFERROR('Model inputs'!B909=FALSE,FALSE),FALSE,IF(IFERROR(MOD(('Model inputs'!M32-'Model inputs'!B161),12)=0=FALSE,FALSE),FALSE,IF(OR('Model inputs'!B909="",MOD(('Model inputs'!M32-'Model inputs'!B161),12)=0=""),"",AND('Model inputs'!B909,MOD(('Model inputs'!M32-'Model inputs'!B161),12)=0))))),'Model inputs'!B137*'Model inputs'!B149*12,0),IF('Model inputs'!M43="","",'Model inputs'!M43))</f>
        <v>0</v>
      </c>
      <c r="N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inputs'!B912=FALSE,FALSE),FALSE,IF(IFERROR(MOD(('Model inputs'!N32-'Model inputs'!B161),12)=0=FALSE,FALSE),FALSE,IF(OR('Model inputs'!B912="",MOD(('Model inputs'!N32-'Model inputs'!B161),12)=0=""),"",AND('Model inputs'!B912,MOD(('Model inputs'!N32-'Model inputs'!B161),12)=0))))="",FALSE,IF(IFERROR('Model inputs'!B912=FALSE,FALSE),FALSE,IF(IFERROR(MOD(('Model inputs'!N32-'Model inputs'!B161),12)=0=FALSE,FALSE),FALSE,IF(OR('Model inputs'!B912="",MOD(('Model inputs'!N32-'Model inputs'!B161),12)=0=""),"",AND('Model inputs'!B912,MOD(('Model inputs'!N32-'Model inputs'!B161),12)=0))))),'Model inputs'!B137*'Model inputs'!B149*12,0),IF('Model inputs'!N43="","",'Model inputs'!N43))</f>
        <v>0</v>
      </c>
      <c r="O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inputs'!B915=FALSE,FALSE),FALSE,IF(IFERROR(MOD(('Model inputs'!O32-'Model inputs'!B161),12)=0=FALSE,FALSE),FALSE,IF(OR('Model inputs'!B915="",MOD(('Model inputs'!O32-'Model inputs'!B161),12)=0=""),"",AND('Model inputs'!B915,MOD(('Model inputs'!O32-'Model inputs'!B161),12)=0))))="",FALSE,IF(IFERROR('Model inputs'!B915=FALSE,FALSE),FALSE,IF(IFERROR(MOD(('Model inputs'!O32-'Model inputs'!B161),12)=0=FALSE,FALSE),FALSE,IF(OR('Model inputs'!B915="",MOD(('Model inputs'!O32-'Model inputs'!B161),12)=0=""),"",AND('Model inputs'!B915,MOD(('Model inputs'!O32-'Model inputs'!B161),12)=0))))),'Model inputs'!B137*'Model inputs'!B149*12,0),IF('Model inputs'!O43="","",'Model inputs'!O43))</f>
        <v>0</v>
      </c>
      <c r="P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inputs'!B918=FALSE,FALSE),FALSE,IF(IFERROR(MOD(('Model inputs'!P32-'Model inputs'!B161),12)=0=FALSE,FALSE),FALSE,IF(OR('Model inputs'!B918="",MOD(('Model inputs'!P32-'Model inputs'!B161),12)=0=""),"",AND('Model inputs'!B918,MOD(('Model inputs'!P32-'Model inputs'!B161),12)=0))))="",FALSE,IF(IFERROR('Model inputs'!B918=FALSE,FALSE),FALSE,IF(IFERROR(MOD(('Model inputs'!P32-'Model inputs'!B161),12)=0=FALSE,FALSE),FALSE,IF(OR('Model inputs'!B918="",MOD(('Model inputs'!P32-'Model inputs'!B161),12)=0=""),"",AND('Model inputs'!B918,MOD(('Model inputs'!P32-'Model inputs'!B161),12)=0))))),'Model inputs'!B137*'Model inputs'!B149*12,0),IF('Model inputs'!P43="","",'Model inputs'!P43))</f>
        <v>0</v>
      </c>
      <c r="Q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inputs'!B921=FALSE,FALSE),FALSE,IF(IFERROR(MOD(('Model inputs'!Q32-'Model inputs'!B161),12)=0=FALSE,FALSE),FALSE,IF(OR('Model inputs'!B921="",MOD(('Model inputs'!Q32-'Model inputs'!B161),12)=0=""),"",AND('Model inputs'!B921,MOD(('Model inputs'!Q32-'Model inputs'!B161),12)=0))))="",FALSE,IF(IFERROR('Model inputs'!B921=FALSE,FALSE),FALSE,IF(IFERROR(MOD(('Model inputs'!Q32-'Model inputs'!B161),12)=0=FALSE,FALSE),FALSE,IF(OR('Model inputs'!B921="",MOD(('Model inputs'!Q32-'Model inputs'!B161),12)=0=""),"",AND('Model inputs'!B921,MOD(('Model inputs'!Q32-'Model inputs'!B161),12)=0))))),'Model inputs'!B137*'Model inputs'!B149*12,0),IF('Model inputs'!Q43="","",'Model inputs'!Q43))</f>
        <v>0</v>
      </c>
      <c r="R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inputs'!B924=FALSE,FALSE),FALSE,IF(IFERROR(MOD(('Model inputs'!R32-'Model inputs'!B161),12)=0=FALSE,FALSE),FALSE,IF(OR('Model inputs'!B924="",MOD(('Model inputs'!R32-'Model inputs'!B161),12)=0=""),"",AND('Model inputs'!B924,MOD(('Model inputs'!R32-'Model inputs'!B161),12)=0))))="",FALSE,IF(IFERROR('Model inputs'!B924=FALSE,FALSE),FALSE,IF(IFERROR(MOD(('Model inputs'!R32-'Model inputs'!B161),12)=0=FALSE,FALSE),FALSE,IF(OR('Model inputs'!B924="",MOD(('Model inputs'!R32-'Model inputs'!B161),12)=0=""),"",AND('Model inputs'!B924,MOD(('Model inputs'!R32-'Model inputs'!B161),12)=0))))),'Model inputs'!B137*'Model inputs'!B149*12,0),IF('Model inputs'!R43="","",'Model inputs'!R43))</f>
        <v>0</v>
      </c>
      <c r="S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inputs'!B927=FALSE,FALSE),FALSE,IF(IFERROR(MOD(('Model inputs'!S32-'Model inputs'!B161),12)=0=FALSE,FALSE),FALSE,IF(OR('Model inputs'!B927="",MOD(('Model inputs'!S32-'Model inputs'!B161),12)=0=""),"",AND('Model inputs'!B927,MOD(('Model inputs'!S32-'Model inputs'!B161),12)=0))))="",FALSE,IF(IFERROR('Model inputs'!B927=FALSE,FALSE),FALSE,IF(IFERROR(MOD(('Model inputs'!S32-'Model inputs'!B161),12)=0=FALSE,FALSE),FALSE,IF(OR('Model inputs'!B927="",MOD(('Model inputs'!S32-'Model inputs'!B161),12)=0=""),"",AND('Model inputs'!B927,MOD(('Model inputs'!S32-'Model inputs'!B161),12)=0))))),'Model inputs'!B137*'Model inputs'!B149*12,0),IF('Model inputs'!S43="","",'Model inputs'!S43))</f>
        <v>0</v>
      </c>
      <c r="T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inputs'!B930=FALSE,FALSE),FALSE,IF(IFERROR(MOD(('Model inputs'!T32-'Model inputs'!B161),12)=0=FALSE,FALSE),FALSE,IF(OR('Model inputs'!B930="",MOD(('Model inputs'!T32-'Model inputs'!B161),12)=0=""),"",AND('Model inputs'!B930,MOD(('Model inputs'!T32-'Model inputs'!B161),12)=0))))="",FALSE,IF(IFERROR('Model inputs'!B930=FALSE,FALSE),FALSE,IF(IFERROR(MOD(('Model inputs'!T32-'Model inputs'!B161),12)=0=FALSE,FALSE),FALSE,IF(OR('Model inputs'!B930="",MOD(('Model inputs'!T32-'Model inputs'!B161),12)=0=""),"",AND('Model inputs'!B930,MOD(('Model inputs'!T32-'Model inputs'!B161),12)=0))))),'Model inputs'!B137*'Model inputs'!B149*12,0),IF('Model inputs'!T43="","",'Model inputs'!T43))</f>
        <v>0</v>
      </c>
      <c r="U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inputs'!B933=FALSE,FALSE),FALSE,IF(IFERROR(MOD(('Model inputs'!U32-'Model inputs'!B161),12)=0=FALSE,FALSE),FALSE,IF(OR('Model inputs'!B933="",MOD(('Model inputs'!U32-'Model inputs'!B161),12)=0=""),"",AND('Model inputs'!B933,MOD(('Model inputs'!U32-'Model inputs'!B161),12)=0))))="",FALSE,IF(IFERROR('Model inputs'!B933=FALSE,FALSE),FALSE,IF(IFERROR(MOD(('Model inputs'!U32-'Model inputs'!B161),12)=0=FALSE,FALSE),FALSE,IF(OR('Model inputs'!B933="",MOD(('Model inputs'!U32-'Model inputs'!B161),12)=0=""),"",AND('Model inputs'!B933,MOD(('Model inputs'!U32-'Model inputs'!B161),12)=0))))),'Model inputs'!B137*'Model inputs'!B149*12,0),IF('Model inputs'!U43="","",'Model inputs'!U43))</f>
        <v>0</v>
      </c>
      <c r="V55" s="9">
        <f>IF(IF(IF(ISERROR('Model inputs'!B97=1),'Model inputs'!B97=1,IF('Model inputs'!B97="","",'Model inputs'!B97=1))="",FALSE,IF(ISERROR('Model inputs'!B97=1),'Model inputs'!B97=1,IF('Model inputs'!B97="","",'Model inputs'!B97=1))),IF(IF(IF(IFERROR('Model inputs'!B936=FALSE,FALSE),FALSE,IF(IFERROR(MOD(('Model inputs'!V32-'Model inputs'!B161),12)=0=FALSE,FALSE),FALSE,IF(OR('Model inputs'!B936="",MOD(('Model inputs'!V32-'Model inputs'!B161),12)=0=""),"",AND('Model inputs'!B936,MOD(('Model inputs'!V32-'Model inputs'!B161),12)=0))))="",FALSE,IF(IFERROR('Model inputs'!B936=FALSE,FALSE),FALSE,IF(IFERROR(MOD(('Model inputs'!V32-'Model inputs'!B161),12)=0=FALSE,FALSE),FALSE,IF(OR('Model inputs'!B936="",MOD(('Model inputs'!V32-'Model inputs'!B161),12)=0=""),"",AND('Model inputs'!B936,MOD(('Model inputs'!V32-'Model inputs'!B161),12)=0))))),'Model inputs'!B137*'Model inputs'!B149*12,0),IF('Model inputs'!V43="","",'Model inputs'!V43))</f>
        <v>0</v>
      </c>
    </row>
    <row r="56" outlineLevel="1">
      <c r="A56" t="inlineStr" s="18">
        <is>
          <t xml:space="preserve">Opex cash paid &gt; cfo.ai Startup</t>
        </is>
      </c>
      <c r="C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inputs'!B939=FALSE,FALSE),FALSE,IF(IFERROR(MOD(('Model inputs'!C32-'Model inputs'!B162),12)=0=FALSE,FALSE),FALSE,IF(OR('Model inputs'!B939="",MOD(('Model inputs'!C32-'Model inputs'!B162),12)=0=""),"",AND('Model inputs'!B939,MOD(('Model inputs'!C32-'Model inputs'!B162),12)=0))))="",FALSE,IF(IFERROR('Model inputs'!B939=FALSE,FALSE),FALSE,IF(IFERROR(MOD(('Model inputs'!C32-'Model inputs'!B162),12)=0=FALSE,FALSE),FALSE,IF(OR('Model inputs'!B939="",MOD(('Model inputs'!C32-'Model inputs'!B162),12)=0=""),"",AND('Model inputs'!B939,MOD(('Model inputs'!C32-'Model inputs'!B162),12)=0))))),'Model inputs'!B138*'Model inputs'!B150*12,0),IF('Model inputs'!C44="","",'Model inputs'!C44))</f>
        <v>0</v>
      </c>
      <c r="D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inputs'!B942=FALSE,FALSE),FALSE,IF(IFERROR(MOD(('Model inputs'!D32-'Model inputs'!B162),12)=0=FALSE,FALSE),FALSE,IF(OR('Model inputs'!B942="",MOD(('Model inputs'!D32-'Model inputs'!B162),12)=0=""),"",AND('Model inputs'!B942,MOD(('Model inputs'!D32-'Model inputs'!B162),12)=0))))="",FALSE,IF(IFERROR('Model inputs'!B942=FALSE,FALSE),FALSE,IF(IFERROR(MOD(('Model inputs'!D32-'Model inputs'!B162),12)=0=FALSE,FALSE),FALSE,IF(OR('Model inputs'!B942="",MOD(('Model inputs'!D32-'Model inputs'!B162),12)=0=""),"",AND('Model inputs'!B942,MOD(('Model inputs'!D32-'Model inputs'!B162),12)=0))))),'Model inputs'!B138*'Model inputs'!B150*12,0),IF('Model inputs'!D44="","",'Model inputs'!D44))</f>
        <v>0</v>
      </c>
      <c r="E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inputs'!B945=FALSE,FALSE),FALSE,IF(IFERROR(MOD(('Model inputs'!E32-'Model inputs'!B162),12)=0=FALSE,FALSE),FALSE,IF(OR('Model inputs'!B945="",MOD(('Model inputs'!E32-'Model inputs'!B162),12)=0=""),"",AND('Model inputs'!B945,MOD(('Model inputs'!E32-'Model inputs'!B162),12)=0))))="",FALSE,IF(IFERROR('Model inputs'!B945=FALSE,FALSE),FALSE,IF(IFERROR(MOD(('Model inputs'!E32-'Model inputs'!B162),12)=0=FALSE,FALSE),FALSE,IF(OR('Model inputs'!B945="",MOD(('Model inputs'!E32-'Model inputs'!B162),12)=0=""),"",AND('Model inputs'!B945,MOD(('Model inputs'!E32-'Model inputs'!B162),12)=0))))),'Model inputs'!B138*'Model inputs'!B150*12,0),IF('Model inputs'!E44="","",'Model inputs'!E44))</f>
        <v>4500</v>
      </c>
      <c r="F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inputs'!B948=FALSE,FALSE),FALSE,IF(IFERROR(MOD(('Model inputs'!F32-'Model inputs'!B162),12)=0=FALSE,FALSE),FALSE,IF(OR('Model inputs'!B948="",MOD(('Model inputs'!F32-'Model inputs'!B162),12)=0=""),"",AND('Model inputs'!B948,MOD(('Model inputs'!F32-'Model inputs'!B162),12)=0))))="",FALSE,IF(IFERROR('Model inputs'!B948=FALSE,FALSE),FALSE,IF(IFERROR(MOD(('Model inputs'!F32-'Model inputs'!B162),12)=0=FALSE,FALSE),FALSE,IF(OR('Model inputs'!B948="",MOD(('Model inputs'!F32-'Model inputs'!B162),12)=0=""),"",AND('Model inputs'!B948,MOD(('Model inputs'!F32-'Model inputs'!B162),12)=0))))),'Model inputs'!B138*'Model inputs'!B150*12,0),IF('Model inputs'!F44="","",'Model inputs'!F44))</f>
        <v>0</v>
      </c>
      <c r="G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inputs'!B951=FALSE,FALSE),FALSE,IF(IFERROR(MOD(('Model inputs'!G32-'Model inputs'!B162),12)=0=FALSE,FALSE),FALSE,IF(OR('Model inputs'!B951="",MOD(('Model inputs'!G32-'Model inputs'!B162),12)=0=""),"",AND('Model inputs'!B951,MOD(('Model inputs'!G32-'Model inputs'!B162),12)=0))))="",FALSE,IF(IFERROR('Model inputs'!B951=FALSE,FALSE),FALSE,IF(IFERROR(MOD(('Model inputs'!G32-'Model inputs'!B162),12)=0=FALSE,FALSE),FALSE,IF(OR('Model inputs'!B951="",MOD(('Model inputs'!G32-'Model inputs'!B162),12)=0=""),"",AND('Model inputs'!B951,MOD(('Model inputs'!G32-'Model inputs'!B162),12)=0))))),'Model inputs'!B138*'Model inputs'!B150*12,0),IF('Model inputs'!G44="","",'Model inputs'!G44))</f>
        <v>0</v>
      </c>
      <c r="H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inputs'!B954=FALSE,FALSE),FALSE,IF(IFERROR(MOD(('Model inputs'!H32-'Model inputs'!B162),12)=0=FALSE,FALSE),FALSE,IF(OR('Model inputs'!B954="",MOD(('Model inputs'!H32-'Model inputs'!B162),12)=0=""),"",AND('Model inputs'!B954,MOD(('Model inputs'!H32-'Model inputs'!B162),12)=0))))="",FALSE,IF(IFERROR('Model inputs'!B954=FALSE,FALSE),FALSE,IF(IFERROR(MOD(('Model inputs'!H32-'Model inputs'!B162),12)=0=FALSE,FALSE),FALSE,IF(OR('Model inputs'!B954="",MOD(('Model inputs'!H32-'Model inputs'!B162),12)=0=""),"",AND('Model inputs'!B954,MOD(('Model inputs'!H32-'Model inputs'!B162),12)=0))))),'Model inputs'!B138*'Model inputs'!B150*12,0),IF('Model inputs'!H44="","",'Model inputs'!H44))</f>
        <v>0</v>
      </c>
      <c r="I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inputs'!B957=FALSE,FALSE),FALSE,IF(IFERROR(MOD(('Model inputs'!I32-'Model inputs'!B162),12)=0=FALSE,FALSE),FALSE,IF(OR('Model inputs'!B957="",MOD(('Model inputs'!I32-'Model inputs'!B162),12)=0=""),"",AND('Model inputs'!B957,MOD(('Model inputs'!I32-'Model inputs'!B162),12)=0))))="",FALSE,IF(IFERROR('Model inputs'!B957=FALSE,FALSE),FALSE,IF(IFERROR(MOD(('Model inputs'!I32-'Model inputs'!B162),12)=0=FALSE,FALSE),FALSE,IF(OR('Model inputs'!B957="",MOD(('Model inputs'!I32-'Model inputs'!B162),12)=0=""),"",AND('Model inputs'!B957,MOD(('Model inputs'!I32-'Model inputs'!B162),12)=0))))),'Model inputs'!B138*'Model inputs'!B150*12,0),IF('Model inputs'!I44="","",'Model inputs'!I44))</f>
        <v>0</v>
      </c>
      <c r="J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inputs'!B960=FALSE,FALSE),FALSE,IF(IFERROR(MOD(('Model inputs'!J32-'Model inputs'!B162),12)=0=FALSE,FALSE),FALSE,IF(OR('Model inputs'!B960="",MOD(('Model inputs'!J32-'Model inputs'!B162),12)=0=""),"",AND('Model inputs'!B960,MOD(('Model inputs'!J32-'Model inputs'!B162),12)=0))))="",FALSE,IF(IFERROR('Model inputs'!B960=FALSE,FALSE),FALSE,IF(IFERROR(MOD(('Model inputs'!J32-'Model inputs'!B162),12)=0=FALSE,FALSE),FALSE,IF(OR('Model inputs'!B960="",MOD(('Model inputs'!J32-'Model inputs'!B162),12)=0=""),"",AND('Model inputs'!B960,MOD(('Model inputs'!J32-'Model inputs'!B162),12)=0))))),'Model inputs'!B138*'Model inputs'!B150*12,0),IF('Model inputs'!J44="","",'Model inputs'!J44))</f>
        <v>0</v>
      </c>
      <c r="K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inputs'!B963=FALSE,FALSE),FALSE,IF(IFERROR(MOD(('Model inputs'!K32-'Model inputs'!B162),12)=0=FALSE,FALSE),FALSE,IF(OR('Model inputs'!B963="",MOD(('Model inputs'!K32-'Model inputs'!B162),12)=0=""),"",AND('Model inputs'!B963,MOD(('Model inputs'!K32-'Model inputs'!B162),12)=0))))="",FALSE,IF(IFERROR('Model inputs'!B963=FALSE,FALSE),FALSE,IF(IFERROR(MOD(('Model inputs'!K32-'Model inputs'!B162),12)=0=FALSE,FALSE),FALSE,IF(OR('Model inputs'!B963="",MOD(('Model inputs'!K32-'Model inputs'!B162),12)=0=""),"",AND('Model inputs'!B963,MOD(('Model inputs'!K32-'Model inputs'!B162),12)=0))))),'Model inputs'!B138*'Model inputs'!B150*12,0),IF('Model inputs'!K44="","",'Model inputs'!K44))</f>
        <v>0</v>
      </c>
      <c r="L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inputs'!B966=FALSE,FALSE),FALSE,IF(IFERROR(MOD(('Model inputs'!L32-'Model inputs'!B162),12)=0=FALSE,FALSE),FALSE,IF(OR('Model inputs'!B966="",MOD(('Model inputs'!L32-'Model inputs'!B162),12)=0=""),"",AND('Model inputs'!B966,MOD(('Model inputs'!L32-'Model inputs'!B162),12)=0))))="",FALSE,IF(IFERROR('Model inputs'!B966=FALSE,FALSE),FALSE,IF(IFERROR(MOD(('Model inputs'!L32-'Model inputs'!B162),12)=0=FALSE,FALSE),FALSE,IF(OR('Model inputs'!B966="",MOD(('Model inputs'!L32-'Model inputs'!B162),12)=0=""),"",AND('Model inputs'!B966,MOD(('Model inputs'!L32-'Model inputs'!B162),12)=0))))),'Model inputs'!B138*'Model inputs'!B150*12,0),IF('Model inputs'!L44="","",'Model inputs'!L44))</f>
        <v>0</v>
      </c>
      <c r="M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inputs'!B969=FALSE,FALSE),FALSE,IF(IFERROR(MOD(('Model inputs'!M32-'Model inputs'!B162),12)=0=FALSE,FALSE),FALSE,IF(OR('Model inputs'!B969="",MOD(('Model inputs'!M32-'Model inputs'!B162),12)=0=""),"",AND('Model inputs'!B969,MOD(('Model inputs'!M32-'Model inputs'!B162),12)=0))))="",FALSE,IF(IFERROR('Model inputs'!B969=FALSE,FALSE),FALSE,IF(IFERROR(MOD(('Model inputs'!M32-'Model inputs'!B162),12)=0=FALSE,FALSE),FALSE,IF(OR('Model inputs'!B969="",MOD(('Model inputs'!M32-'Model inputs'!B162),12)=0=""),"",AND('Model inputs'!B969,MOD(('Model inputs'!M32-'Model inputs'!B162),12)=0))))),'Model inputs'!B138*'Model inputs'!B150*12,0),IF('Model inputs'!M44="","",'Model inputs'!M44))</f>
        <v>0</v>
      </c>
      <c r="N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inputs'!B972=FALSE,FALSE),FALSE,IF(IFERROR(MOD(('Model inputs'!N32-'Model inputs'!B162),12)=0=FALSE,FALSE),FALSE,IF(OR('Model inputs'!B972="",MOD(('Model inputs'!N32-'Model inputs'!B162),12)=0=""),"",AND('Model inputs'!B972,MOD(('Model inputs'!N32-'Model inputs'!B162),12)=0))))="",FALSE,IF(IFERROR('Model inputs'!B972=FALSE,FALSE),FALSE,IF(IFERROR(MOD(('Model inputs'!N32-'Model inputs'!B162),12)=0=FALSE,FALSE),FALSE,IF(OR('Model inputs'!B972="",MOD(('Model inputs'!N32-'Model inputs'!B162),12)=0=""),"",AND('Model inputs'!B972,MOD(('Model inputs'!N32-'Model inputs'!B162),12)=0))))),'Model inputs'!B138*'Model inputs'!B150*12,0),IF('Model inputs'!N44="","",'Model inputs'!N44))</f>
        <v>0</v>
      </c>
      <c r="O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inputs'!B975=FALSE,FALSE),FALSE,IF(IFERROR(MOD(('Model inputs'!O32-'Model inputs'!B162),12)=0=FALSE,FALSE),FALSE,IF(OR('Model inputs'!B975="",MOD(('Model inputs'!O32-'Model inputs'!B162),12)=0=""),"",AND('Model inputs'!B975,MOD(('Model inputs'!O32-'Model inputs'!B162),12)=0))))="",FALSE,IF(IFERROR('Model inputs'!B975=FALSE,FALSE),FALSE,IF(IFERROR(MOD(('Model inputs'!O32-'Model inputs'!B162),12)=0=FALSE,FALSE),FALSE,IF(OR('Model inputs'!B975="",MOD(('Model inputs'!O32-'Model inputs'!B162),12)=0=""),"",AND('Model inputs'!B975,MOD(('Model inputs'!O32-'Model inputs'!B162),12)=0))))),'Model inputs'!B138*'Model inputs'!B150*12,0),IF('Model inputs'!O44="","",'Model inputs'!O44))</f>
        <v>0</v>
      </c>
      <c r="P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inputs'!B978=FALSE,FALSE),FALSE,IF(IFERROR(MOD(('Model inputs'!P32-'Model inputs'!B162),12)=0=FALSE,FALSE),FALSE,IF(OR('Model inputs'!B978="",MOD(('Model inputs'!P32-'Model inputs'!B162),12)=0=""),"",AND('Model inputs'!B978,MOD(('Model inputs'!P32-'Model inputs'!B162),12)=0))))="",FALSE,IF(IFERROR('Model inputs'!B978=FALSE,FALSE),FALSE,IF(IFERROR(MOD(('Model inputs'!P32-'Model inputs'!B162),12)=0=FALSE,FALSE),FALSE,IF(OR('Model inputs'!B978="",MOD(('Model inputs'!P32-'Model inputs'!B162),12)=0=""),"",AND('Model inputs'!B978,MOD(('Model inputs'!P32-'Model inputs'!B162),12)=0))))),'Model inputs'!B138*'Model inputs'!B150*12,0),IF('Model inputs'!P44="","",'Model inputs'!P44))</f>
        <v>0</v>
      </c>
      <c r="Q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inputs'!B981=FALSE,FALSE),FALSE,IF(IFERROR(MOD(('Model inputs'!Q32-'Model inputs'!B162),12)=0=FALSE,FALSE),FALSE,IF(OR('Model inputs'!B981="",MOD(('Model inputs'!Q32-'Model inputs'!B162),12)=0=""),"",AND('Model inputs'!B981,MOD(('Model inputs'!Q32-'Model inputs'!B162),12)=0))))="",FALSE,IF(IFERROR('Model inputs'!B981=FALSE,FALSE),FALSE,IF(IFERROR(MOD(('Model inputs'!Q32-'Model inputs'!B162),12)=0=FALSE,FALSE),FALSE,IF(OR('Model inputs'!B981="",MOD(('Model inputs'!Q32-'Model inputs'!B162),12)=0=""),"",AND('Model inputs'!B981,MOD(('Model inputs'!Q32-'Model inputs'!B162),12)=0))))),'Model inputs'!B138*'Model inputs'!B150*12,0),IF('Model inputs'!Q44="","",'Model inputs'!Q44))</f>
        <v>4500</v>
      </c>
      <c r="R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inputs'!B984=FALSE,FALSE),FALSE,IF(IFERROR(MOD(('Model inputs'!R32-'Model inputs'!B162),12)=0=FALSE,FALSE),FALSE,IF(OR('Model inputs'!B984="",MOD(('Model inputs'!R32-'Model inputs'!B162),12)=0=""),"",AND('Model inputs'!B984,MOD(('Model inputs'!R32-'Model inputs'!B162),12)=0))))="",FALSE,IF(IFERROR('Model inputs'!B984=FALSE,FALSE),FALSE,IF(IFERROR(MOD(('Model inputs'!R32-'Model inputs'!B162),12)=0=FALSE,FALSE),FALSE,IF(OR('Model inputs'!B984="",MOD(('Model inputs'!R32-'Model inputs'!B162),12)=0=""),"",AND('Model inputs'!B984,MOD(('Model inputs'!R32-'Model inputs'!B162),12)=0))))),'Model inputs'!B138*'Model inputs'!B150*12,0),IF('Model inputs'!R44="","",'Model inputs'!R44))</f>
        <v>0</v>
      </c>
      <c r="S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inputs'!B987=FALSE,FALSE),FALSE,IF(IFERROR(MOD(('Model inputs'!S32-'Model inputs'!B162),12)=0=FALSE,FALSE),FALSE,IF(OR('Model inputs'!B987="",MOD(('Model inputs'!S32-'Model inputs'!B162),12)=0=""),"",AND('Model inputs'!B987,MOD(('Model inputs'!S32-'Model inputs'!B162),12)=0))))="",FALSE,IF(IFERROR('Model inputs'!B987=FALSE,FALSE),FALSE,IF(IFERROR(MOD(('Model inputs'!S32-'Model inputs'!B162),12)=0=FALSE,FALSE),FALSE,IF(OR('Model inputs'!B987="",MOD(('Model inputs'!S32-'Model inputs'!B162),12)=0=""),"",AND('Model inputs'!B987,MOD(('Model inputs'!S32-'Model inputs'!B162),12)=0))))),'Model inputs'!B138*'Model inputs'!B150*12,0),IF('Model inputs'!S44="","",'Model inputs'!S44))</f>
        <v>0</v>
      </c>
      <c r="T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inputs'!B990=FALSE,FALSE),FALSE,IF(IFERROR(MOD(('Model inputs'!T32-'Model inputs'!B162),12)=0=FALSE,FALSE),FALSE,IF(OR('Model inputs'!B990="",MOD(('Model inputs'!T32-'Model inputs'!B162),12)=0=""),"",AND('Model inputs'!B990,MOD(('Model inputs'!T32-'Model inputs'!B162),12)=0))))="",FALSE,IF(IFERROR('Model inputs'!B990=FALSE,FALSE),FALSE,IF(IFERROR(MOD(('Model inputs'!T32-'Model inputs'!B162),12)=0=FALSE,FALSE),FALSE,IF(OR('Model inputs'!B990="",MOD(('Model inputs'!T32-'Model inputs'!B162),12)=0=""),"",AND('Model inputs'!B990,MOD(('Model inputs'!T32-'Model inputs'!B162),12)=0))))),'Model inputs'!B138*'Model inputs'!B150*12,0),IF('Model inputs'!T44="","",'Model inputs'!T44))</f>
        <v>0</v>
      </c>
      <c r="U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inputs'!B993=FALSE,FALSE),FALSE,IF(IFERROR(MOD(('Model inputs'!U32-'Model inputs'!B162),12)=0=FALSE,FALSE),FALSE,IF(OR('Model inputs'!B993="",MOD(('Model inputs'!U32-'Model inputs'!B162),12)=0=""),"",AND('Model inputs'!B993,MOD(('Model inputs'!U32-'Model inputs'!B162),12)=0))))="",FALSE,IF(IFERROR('Model inputs'!B993=FALSE,FALSE),FALSE,IF(IFERROR(MOD(('Model inputs'!U32-'Model inputs'!B162),12)=0=FALSE,FALSE),FALSE,IF(OR('Model inputs'!B993="",MOD(('Model inputs'!U32-'Model inputs'!B162),12)=0=""),"",AND('Model inputs'!B993,MOD(('Model inputs'!U32-'Model inputs'!B162),12)=0))))),'Model inputs'!B138*'Model inputs'!B150*12,0),IF('Model inputs'!U44="","",'Model inputs'!U44))</f>
        <v>0</v>
      </c>
      <c r="V56" s="9">
        <f>IF(IF(IF(ISERROR('Model inputs'!B98=1),'Model inputs'!B98=1,IF('Model inputs'!B98="","",'Model inputs'!B98=1))="",FALSE,IF(ISERROR('Model inputs'!B98=1),'Model inputs'!B98=1,IF('Model inputs'!B98="","",'Model inputs'!B98=1))),IF(IF(IF(IFERROR('Model inputs'!B996=FALSE,FALSE),FALSE,IF(IFERROR(MOD(('Model inputs'!V32-'Model inputs'!B162),12)=0=FALSE,FALSE),FALSE,IF(OR('Model inputs'!B996="",MOD(('Model inputs'!V32-'Model inputs'!B162),12)=0=""),"",AND('Model inputs'!B996,MOD(('Model inputs'!V32-'Model inputs'!B162),12)=0))))="",FALSE,IF(IFERROR('Model inputs'!B996=FALSE,FALSE),FALSE,IF(IFERROR(MOD(('Model inputs'!V32-'Model inputs'!B162),12)=0=FALSE,FALSE),FALSE,IF(OR('Model inputs'!B996="",MOD(('Model inputs'!V32-'Model inputs'!B162),12)=0=""),"",AND('Model inputs'!B996,MOD(('Model inputs'!V32-'Model inputs'!B162),12)=0))))),'Model inputs'!B138*'Model inputs'!B150*12,0),IF('Model inputs'!V44="","",'Model inputs'!V44))</f>
        <v>0</v>
      </c>
    </row>
    <row r="57" outlineLevel="1">
      <c r="A57" t="inlineStr" s="18">
        <is>
          <t xml:space="preserve">Opex cash paid &gt; neatlogs Pro</t>
        </is>
      </c>
      <c r="C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inputs'!B999=FALSE,FALSE),FALSE,IF(IFERROR(MOD(('Model inputs'!C32-'Model inputs'!B163),12)=0=FALSE,FALSE),FALSE,IF(OR('Model inputs'!B999="",MOD(('Model inputs'!C32-'Model inputs'!B163),12)=0=""),"",AND('Model inputs'!B999,MOD(('Model inputs'!C32-'Model inputs'!B163),12)=0))))="",FALSE,IF(IFERROR('Model inputs'!B999=FALSE,FALSE),FALSE,IF(IFERROR(MOD(('Model inputs'!C32-'Model inputs'!B163),12)=0=FALSE,FALSE),FALSE,IF(OR('Model inputs'!B999="",MOD(('Model inputs'!C32-'Model inputs'!B163),12)=0=""),"",AND('Model inputs'!B999,MOD(('Model inputs'!C32-'Model inputs'!B163),12)=0))))),'Model inputs'!B139*'Model inputs'!B151*12,0),IF('Model inputs'!C45="","",'Model inputs'!C45))</f>
        <v>0</v>
      </c>
      <c r="D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inputs'!B1002=FALSE,FALSE),FALSE,IF(IFERROR(MOD(('Model inputs'!D32-'Model inputs'!B163),12)=0=FALSE,FALSE),FALSE,IF(OR('Model inputs'!B1002="",MOD(('Model inputs'!D32-'Model inputs'!B163),12)=0=""),"",AND('Model inputs'!B1002,MOD(('Model inputs'!D32-'Model inputs'!B163),12)=0))))="",FALSE,IF(IFERROR('Model inputs'!B1002=FALSE,FALSE),FALSE,IF(IFERROR(MOD(('Model inputs'!D32-'Model inputs'!B163),12)=0=FALSE,FALSE),FALSE,IF(OR('Model inputs'!B1002="",MOD(('Model inputs'!D32-'Model inputs'!B163),12)=0=""),"",AND('Model inputs'!B1002,MOD(('Model inputs'!D32-'Model inputs'!B163),12)=0))))),'Model inputs'!B139*'Model inputs'!B151*12,0),IF('Model inputs'!D45="","",'Model inputs'!D45))</f>
        <v>0</v>
      </c>
      <c r="E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inputs'!B1005=FALSE,FALSE),FALSE,IF(IFERROR(MOD(('Model inputs'!E32-'Model inputs'!B163),12)=0=FALSE,FALSE),FALSE,IF(OR('Model inputs'!B1005="",MOD(('Model inputs'!E32-'Model inputs'!B163),12)=0=""),"",AND('Model inputs'!B1005,MOD(('Model inputs'!E32-'Model inputs'!B163),12)=0))))="",FALSE,IF(IFERROR('Model inputs'!B1005=FALSE,FALSE),FALSE,IF(IFERROR(MOD(('Model inputs'!E32-'Model inputs'!B163),12)=0=FALSE,FALSE),FALSE,IF(OR('Model inputs'!B1005="",MOD(('Model inputs'!E32-'Model inputs'!B163),12)=0=""),"",AND('Model inputs'!B1005,MOD(('Model inputs'!E32-'Model inputs'!B163),12)=0))))),'Model inputs'!B139*'Model inputs'!B151*12,0),IF('Model inputs'!E45="","",'Model inputs'!E45))</f>
        <v>500</v>
      </c>
      <c r="F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inputs'!B1008=FALSE,FALSE),FALSE,IF(IFERROR(MOD(('Model inputs'!F32-'Model inputs'!B163),12)=0=FALSE,FALSE),FALSE,IF(OR('Model inputs'!B1008="",MOD(('Model inputs'!F32-'Model inputs'!B163),12)=0=""),"",AND('Model inputs'!B1008,MOD(('Model inputs'!F32-'Model inputs'!B163),12)=0))))="",FALSE,IF(IFERROR('Model inputs'!B1008=FALSE,FALSE),FALSE,IF(IFERROR(MOD(('Model inputs'!F32-'Model inputs'!B163),12)=0=FALSE,FALSE),FALSE,IF(OR('Model inputs'!B1008="",MOD(('Model inputs'!F32-'Model inputs'!B163),12)=0=""),"",AND('Model inputs'!B1008,MOD(('Model inputs'!F32-'Model inputs'!B163),12)=0))))),'Model inputs'!B139*'Model inputs'!B151*12,0),IF('Model inputs'!F45="","",'Model inputs'!F45))</f>
        <v>500</v>
      </c>
      <c r="G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inputs'!B1011=FALSE,FALSE),FALSE,IF(IFERROR(MOD(('Model inputs'!G32-'Model inputs'!B163),12)=0=FALSE,FALSE),FALSE,IF(OR('Model inputs'!B1011="",MOD(('Model inputs'!G32-'Model inputs'!B163),12)=0=""),"",AND('Model inputs'!B1011,MOD(('Model inputs'!G32-'Model inputs'!B163),12)=0))))="",FALSE,IF(IFERROR('Model inputs'!B1011=FALSE,FALSE),FALSE,IF(IFERROR(MOD(('Model inputs'!G32-'Model inputs'!B163),12)=0=FALSE,FALSE),FALSE,IF(OR('Model inputs'!B1011="",MOD(('Model inputs'!G32-'Model inputs'!B163),12)=0=""),"",AND('Model inputs'!B1011,MOD(('Model inputs'!G32-'Model inputs'!B163),12)=0))))),'Model inputs'!B139*'Model inputs'!B151*12,0),IF('Model inputs'!G45="","",'Model inputs'!G45))</f>
        <v>500</v>
      </c>
      <c r="H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inputs'!B1014=FALSE,FALSE),FALSE,IF(IFERROR(MOD(('Model inputs'!H32-'Model inputs'!B163),12)=0=FALSE,FALSE),FALSE,IF(OR('Model inputs'!B1014="",MOD(('Model inputs'!H32-'Model inputs'!B163),12)=0=""),"",AND('Model inputs'!B1014,MOD(('Model inputs'!H32-'Model inputs'!B163),12)=0))))="",FALSE,IF(IFERROR('Model inputs'!B1014=FALSE,FALSE),FALSE,IF(IFERROR(MOD(('Model inputs'!H32-'Model inputs'!B163),12)=0=FALSE,FALSE),FALSE,IF(OR('Model inputs'!B1014="",MOD(('Model inputs'!H32-'Model inputs'!B163),12)=0=""),"",AND('Model inputs'!B1014,MOD(('Model inputs'!H32-'Model inputs'!B163),12)=0))))),'Model inputs'!B139*'Model inputs'!B151*12,0),IF('Model inputs'!H45="","",'Model inputs'!H45))</f>
        <v>500</v>
      </c>
      <c r="I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inputs'!B1017=FALSE,FALSE),FALSE,IF(IFERROR(MOD(('Model inputs'!I32-'Model inputs'!B163),12)=0=FALSE,FALSE),FALSE,IF(OR('Model inputs'!B1017="",MOD(('Model inputs'!I32-'Model inputs'!B163),12)=0=""),"",AND('Model inputs'!B1017,MOD(('Model inputs'!I32-'Model inputs'!B163),12)=0))))="",FALSE,IF(IFERROR('Model inputs'!B1017=FALSE,FALSE),FALSE,IF(IFERROR(MOD(('Model inputs'!I32-'Model inputs'!B163),12)=0=FALSE,FALSE),FALSE,IF(OR('Model inputs'!B1017="",MOD(('Model inputs'!I32-'Model inputs'!B163),12)=0=""),"",AND('Model inputs'!B1017,MOD(('Model inputs'!I32-'Model inputs'!B163),12)=0))))),'Model inputs'!B139*'Model inputs'!B151*12,0),IF('Model inputs'!I45="","",'Model inputs'!I45))</f>
        <v>500</v>
      </c>
      <c r="J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inputs'!B1020=FALSE,FALSE),FALSE,IF(IFERROR(MOD(('Model inputs'!J32-'Model inputs'!B163),12)=0=FALSE,FALSE),FALSE,IF(OR('Model inputs'!B1020="",MOD(('Model inputs'!J32-'Model inputs'!B163),12)=0=""),"",AND('Model inputs'!B1020,MOD(('Model inputs'!J32-'Model inputs'!B163),12)=0))))="",FALSE,IF(IFERROR('Model inputs'!B1020=FALSE,FALSE),FALSE,IF(IFERROR(MOD(('Model inputs'!J32-'Model inputs'!B163),12)=0=FALSE,FALSE),FALSE,IF(OR('Model inputs'!B1020="",MOD(('Model inputs'!J32-'Model inputs'!B163),12)=0=""),"",AND('Model inputs'!B1020,MOD(('Model inputs'!J32-'Model inputs'!B163),12)=0))))),'Model inputs'!B139*'Model inputs'!B151*12,0),IF('Model inputs'!J45="","",'Model inputs'!J45))</f>
        <v>500</v>
      </c>
      <c r="K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inputs'!B1023=FALSE,FALSE),FALSE,IF(IFERROR(MOD(('Model inputs'!K32-'Model inputs'!B163),12)=0=FALSE,FALSE),FALSE,IF(OR('Model inputs'!B1023="",MOD(('Model inputs'!K32-'Model inputs'!B163),12)=0=""),"",AND('Model inputs'!B1023,MOD(('Model inputs'!K32-'Model inputs'!B163),12)=0))))="",FALSE,IF(IFERROR('Model inputs'!B1023=FALSE,FALSE),FALSE,IF(IFERROR(MOD(('Model inputs'!K32-'Model inputs'!B163),12)=0=FALSE,FALSE),FALSE,IF(OR('Model inputs'!B1023="",MOD(('Model inputs'!K32-'Model inputs'!B163),12)=0=""),"",AND('Model inputs'!B1023,MOD(('Model inputs'!K32-'Model inputs'!B163),12)=0))))),'Model inputs'!B139*'Model inputs'!B151*12,0),IF('Model inputs'!K45="","",'Model inputs'!K45))</f>
        <v>500</v>
      </c>
      <c r="L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inputs'!B1026=FALSE,FALSE),FALSE,IF(IFERROR(MOD(('Model inputs'!L32-'Model inputs'!B163),12)=0=FALSE,FALSE),FALSE,IF(OR('Model inputs'!B1026="",MOD(('Model inputs'!L32-'Model inputs'!B163),12)=0=""),"",AND('Model inputs'!B1026,MOD(('Model inputs'!L32-'Model inputs'!B163),12)=0))))="",FALSE,IF(IFERROR('Model inputs'!B1026=FALSE,FALSE),FALSE,IF(IFERROR(MOD(('Model inputs'!L32-'Model inputs'!B163),12)=0=FALSE,FALSE),FALSE,IF(OR('Model inputs'!B1026="",MOD(('Model inputs'!L32-'Model inputs'!B163),12)=0=""),"",AND('Model inputs'!B1026,MOD(('Model inputs'!L32-'Model inputs'!B163),12)=0))))),'Model inputs'!B139*'Model inputs'!B151*12,0),IF('Model inputs'!L45="","",'Model inputs'!L45))</f>
        <v>500</v>
      </c>
      <c r="M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inputs'!B1029=FALSE,FALSE),FALSE,IF(IFERROR(MOD(('Model inputs'!M32-'Model inputs'!B163),12)=0=FALSE,FALSE),FALSE,IF(OR('Model inputs'!B1029="",MOD(('Model inputs'!M32-'Model inputs'!B163),12)=0=""),"",AND('Model inputs'!B1029,MOD(('Model inputs'!M32-'Model inputs'!B163),12)=0))))="",FALSE,IF(IFERROR('Model inputs'!B1029=FALSE,FALSE),FALSE,IF(IFERROR(MOD(('Model inputs'!M32-'Model inputs'!B163),12)=0=FALSE,FALSE),FALSE,IF(OR('Model inputs'!B1029="",MOD(('Model inputs'!M32-'Model inputs'!B163),12)=0=""),"",AND('Model inputs'!B1029,MOD(('Model inputs'!M32-'Model inputs'!B163),12)=0))))),'Model inputs'!B139*'Model inputs'!B151*12,0),IF('Model inputs'!M45="","",'Model inputs'!M45))</f>
        <v>500</v>
      </c>
      <c r="N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inputs'!B1032=FALSE,FALSE),FALSE,IF(IFERROR(MOD(('Model inputs'!N32-'Model inputs'!B163),12)=0=FALSE,FALSE),FALSE,IF(OR('Model inputs'!B1032="",MOD(('Model inputs'!N32-'Model inputs'!B163),12)=0=""),"",AND('Model inputs'!B1032,MOD(('Model inputs'!N32-'Model inputs'!B163),12)=0))))="",FALSE,IF(IFERROR('Model inputs'!B1032=FALSE,FALSE),FALSE,IF(IFERROR(MOD(('Model inputs'!N32-'Model inputs'!B163),12)=0=FALSE,FALSE),FALSE,IF(OR('Model inputs'!B1032="",MOD(('Model inputs'!N32-'Model inputs'!B163),12)=0=""),"",AND('Model inputs'!B1032,MOD(('Model inputs'!N32-'Model inputs'!B163),12)=0))))),'Model inputs'!B139*'Model inputs'!B151*12,0),IF('Model inputs'!N45="","",'Model inputs'!N45))</f>
        <v>500</v>
      </c>
      <c r="O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inputs'!B1035=FALSE,FALSE),FALSE,IF(IFERROR(MOD(('Model inputs'!O32-'Model inputs'!B163),12)=0=FALSE,FALSE),FALSE,IF(OR('Model inputs'!B1035="",MOD(('Model inputs'!O32-'Model inputs'!B163),12)=0=""),"",AND('Model inputs'!B1035,MOD(('Model inputs'!O32-'Model inputs'!B163),12)=0))))="",FALSE,IF(IFERROR('Model inputs'!B1035=FALSE,FALSE),FALSE,IF(IFERROR(MOD(('Model inputs'!O32-'Model inputs'!B163),12)=0=FALSE,FALSE),FALSE,IF(OR('Model inputs'!B1035="",MOD(('Model inputs'!O32-'Model inputs'!B163),12)=0=""),"",AND('Model inputs'!B1035,MOD(('Model inputs'!O32-'Model inputs'!B163),12)=0))))),'Model inputs'!B139*'Model inputs'!B151*12,0),IF('Model inputs'!O45="","",'Model inputs'!O45))</f>
        <v>500</v>
      </c>
      <c r="P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inputs'!B1038=FALSE,FALSE),FALSE,IF(IFERROR(MOD(('Model inputs'!P32-'Model inputs'!B163),12)=0=FALSE,FALSE),FALSE,IF(OR('Model inputs'!B1038="",MOD(('Model inputs'!P32-'Model inputs'!B163),12)=0=""),"",AND('Model inputs'!B1038,MOD(('Model inputs'!P32-'Model inputs'!B163),12)=0))))="",FALSE,IF(IFERROR('Model inputs'!B1038=FALSE,FALSE),FALSE,IF(IFERROR(MOD(('Model inputs'!P32-'Model inputs'!B163),12)=0=FALSE,FALSE),FALSE,IF(OR('Model inputs'!B1038="",MOD(('Model inputs'!P32-'Model inputs'!B163),12)=0=""),"",AND('Model inputs'!B1038,MOD(('Model inputs'!P32-'Model inputs'!B163),12)=0))))),'Model inputs'!B139*'Model inputs'!B151*12,0),IF('Model inputs'!P45="","",'Model inputs'!P45))</f>
        <v>500</v>
      </c>
      <c r="Q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inputs'!B1041=FALSE,FALSE),FALSE,IF(IFERROR(MOD(('Model inputs'!Q32-'Model inputs'!B163),12)=0=FALSE,FALSE),FALSE,IF(OR('Model inputs'!B1041="",MOD(('Model inputs'!Q32-'Model inputs'!B163),12)=0=""),"",AND('Model inputs'!B1041,MOD(('Model inputs'!Q32-'Model inputs'!B163),12)=0))))="",FALSE,IF(IFERROR('Model inputs'!B1041=FALSE,FALSE),FALSE,IF(IFERROR(MOD(('Model inputs'!Q32-'Model inputs'!B163),12)=0=FALSE,FALSE),FALSE,IF(OR('Model inputs'!B1041="",MOD(('Model inputs'!Q32-'Model inputs'!B163),12)=0=""),"",AND('Model inputs'!B1041,MOD(('Model inputs'!Q32-'Model inputs'!B163),12)=0))))),'Model inputs'!B139*'Model inputs'!B151*12,0),IF('Model inputs'!Q45="","",'Model inputs'!Q45))</f>
        <v>500</v>
      </c>
      <c r="R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inputs'!B1044=FALSE,FALSE),FALSE,IF(IFERROR(MOD(('Model inputs'!R32-'Model inputs'!B163),12)=0=FALSE,FALSE),FALSE,IF(OR('Model inputs'!B1044="",MOD(('Model inputs'!R32-'Model inputs'!B163),12)=0=""),"",AND('Model inputs'!B1044,MOD(('Model inputs'!R32-'Model inputs'!B163),12)=0))))="",FALSE,IF(IFERROR('Model inputs'!B1044=FALSE,FALSE),FALSE,IF(IFERROR(MOD(('Model inputs'!R32-'Model inputs'!B163),12)=0=FALSE,FALSE),FALSE,IF(OR('Model inputs'!B1044="",MOD(('Model inputs'!R32-'Model inputs'!B163),12)=0=""),"",AND('Model inputs'!B1044,MOD(('Model inputs'!R32-'Model inputs'!B163),12)=0))))),'Model inputs'!B139*'Model inputs'!B151*12,0),IF('Model inputs'!R45="","",'Model inputs'!R45))</f>
        <v>500</v>
      </c>
      <c r="S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inputs'!B1047=FALSE,FALSE),FALSE,IF(IFERROR(MOD(('Model inputs'!S32-'Model inputs'!B163),12)=0=FALSE,FALSE),FALSE,IF(OR('Model inputs'!B1047="",MOD(('Model inputs'!S32-'Model inputs'!B163),12)=0=""),"",AND('Model inputs'!B1047,MOD(('Model inputs'!S32-'Model inputs'!B163),12)=0))))="",FALSE,IF(IFERROR('Model inputs'!B1047=FALSE,FALSE),FALSE,IF(IFERROR(MOD(('Model inputs'!S32-'Model inputs'!B163),12)=0=FALSE,FALSE),FALSE,IF(OR('Model inputs'!B1047="",MOD(('Model inputs'!S32-'Model inputs'!B163),12)=0=""),"",AND('Model inputs'!B1047,MOD(('Model inputs'!S32-'Model inputs'!B163),12)=0))))),'Model inputs'!B139*'Model inputs'!B151*12,0),IF('Model inputs'!S45="","",'Model inputs'!S45))</f>
        <v>500</v>
      </c>
      <c r="T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inputs'!B1050=FALSE,FALSE),FALSE,IF(IFERROR(MOD(('Model inputs'!T32-'Model inputs'!B163),12)=0=FALSE,FALSE),FALSE,IF(OR('Model inputs'!B1050="",MOD(('Model inputs'!T32-'Model inputs'!B163),12)=0=""),"",AND('Model inputs'!B1050,MOD(('Model inputs'!T32-'Model inputs'!B163),12)=0))))="",FALSE,IF(IFERROR('Model inputs'!B1050=FALSE,FALSE),FALSE,IF(IFERROR(MOD(('Model inputs'!T32-'Model inputs'!B163),12)=0=FALSE,FALSE),FALSE,IF(OR('Model inputs'!B1050="",MOD(('Model inputs'!T32-'Model inputs'!B163),12)=0=""),"",AND('Model inputs'!B1050,MOD(('Model inputs'!T32-'Model inputs'!B163),12)=0))))),'Model inputs'!B139*'Model inputs'!B151*12,0),IF('Model inputs'!T45="","",'Model inputs'!T45))</f>
        <v>500</v>
      </c>
      <c r="U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inputs'!B1053=FALSE,FALSE),FALSE,IF(IFERROR(MOD(('Model inputs'!U32-'Model inputs'!B163),12)=0=FALSE,FALSE),FALSE,IF(OR('Model inputs'!B1053="",MOD(('Model inputs'!U32-'Model inputs'!B163),12)=0=""),"",AND('Model inputs'!B1053,MOD(('Model inputs'!U32-'Model inputs'!B163),12)=0))))="",FALSE,IF(IFERROR('Model inputs'!B1053=FALSE,FALSE),FALSE,IF(IFERROR(MOD(('Model inputs'!U32-'Model inputs'!B163),12)=0=FALSE,FALSE),FALSE,IF(OR('Model inputs'!B1053="",MOD(('Model inputs'!U32-'Model inputs'!B163),12)=0=""),"",AND('Model inputs'!B1053,MOD(('Model inputs'!U32-'Model inputs'!B163),12)=0))))),'Model inputs'!B139*'Model inputs'!B151*12,0),IF('Model inputs'!U45="","",'Model inputs'!U45))</f>
        <v>500</v>
      </c>
      <c r="V57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inputs'!B1056=FALSE,FALSE),FALSE,IF(IFERROR(MOD(('Model inputs'!V32-'Model inputs'!B163),12)=0=FALSE,FALSE),FALSE,IF(OR('Model inputs'!B1056="",MOD(('Model inputs'!V32-'Model inputs'!B163),12)=0=""),"",AND('Model inputs'!B1056,MOD(('Model inputs'!V32-'Model inputs'!B163),12)=0))))="",FALSE,IF(IFERROR('Model inputs'!B1056=FALSE,FALSE),FALSE,IF(IFERROR(MOD(('Model inputs'!V32-'Model inputs'!B163),12)=0=FALSE,FALSE),FALSE,IF(OR('Model inputs'!B1056="",MOD(('Model inputs'!V32-'Model inputs'!B163),12)=0=""),"",AND('Model inputs'!B1056,MOD(('Model inputs'!V32-'Model inputs'!B163),12)=0))))),'Model inputs'!B139*'Model inputs'!B151*12,0),IF('Model inputs'!V45="","",'Model inputs'!V45))</f>
        <v>500</v>
      </c>
    </row>
    <row r="58">
      <c r="A58" t="inlineStr" s="16">
        <is>
          <t xml:space="preserve">Overage revenue</t>
        </is>
      </c>
      <c r="C58" s="7">
        <f>SUM('Model inputs'!C59,'Model inputs'!C60,'Model inputs'!C61)</f>
        <v>0</v>
      </c>
      <c r="D58" s="7">
        <f>SUM('Model inputs'!D59,'Model inputs'!D60,'Model inputs'!D61)</f>
        <v>0</v>
      </c>
      <c r="E58" s="7">
        <f>SUM('Model inputs'!E59,'Model inputs'!E60,'Model inputs'!E61)</f>
        <v>95</v>
      </c>
      <c r="F58" s="7">
        <f>SUM('Model inputs'!F59,'Model inputs'!F60,'Model inputs'!F61)</f>
        <v>160.875</v>
      </c>
      <c r="G58" s="7">
        <f>SUM('Model inputs'!G59,'Model inputs'!G60,'Model inputs'!G61)</f>
        <v>213.58690277777777</v>
      </c>
      <c r="H58" s="7">
        <f>SUM('Model inputs'!H59,'Model inputs'!H60,'Model inputs'!H61)</f>
        <v>269.05303983796296</v>
      </c>
      <c r="I58" s="7">
        <f>SUM('Model inputs'!I59,'Model inputs'!I60,'Model inputs'!I61)</f>
        <v>327.5795949349537</v>
      </c>
      <c r="J58" s="7">
        <f>SUM('Model inputs'!J59,'Model inputs'!J60,'Model inputs'!J61)</f>
        <v>389.4971314852568</v>
      </c>
      <c r="K58" s="7">
        <f>SUM('Model inputs'!K59,'Model inputs'!K60,'Model inputs'!K61)</f>
        <v>455.1629821154749</v>
      </c>
      <c r="L58" s="7">
        <f>SUM('Model inputs'!L59,'Model inputs'!L60,'Model inputs'!L61)</f>
        <v>524.9638461310163</v>
      </c>
      <c r="M58" s="7">
        <f>SUM('Model inputs'!M59,'Model inputs'!M60,'Model inputs'!M61)</f>
        <v>599.3186149500129</v>
      </c>
      <c r="N58" s="7">
        <f>SUM('Model inputs'!N59,'Model inputs'!N60,'Model inputs'!N61)</f>
        <v>674.7853216521627</v>
      </c>
      <c r="O58" s="7">
        <f>SUM('Model inputs'!O59,'Model inputs'!O60,'Model inputs'!O61)</f>
        <v>751.4778206320123</v>
      </c>
      <c r="P58" s="7">
        <f>SUM('Model inputs'!P59,'Model inputs'!P60,'Model inputs'!P61)</f>
        <v>829.5110364230375</v>
      </c>
      <c r="Q58" s="7">
        <f>SUM('Model inputs'!Q59,'Model inputs'!Q60,'Model inputs'!Q61)</f>
        <v>909.001210740131</v>
      </c>
      <c r="R58" s="7">
        <f>SUM('Model inputs'!R59,'Model inputs'!R60,'Model inputs'!R61)</f>
        <v>990.0661465814385</v>
      </c>
      <c r="S58" s="7">
        <f>SUM('Model inputs'!S59,'Model inputs'!S60,'Model inputs'!S61)</f>
        <v>1072.82545010209</v>
      </c>
      <c r="T58" s="7">
        <f>SUM('Model inputs'!T59,'Model inputs'!T60,'Model inputs'!T61)</f>
        <v>1157.400770946348</v>
      </c>
      <c r="U58" s="7">
        <f>SUM('Model inputs'!U59,'Model inputs'!U60,'Model inputs'!U61)</f>
        <v>1243.916041701213</v>
      </c>
      <c r="V58" s="7">
        <f>SUM('Model inputs'!V59,'Model inputs'!V60,'Model inputs'!V61)</f>
        <v>1332.497717113488</v>
      </c>
    </row>
    <row r="59" outlineLevel="1">
      <c r="A59" t="inlineStr" s="18">
        <is>
          <t xml:space="preserve">Overage revenue &gt; Indie</t>
        </is>
      </c>
      <c r="C59" s="9">
        <f>'Model inputs'!C20*'Model inputs'!B187*'Model inputs'!B190</f>
        <v>0</v>
      </c>
      <c r="D59" s="9">
        <f>'Model inputs'!D20*'Model inputs'!B187*'Model inputs'!B190</f>
        <v>0</v>
      </c>
      <c r="E59" s="9">
        <f>'Model inputs'!E20*'Model inputs'!B187*'Model inputs'!B190</f>
        <v>50</v>
      </c>
      <c r="F59" s="9">
        <f>'Model inputs'!F20*'Model inputs'!B187*'Model inputs'!B190</f>
        <v>92.91666666666666</v>
      </c>
      <c r="G59" s="9">
        <f>'Model inputs'!G20*'Model inputs'!B187*'Model inputs'!B190</f>
        <v>120.47222222222223</v>
      </c>
      <c r="H59" s="9">
        <f>'Model inputs'!H20*'Model inputs'!B187*'Model inputs'!B190</f>
        <v>148.89074074074077</v>
      </c>
      <c r="I59" s="9">
        <f>'Model inputs'!I20*'Model inputs'!B187*'Model inputs'!B190</f>
        <v>178.33069135802472</v>
      </c>
      <c r="J59" s="9">
        <f>'Model inputs'!J20*'Model inputs'!B187*'Model inputs'!B190</f>
        <v>208.95725860082308</v>
      </c>
      <c r="K59" s="9">
        <f>'Model inputs'!K20*'Model inputs'!B187*'Model inputs'!B190</f>
        <v>240.94327709410155</v>
      </c>
      <c r="L59" s="9">
        <f>'Model inputs'!L20*'Model inputs'!B187*'Model inputs'!B190</f>
        <v>274.4702145464948</v>
      </c>
      <c r="M59" s="9">
        <f>'Model inputs'!M20*'Model inputs'!B187*'Model inputs'!B190</f>
        <v>309.72920864275517</v>
      </c>
      <c r="N59" s="9">
        <f>'Model inputs'!N20*'Model inputs'!B187*'Model inputs'!B190</f>
        <v>344.7798834685726</v>
      </c>
      <c r="O59" s="9">
        <f>'Model inputs'!O20*'Model inputs'!B187*'Model inputs'!B190</f>
        <v>379.72181818874895</v>
      </c>
      <c r="P59" s="9">
        <f>'Model inputs'!P20*'Model inputs'!B187*'Model inputs'!B190</f>
        <v>414.6513810056368</v>
      </c>
      <c r="Q59" s="9">
        <f>'Model inputs'!Q20*'Model inputs'!B187*'Model inputs'!B190</f>
        <v>449.6620803292442</v>
      </c>
      <c r="R59" s="9">
        <f>'Model inputs'!R20*'Model inputs'!B187*'Model inputs'!B190</f>
        <v>484.84489802023717</v>
      </c>
      <c r="S59" s="9">
        <f>'Model inputs'!S20*'Model inputs'!B187*'Model inputs'!B190</f>
        <v>520.2886061203483</v>
      </c>
      <c r="T59" s="9">
        <f>'Model inputs'!T20*'Model inputs'!B187*'Model inputs'!B190</f>
        <v>556.0800683991771</v>
      </c>
      <c r="U59" s="9">
        <f>'Model inputs'!U20*'Model inputs'!B187*'Model inputs'!B190</f>
        <v>592.3045279668916</v>
      </c>
      <c r="V59" s="9">
        <f>'Model inputs'!V20*'Model inputs'!B187*'Model inputs'!B190</f>
        <v>629.0458821285312</v>
      </c>
    </row>
    <row r="60" outlineLevel="1">
      <c r="A60" t="inlineStr" s="18">
        <is>
          <t xml:space="preserve">Overage revenue &gt; Launch</t>
        </is>
      </c>
      <c r="C60" s="9">
        <f>'Model inputs'!C21*'Model inputs'!B188*'Model inputs'!B190</f>
        <v>0</v>
      </c>
      <c r="D60" s="9">
        <f>'Model inputs'!D21*'Model inputs'!B188*'Model inputs'!B190</f>
        <v>0</v>
      </c>
      <c r="E60" s="9">
        <f>'Model inputs'!E21*'Model inputs'!B188*'Model inputs'!B190</f>
        <v>15</v>
      </c>
      <c r="F60" s="9">
        <f>'Model inputs'!F21*'Model inputs'!B188*'Model inputs'!B190</f>
        <v>22.650000000000002</v>
      </c>
      <c r="G60" s="9">
        <f>'Model inputs'!G21*'Model inputs'!B188*'Model inputs'!B190</f>
        <v>30.376604166666663</v>
      </c>
      <c r="H60" s="9">
        <f>'Model inputs'!H21*'Model inputs'!B188*'Model inputs'!B190</f>
        <v>38.205181059027765</v>
      </c>
      <c r="I60" s="9">
        <f>'Model inputs'!I21*'Model inputs'!B188*'Model inputs'!B190</f>
        <v>46.156567318619786</v>
      </c>
      <c r="J60" s="9">
        <f>'Model inputs'!J21*'Model inputs'!B188*'Model inputs'!B190</f>
        <v>54.25287301206935</v>
      </c>
      <c r="K60" s="9">
        <f>'Model inputs'!K21*'Model inputs'!B188*'Model inputs'!B190</f>
        <v>62.51766741529286</v>
      </c>
      <c r="L60" s="9">
        <f>'Model inputs'!L21*'Model inputs'!B188*'Model inputs'!B190</f>
        <v>70.97617787413947</v>
      </c>
      <c r="M60" s="9">
        <f>'Model inputs'!M21*'Model inputs'!B188*'Model inputs'!B190</f>
        <v>79.65550337740716</v>
      </c>
      <c r="N60" s="9">
        <f>'Model inputs'!N21*'Model inputs'!B188*'Model inputs'!B190</f>
        <v>88.58484461336917</v>
      </c>
      <c r="O60" s="9">
        <f>'Model inputs'!O21*'Model inputs'!B188*'Model inputs'!B190</f>
        <v>97.7738293637964</v>
      </c>
      <c r="P60" s="9">
        <f>'Model inputs'!P21*'Model inputs'!B188*'Model inputs'!B190</f>
        <v>107.23199908683281</v>
      </c>
      <c r="Q60" s="9">
        <f>'Model inputs'!Q21*'Model inputs'!B188*'Model inputs'!B190</f>
        <v>116.96886480466242</v>
      </c>
      <c r="R60" s="9">
        <f>'Model inputs'!R21*'Model inputs'!B188*'Model inputs'!B190</f>
        <v>126.99396015267028</v>
      </c>
      <c r="S60" s="9">
        <f>'Model inputs'!S21*'Model inputs'!B188*'Model inputs'!B190</f>
        <v>137.31689185548686</v>
      </c>
      <c r="T60" s="9">
        <f>'Model inputs'!T21*'Model inputs'!B188*'Model inputs'!B190</f>
        <v>147.94738787923274</v>
      </c>
      <c r="U60" s="9">
        <f>'Model inputs'!U21*'Model inputs'!B188*'Model inputs'!B190</f>
        <v>158.89534349439347</v>
      </c>
      <c r="V60" s="9">
        <f>'Model inputs'!V21*'Model inputs'!B188*'Model inputs'!B190</f>
        <v>170.17086546997666</v>
      </c>
    </row>
    <row r="61" outlineLevel="1">
      <c r="A61" t="inlineStr" s="18">
        <is>
          <t xml:space="preserve">Overage revenue &gt; Team</t>
        </is>
      </c>
      <c r="C61" s="9">
        <f>'Model inputs'!C22*'Model inputs'!B189*'Model inputs'!B190</f>
        <v>0</v>
      </c>
      <c r="D61" s="9">
        <f>'Model inputs'!D22*'Model inputs'!B189*'Model inputs'!B190</f>
        <v>0</v>
      </c>
      <c r="E61" s="9">
        <f>'Model inputs'!E22*'Model inputs'!B189*'Model inputs'!B190</f>
        <v>30</v>
      </c>
      <c r="F61" s="9">
        <f>'Model inputs'!F22*'Model inputs'!B189*'Model inputs'!B190</f>
        <v>45.30833333333334</v>
      </c>
      <c r="G61" s="9">
        <f>'Model inputs'!G22*'Model inputs'!B189*'Model inputs'!B190</f>
        <v>62.73807638888889</v>
      </c>
      <c r="H61" s="9">
        <f>'Model inputs'!H22*'Model inputs'!B189*'Model inputs'!B190</f>
        <v>81.95711803819444</v>
      </c>
      <c r="I61" s="9">
        <f>'Model inputs'!I22*'Model inputs'!B189*'Model inputs'!B190</f>
        <v>103.09233625830922</v>
      </c>
      <c r="J61" s="9">
        <f>'Model inputs'!J22*'Model inputs'!B189*'Model inputs'!B190</f>
        <v>126.28699987236432</v>
      </c>
      <c r="K61" s="9">
        <f>'Model inputs'!K22*'Model inputs'!B189*'Model inputs'!B190</f>
        <v>151.7020376060805</v>
      </c>
      <c r="L61" s="9">
        <f>'Model inputs'!L22*'Model inputs'!B189*'Model inputs'!B190</f>
        <v>179.5174537103821</v>
      </c>
      <c r="M61" s="9">
        <f>'Model inputs'!M22*'Model inputs'!B189*'Model inputs'!B190</f>
        <v>209.93390292985057</v>
      </c>
      <c r="N61" s="9">
        <f>'Model inputs'!N22*'Model inputs'!B189*'Model inputs'!B190</f>
        <v>241.4205935702209</v>
      </c>
      <c r="O61" s="9">
        <f>'Model inputs'!O22*'Model inputs'!B189*'Model inputs'!B190</f>
        <v>273.982173079467</v>
      </c>
      <c r="P61" s="9">
        <f>'Model inputs'!P22*'Model inputs'!B189*'Model inputs'!B190</f>
        <v>307.62765633056785</v>
      </c>
      <c r="Q61" s="9">
        <f>'Model inputs'!Q22*'Model inputs'!B189*'Model inputs'!B190</f>
        <v>342.37026560622445</v>
      </c>
      <c r="R61" s="9">
        <f>'Model inputs'!R22*'Model inputs'!B189*'Model inputs'!B190</f>
        <v>378.22728840853097</v>
      </c>
      <c r="S61" s="9">
        <f>'Model inputs'!S22*'Model inputs'!B189*'Model inputs'!B190</f>
        <v>415.2199521262547</v>
      </c>
      <c r="T61" s="9">
        <f>'Model inputs'!T22*'Model inputs'!B189*'Model inputs'!B190</f>
        <v>453.3733146679382</v>
      </c>
      <c r="U61" s="9">
        <f>'Model inputs'!U22*'Model inputs'!B189*'Model inputs'!B190</f>
        <v>492.7161702399279</v>
      </c>
      <c r="V61" s="9">
        <f>'Model inputs'!V22*'Model inputs'!B189*'Model inputs'!B190</f>
        <v>533.2809695149803</v>
      </c>
    </row>
    <row r="62">
      <c r="A62" t="inlineStr" s="16">
        <is>
          <t xml:space="preserve">Payment fees</t>
        </is>
      </c>
      <c r="C62" s="7">
        <f>SUM('Model inputs'!C63,'Model inputs'!C64,'Model inputs'!C65)</f>
        <v>0</v>
      </c>
      <c r="D62" s="7">
        <f>SUM('Model inputs'!D63,'Model inputs'!D64,'Model inputs'!D65)</f>
        <v>0</v>
      </c>
      <c r="E62" s="7">
        <f>SUM('Model inputs'!E63,'Model inputs'!E64,'Model inputs'!E65)</f>
        <v>92.33272000000001</v>
      </c>
      <c r="F62" s="7">
        <f>SUM('Model inputs'!F63,'Model inputs'!F64,'Model inputs'!F65)</f>
        <v>188.068080125</v>
      </c>
      <c r="G62" s="7">
        <f>SUM('Model inputs'!G63,'Model inputs'!G64,'Model inputs'!G65)</f>
        <v>260.0429898737778</v>
      </c>
      <c r="H62" s="7">
        <f>SUM('Model inputs'!H63,'Model inputs'!H64,'Model inputs'!H65)</f>
        <v>335.1664347990748</v>
      </c>
      <c r="I62" s="7">
        <f>SUM('Model inputs'!I63,'Model inputs'!I64,'Model inputs'!I65)</f>
        <v>413.78401436942465</v>
      </c>
      <c r="J62" s="7">
        <f>SUM('Model inputs'!J63,'Model inputs'!J64,'Model inputs'!J65)</f>
        <v>496.2816383447089</v>
      </c>
      <c r="K62" s="7">
        <f>SUM('Model inputs'!K63,'Model inputs'!K64,'Model inputs'!K65)</f>
        <v>583.088378449062</v>
      </c>
      <c r="L62" s="7">
        <f>SUM('Model inputs'!L63,'Model inputs'!L64,'Model inputs'!L65)</f>
        <v>557.2833486659224</v>
      </c>
      <c r="M62" s="7">
        <f>SUM('Model inputs'!M63,'Model inputs'!M64,'Model inputs'!M65)</f>
        <v>628.2135614513089</v>
      </c>
      <c r="N62" s="7">
        <f>SUM('Model inputs'!N63,'Model inputs'!N64,'Model inputs'!N65)</f>
        <v>695.4951727272281</v>
      </c>
      <c r="O62" s="7">
        <f>SUM('Model inputs'!O63,'Model inputs'!O64,'Model inputs'!O65)</f>
        <v>763.7046916431891</v>
      </c>
      <c r="P62" s="7">
        <f>SUM('Model inputs'!P63,'Model inputs'!P64,'Model inputs'!P65)</f>
        <v>832.9603774238383</v>
      </c>
      <c r="Q62" s="7">
        <f>SUM('Model inputs'!Q63,'Model inputs'!Q64,'Model inputs'!Q65)</f>
        <v>903.3805557774197</v>
      </c>
      <c r="R62" s="7">
        <f>SUM('Model inputs'!R63,'Model inputs'!R64,'Model inputs'!R65)</f>
        <v>1001.6961166493504</v>
      </c>
      <c r="S62" s="7">
        <f>SUM('Model inputs'!S63,'Model inputs'!S64,'Model inputs'!S65)</f>
        <v>1094.9873007989427</v>
      </c>
      <c r="T62" s="7">
        <f>SUM('Model inputs'!T63,'Model inputs'!T64,'Model inputs'!T65)</f>
        <v>1192.3131472022542</v>
      </c>
      <c r="U62" s="7">
        <f>SUM('Model inputs'!U63,'Model inputs'!U64,'Model inputs'!U65)</f>
        <v>1294.0719669015866</v>
      </c>
      <c r="V62" s="7">
        <f>SUM('Model inputs'!V63,'Model inputs'!V64,'Model inputs'!V65)</f>
        <v>1400.701363105876</v>
      </c>
    </row>
    <row r="63" outlineLevel="1">
      <c r="A63" t="inlineStr" s="18">
        <is>
          <t xml:space="preserve">Payment fees &gt; Indie</t>
        </is>
      </c>
      <c r="C63" s="9">
        <f>'Model inputs'!C10*'Model inputs'!B105+'Model inputs'!C101*'Model inputs'!B104</f>
        <v>0</v>
      </c>
      <c r="D63" s="9">
        <f>'Model inputs'!D10*'Model inputs'!B105+'Model inputs'!D101*'Model inputs'!B104</f>
        <v>0</v>
      </c>
      <c r="E63" s="9">
        <f>'Model inputs'!E10*'Model inputs'!B105+'Model inputs'!E101*'Model inputs'!B104</f>
        <v>47.6816</v>
      </c>
      <c r="F63" s="9">
        <f>'Model inputs'!F10*'Model inputs'!B105+'Model inputs'!F101*'Model inputs'!B104</f>
        <v>88.60830666666666</v>
      </c>
      <c r="G63" s="9">
        <f>'Model inputs'!G10*'Model inputs'!B105+'Model inputs'!G101*'Model inputs'!B104</f>
        <v>114.88616622222224</v>
      </c>
      <c r="H63" s="9">
        <f>'Model inputs'!H10*'Model inputs'!B105+'Model inputs'!H101*'Model inputs'!B104</f>
        <v>141.9869748740741</v>
      </c>
      <c r="I63" s="9">
        <f>'Model inputs'!I10*'Model inputs'!B105+'Model inputs'!I101*'Model inputs'!B104</f>
        <v>170.06185386113583</v>
      </c>
      <c r="J63" s="9">
        <f>'Model inputs'!J10*'Model inputs'!B105+'Model inputs'!J101*'Model inputs'!B104</f>
        <v>199.26832843402013</v>
      </c>
      <c r="K63" s="9">
        <f>'Model inputs'!K10*'Model inputs'!B105+'Model inputs'!K101*'Model inputs'!B104</f>
        <v>229.77121922180223</v>
      </c>
      <c r="L63" s="9">
        <f>'Model inputs'!L10*'Model inputs'!B105+'Model inputs'!L101*'Model inputs'!B104</f>
        <v>261.74357963840293</v>
      </c>
      <c r="M63" s="9">
        <f>'Model inputs'!M10*'Model inputs'!B105+'Model inputs'!M101*'Model inputs'!B104</f>
        <v>295.3676846964079</v>
      </c>
      <c r="N63" s="9">
        <f>'Model inputs'!N10*'Model inputs'!B105+'Model inputs'!N101*'Model inputs'!B104</f>
        <v>328.7931298319018</v>
      </c>
      <c r="O63" s="9">
        <f>'Model inputs'!O10*'Model inputs'!B105+'Model inputs'!O101*'Model inputs'!B104</f>
        <v>362.1148769229731</v>
      </c>
      <c r="P63" s="9">
        <f>'Model inputs'!P10*'Model inputs'!B105+'Model inputs'!P101*'Model inputs'!B104</f>
        <v>395.4248257711674</v>
      </c>
      <c r="Q63" s="9">
        <f>'Model inputs'!Q10*'Model inputs'!B105+'Model inputs'!Q101*'Model inputs'!B104</f>
        <v>428.81214898853784</v>
      </c>
      <c r="R63" s="9">
        <f>'Model inputs'!R10*'Model inputs'!B105+'Model inputs'!R101*'Model inputs'!B104</f>
        <v>462.36360978883476</v>
      </c>
      <c r="S63" s="9">
        <f>'Model inputs'!S10*'Model inputs'!B105+'Model inputs'!S101*'Model inputs'!B104</f>
        <v>496.16386403176006</v>
      </c>
      <c r="T63" s="9">
        <f>'Model inputs'!T10*'Model inputs'!B105+'Model inputs'!T101*'Model inputs'!B104</f>
        <v>530.2957477876441</v>
      </c>
      <c r="U63" s="9">
        <f>'Model inputs'!U10*'Model inputs'!B105+'Model inputs'!U101*'Model inputs'!B104</f>
        <v>564.8405516141227</v>
      </c>
      <c r="V63" s="9">
        <f>'Model inputs'!V10*'Model inputs'!B105+'Model inputs'!V101*'Model inputs'!B104</f>
        <v>599.8782826659955</v>
      </c>
    </row>
    <row r="64" outlineLevel="1">
      <c r="A64" t="inlineStr" s="18">
        <is>
          <t xml:space="preserve">Payment fees &gt; Launch</t>
        </is>
      </c>
      <c r="C64" s="9">
        <f>'Model inputs'!C11*'Model inputs'!B105+'Model inputs'!C102*'Model inputs'!B104</f>
        <v>0</v>
      </c>
      <c r="D64" s="9">
        <f>'Model inputs'!D11*'Model inputs'!B105+'Model inputs'!D102*'Model inputs'!B104</f>
        <v>0</v>
      </c>
      <c r="E64" s="9">
        <f>'Model inputs'!E11*'Model inputs'!B105+'Model inputs'!E102*'Model inputs'!B104</f>
        <v>15.564440000000001</v>
      </c>
      <c r="F64" s="9">
        <f>'Model inputs'!F11*'Model inputs'!B105+'Model inputs'!F102*'Model inputs'!B104</f>
        <v>34.97418965</v>
      </c>
      <c r="G64" s="9">
        <f>'Model inputs'!G11*'Model inputs'!B105+'Model inputs'!G102*'Model inputs'!B104</f>
        <v>49.70887454893054</v>
      </c>
      <c r="H64" s="9">
        <f>'Model inputs'!H11*'Model inputs'!B105+'Model inputs'!H102*'Model inputs'!B104</f>
        <v>63.94735449644058</v>
      </c>
      <c r="I64" s="9">
        <f>'Model inputs'!I11*'Model inputs'!B105+'Model inputs'!I102*'Model inputs'!B104</f>
        <v>77.73847893505328</v>
      </c>
      <c r="J64" s="9">
        <f>'Model inputs'!J11*'Model inputs'!B105+'Model inputs'!J102*'Model inputs'!B104</f>
        <v>91.131560867433</v>
      </c>
      <c r="K64" s="9">
        <f>'Model inputs'!K11*'Model inputs'!B105+'Model inputs'!K102*'Model inputs'!B104</f>
        <v>104.1768223265935</v>
      </c>
      <c r="L64" s="9">
        <f>'Model inputs'!L11*'Model inputs'!B105+'Model inputs'!L102*'Model inputs'!B104</f>
        <v>80.97747572261697</v>
      </c>
      <c r="M64" s="9">
        <f>'Model inputs'!M11*'Model inputs'!B105+'Model inputs'!M102*'Model inputs'!B104</f>
        <v>88.16845249585907</v>
      </c>
      <c r="N64" s="9">
        <f>'Model inputs'!N11*'Model inputs'!B105+'Model inputs'!N102*'Model inputs'!B104</f>
        <v>95.64269294993724</v>
      </c>
      <c r="O64" s="9">
        <f>'Model inputs'!O11*'Model inputs'!B105+'Model inputs'!O102*'Model inputs'!B104</f>
        <v>103.34212467758014</v>
      </c>
      <c r="P64" s="9">
        <f>'Model inputs'!P11*'Model inputs'!B105+'Model inputs'!P102*'Model inputs'!B104</f>
        <v>111.27355621035743</v>
      </c>
      <c r="Q64" s="9">
        <f>'Model inputs'!Q11*'Model inputs'!B105+'Model inputs'!Q102*'Model inputs'!B104</f>
        <v>119.44395970697099</v>
      </c>
      <c r="R64" s="9">
        <f>'Model inputs'!R11*'Model inputs'!B105+'Model inputs'!R102*'Model inputs'!B104</f>
        <v>138.51483868898342</v>
      </c>
      <c r="S64" s="9">
        <f>'Model inputs'!S11*'Model inputs'!B105+'Model inputs'!S102*'Model inputs'!B104</f>
        <v>154.61375866601935</v>
      </c>
      <c r="T64" s="9">
        <f>'Model inputs'!T11*'Model inputs'!B105+'Model inputs'!T102*'Model inputs'!B104</f>
        <v>171.22678024207562</v>
      </c>
      <c r="U64" s="9">
        <f>'Model inputs'!U11*'Model inputs'!B105+'Model inputs'!U102*'Model inputs'!B104</f>
        <v>188.40318430341623</v>
      </c>
      <c r="V64" s="9">
        <f>'Model inputs'!V11*'Model inputs'!B105+'Model inputs'!V102*'Model inputs'!B104</f>
        <v>206.19613943859596</v>
      </c>
    </row>
    <row r="65" outlineLevel="1">
      <c r="A65" t="inlineStr" s="18">
        <is>
          <t xml:space="preserve">Payment fees &gt; Team</t>
        </is>
      </c>
      <c r="C65" s="9">
        <f>'Model inputs'!C12*'Model inputs'!B105+'Model inputs'!C103*'Model inputs'!B104</f>
        <v>0</v>
      </c>
      <c r="D65" s="9">
        <f>'Model inputs'!D12*'Model inputs'!B105+'Model inputs'!D103*'Model inputs'!B104</f>
        <v>0</v>
      </c>
      <c r="E65" s="9">
        <f>'Model inputs'!E12*'Model inputs'!B105+'Model inputs'!E103*'Model inputs'!B104</f>
        <v>29.08668</v>
      </c>
      <c r="F65" s="9">
        <f>'Model inputs'!F12*'Model inputs'!B105+'Model inputs'!F103*'Model inputs'!B104</f>
        <v>64.48558380833333</v>
      </c>
      <c r="G65" s="9">
        <f>'Model inputs'!G12*'Model inputs'!B105+'Model inputs'!G103*'Model inputs'!B104</f>
        <v>95.447949102625</v>
      </c>
      <c r="H65" s="9">
        <f>'Model inputs'!H12*'Model inputs'!B105+'Model inputs'!H103*'Model inputs'!B104</f>
        <v>129.23210542856012</v>
      </c>
      <c r="I65" s="9">
        <f>'Model inputs'!I12*'Model inputs'!B105+'Model inputs'!I103*'Model inputs'!B104</f>
        <v>165.98368157323554</v>
      </c>
      <c r="J65" s="9">
        <f>'Model inputs'!J12*'Model inputs'!B105+'Model inputs'!J103*'Model inputs'!B104</f>
        <v>205.88174904325575</v>
      </c>
      <c r="K65" s="9">
        <f>'Model inputs'!K12*'Model inputs'!B105+'Model inputs'!K103*'Model inputs'!B104</f>
        <v>249.14033690066623</v>
      </c>
      <c r="L65" s="9">
        <f>'Model inputs'!L12*'Model inputs'!B105+'Model inputs'!L103*'Model inputs'!B104</f>
        <v>214.56229330490257</v>
      </c>
      <c r="M65" s="9">
        <f>'Model inputs'!M12*'Model inputs'!B105+'Model inputs'!M103*'Model inputs'!B104</f>
        <v>244.67742425904197</v>
      </c>
      <c r="N65" s="9">
        <f>'Model inputs'!N12*'Model inputs'!B105+'Model inputs'!N103*'Model inputs'!B104</f>
        <v>271.05934994538904</v>
      </c>
      <c r="O65" s="9">
        <f>'Model inputs'!O12*'Model inputs'!B105+'Model inputs'!O103*'Model inputs'!B104</f>
        <v>298.2476900426359</v>
      </c>
      <c r="P65" s="9">
        <f>'Model inputs'!P12*'Model inputs'!B105+'Model inputs'!P103*'Model inputs'!B104</f>
        <v>326.26199544231343</v>
      </c>
      <c r="Q65" s="9">
        <f>'Model inputs'!Q12*'Model inputs'!B105+'Model inputs'!Q103*'Model inputs'!B104</f>
        <v>355.12444708191083</v>
      </c>
      <c r="R65" s="9">
        <f>'Model inputs'!R12*'Model inputs'!B105+'Model inputs'!R103*'Model inputs'!B104</f>
        <v>400.8176681715322</v>
      </c>
      <c r="S65" s="9">
        <f>'Model inputs'!S12*'Model inputs'!B105+'Model inputs'!S103*'Model inputs'!B104</f>
        <v>444.2096781011634</v>
      </c>
      <c r="T65" s="9">
        <f>'Model inputs'!T12*'Model inputs'!B105+'Model inputs'!T103*'Model inputs'!B104</f>
        <v>490.79061917253455</v>
      </c>
      <c r="U65" s="9">
        <f>'Model inputs'!U12*'Model inputs'!B105+'Model inputs'!U103*'Model inputs'!B104</f>
        <v>540.8282309840478</v>
      </c>
      <c r="V65" s="9">
        <f>'Model inputs'!V12*'Model inputs'!B105+'Model inputs'!V103*'Model inputs'!B104</f>
        <v>594.6269410012845</v>
      </c>
    </row>
    <row r="66">
      <c r="A66" t="inlineStr" s="16">
        <is>
          <t xml:space="preserve">Raise trigger: Team logos above</t>
        </is>
      </c>
      <c r="B66" s="17">
        <f>25</f>
        <v>25</v>
      </c>
    </row>
    <row r="67">
      <c r="A67" t="inlineStr" s="16">
        <is>
          <t xml:space="preserve">Starting cash</t>
        </is>
      </c>
      <c r="B67" s="9">
        <f>12000</f>
        <v>12000</v>
      </c>
    </row>
    <row r="68">
      <c r="A68" t="inlineStr" s="16">
        <is>
          <t xml:space="preserve">Subscription revenue</t>
        </is>
      </c>
      <c r="E68" s="7">
        <f>SUM('Model inputs'!E69,'Model inputs'!E70,'Model inputs'!E71)</f>
        <v>2553</v>
      </c>
      <c r="F68" s="7">
        <f>SUM('Model inputs'!F69,'Model inputs'!F70,'Model inputs'!F71)</f>
        <v>4238.892571759259</v>
      </c>
      <c r="G68" s="7">
        <f>SUM('Model inputs'!G69,'Model inputs'!G70,'Model inputs'!G71)</f>
        <v>5619.07620474537</v>
      </c>
      <c r="H68" s="7">
        <f>SUM('Model inputs'!H69,'Model inputs'!H70,'Model inputs'!H71)</f>
        <v>7059.242292681289</v>
      </c>
      <c r="I68" s="7">
        <f>SUM('Model inputs'!I69,'Model inputs'!I70,'Model inputs'!I71)</f>
        <v>8565.713314360173</v>
      </c>
      <c r="J68" s="7">
        <f>SUM('Model inputs'!J69,'Model inputs'!J70,'Model inputs'!J71)</f>
        <v>10145.298558292714</v>
      </c>
      <c r="K68" s="7">
        <f>SUM('Model inputs'!K69,'Model inputs'!K70,'Model inputs'!K71)</f>
        <v>11805.331436398072</v>
      </c>
      <c r="L68" s="7">
        <f>SUM('Model inputs'!L69,'Model inputs'!L70,'Model inputs'!L71)</f>
        <v>13628.675558675464</v>
      </c>
      <c r="M68" s="7">
        <f>SUM('Model inputs'!M69,'Model inputs'!M70,'Model inputs'!M71)</f>
        <v>15572.109995973886</v>
      </c>
      <c r="N68" s="7">
        <f>SUM('Model inputs'!N69,'Model inputs'!N70,'Model inputs'!N71)</f>
        <v>17548.576204826146</v>
      </c>
      <c r="O68" s="7">
        <f>SUM('Model inputs'!O69,'Model inputs'!O70,'Model inputs'!O71)</f>
        <v>19560.816437953057</v>
      </c>
      <c r="P68" s="7">
        <f>SUM('Model inputs'!P69,'Model inputs'!P70,'Model inputs'!P71)</f>
        <v>21611.61830678775</v>
      </c>
      <c r="Q68" s="7">
        <f>SUM('Model inputs'!Q69,'Model inputs'!Q70,'Model inputs'!Q71)</f>
        <v>23703.820189069855</v>
      </c>
      <c r="R68" s="7">
        <f>SUM('Model inputs'!R69,'Model inputs'!R70,'Model inputs'!R71)</f>
        <v>25840.31663180946</v>
      </c>
      <c r="S68" s="7">
        <f>SUM('Model inputs'!S69,'Model inputs'!S70,'Model inputs'!S71)</f>
        <v>28024.063763605744</v>
      </c>
      <c r="T68" s="7">
        <f>SUM('Model inputs'!T69,'Model inputs'!T70,'Model inputs'!T71)</f>
        <v>30258.08472993787</v>
      </c>
      <c r="U68" s="7">
        <f>SUM('Model inputs'!U69,'Model inputs'!U70,'Model inputs'!U71)</f>
        <v>32545.475164724863</v>
      </c>
      <c r="V68" s="7">
        <f>SUM('Model inputs'!V69,'Model inputs'!V70,'Model inputs'!V71)</f>
        <v>34889.40871117456</v>
      </c>
    </row>
    <row r="69" outlineLevel="1">
      <c r="A69" t="inlineStr" s="18">
        <is>
          <t xml:space="preserve">Subscription revenue &gt; Indie</t>
        </is>
      </c>
      <c r="E69" s="9">
        <f>'Model inputs'!E167*'Model inputs'!B171+'Model inputs'!E77*'Model inputs'!B81/12</f>
        <v>1160</v>
      </c>
      <c r="F69" s="9">
        <f>'Model inputs'!F167*'Model inputs'!B171+'Model inputs'!F77*'Model inputs'!B81/12</f>
        <v>2155.6666666666665</v>
      </c>
      <c r="G69" s="9">
        <f>'Model inputs'!G167*'Model inputs'!B171+'Model inputs'!G77*'Model inputs'!B81/12</f>
        <v>2794.9555555555557</v>
      </c>
      <c r="H69" s="9">
        <f>'Model inputs'!H167*'Model inputs'!B171+'Model inputs'!H77*'Model inputs'!B81/12</f>
        <v>3454.2651851851856</v>
      </c>
      <c r="I69" s="9">
        <f>'Model inputs'!I167*'Model inputs'!B171+'Model inputs'!I77*'Model inputs'!B81/12</f>
        <v>4137.272039506173</v>
      </c>
      <c r="J69" s="9">
        <f>'Model inputs'!J167*'Model inputs'!B171+'Model inputs'!J77*'Model inputs'!B81/12</f>
        <v>4847.808399539095</v>
      </c>
      <c r="K69" s="9">
        <f>'Model inputs'!K167*'Model inputs'!B171+'Model inputs'!K77*'Model inputs'!B81/12</f>
        <v>5589.884028583156</v>
      </c>
      <c r="L69" s="9">
        <f>'Model inputs'!L167*'Model inputs'!B171+'Model inputs'!L77*'Model inputs'!B81/12</f>
        <v>6367.708977478679</v>
      </c>
      <c r="M69" s="9">
        <f>'Model inputs'!M167*'Model inputs'!B171+'Model inputs'!M77*'Model inputs'!B81/12</f>
        <v>7185.71764051192</v>
      </c>
      <c r="N69" s="9">
        <f>'Model inputs'!N167*'Model inputs'!B171+'Model inputs'!N77*'Model inputs'!B81/12</f>
        <v>7998.893296470884</v>
      </c>
      <c r="O69" s="9">
        <f>'Model inputs'!O167*'Model inputs'!B171+'Model inputs'!O77*'Model inputs'!B81/12</f>
        <v>8809.546181978976</v>
      </c>
      <c r="P69" s="9">
        <f>'Model inputs'!P167*'Model inputs'!B171+'Model inputs'!P77*'Model inputs'!B81/12</f>
        <v>9619.912039330773</v>
      </c>
      <c r="Q69" s="9">
        <f>'Model inputs'!Q167*'Model inputs'!B171+'Model inputs'!Q77*'Model inputs'!B81/12</f>
        <v>10432.160263638465</v>
      </c>
      <c r="R69" s="9">
        <f>'Model inputs'!R167*'Model inputs'!B171+'Model inputs'!R77*'Model inputs'!B81/12</f>
        <v>11248.401634069502</v>
      </c>
      <c r="S69" s="9">
        <f>'Model inputs'!S167*'Model inputs'!B171+'Model inputs'!S77*'Model inputs'!B81/12</f>
        <v>12070.695661992082</v>
      </c>
      <c r="T69" s="9">
        <f>'Model inputs'!T167*'Model inputs'!B171+'Model inputs'!T77*'Model inputs'!B81/12</f>
        <v>12901.05758686091</v>
      </c>
      <c r="U69" s="9">
        <f>'Model inputs'!U167*'Model inputs'!B171+'Model inputs'!U77*'Model inputs'!B81/12</f>
        <v>13741.465048831882</v>
      </c>
      <c r="V69" s="9">
        <f>'Model inputs'!V167*'Model inputs'!B171+'Model inputs'!V77*'Model inputs'!B81/12</f>
        <v>14593.864465381925</v>
      </c>
    </row>
    <row r="70" outlineLevel="1">
      <c r="A70" t="inlineStr" s="18">
        <is>
          <t xml:space="preserve">Subscription revenue &gt; Launch</t>
        </is>
      </c>
      <c r="E70" s="9">
        <f>'Model inputs'!E168*'Model inputs'!B172+'Model inputs'!E78*'Model inputs'!B82/12</f>
        <v>499</v>
      </c>
      <c r="F70" s="9">
        <f>'Model inputs'!F168*'Model inputs'!B172+'Model inputs'!F78*'Model inputs'!B82/12</f>
        <v>746.1644027777778</v>
      </c>
      <c r="G70" s="9">
        <f>'Model inputs'!G168*'Model inputs'!B172+'Model inputs'!G78*'Model inputs'!B82/12</f>
        <v>990.8792026195986</v>
      </c>
      <c r="H70" s="9">
        <f>'Model inputs'!H168*'Model inputs'!B172+'Model inputs'!H78*'Model inputs'!B82/12</f>
        <v>1233.8893850527725</v>
      </c>
      <c r="I70" s="9">
        <f>'Model inputs'!I168*'Model inputs'!B172+'Model inputs'!I78*'Model inputs'!B82/12</f>
        <v>1475.7622173757368</v>
      </c>
      <c r="J70" s="9">
        <f>'Model inputs'!J168*'Model inputs'!B172+'Model inputs'!J78*'Model inputs'!B82/12</f>
        <v>1717.0783137611559</v>
      </c>
      <c r="K70" s="9">
        <f>'Model inputs'!K168*'Model inputs'!B172+'Model inputs'!K78*'Model inputs'!B82/12</f>
        <v>1958.4353958589545</v>
      </c>
      <c r="L70" s="9">
        <f>'Model inputs'!L168*'Model inputs'!B172+'Model inputs'!L78*'Model inputs'!B82/12</f>
        <v>2223.407634327279</v>
      </c>
      <c r="M70" s="9">
        <f>'Model inputs'!M168*'Model inputs'!B172+'Model inputs'!M78*'Model inputs'!B82/12</f>
        <v>2495.297149412143</v>
      </c>
      <c r="N70" s="9">
        <f>'Model inputs'!N168*'Model inputs'!B172+'Model inputs'!N78*'Model inputs'!B82/12</f>
        <v>2775.0186851189155</v>
      </c>
      <c r="O70" s="9">
        <f>'Model inputs'!O168*'Model inputs'!B172+'Model inputs'!O78*'Model inputs'!B82/12</f>
        <v>3062.873842409105</v>
      </c>
      <c r="P70" s="9">
        <f>'Model inputs'!P168*'Model inputs'!B172+'Model inputs'!P78*'Model inputs'!B82/12</f>
        <v>3359.1615180606896</v>
      </c>
      <c r="Q70" s="9">
        <f>'Model inputs'!Q168*'Model inputs'!B172+'Model inputs'!Q78*'Model inputs'!B82/12</f>
        <v>3664.179655411389</v>
      </c>
      <c r="R70" s="9">
        <f>'Model inputs'!R168*'Model inputs'!B172+'Model inputs'!R78*'Model inputs'!B82/12</f>
        <v>3978.2269061825664</v>
      </c>
      <c r="S70" s="9">
        <f>'Model inputs'!S168*'Model inputs'!B172+'Model inputs'!S78*'Model inputs'!B82/12</f>
        <v>4301.6042116974095</v>
      </c>
      <c r="T70" s="9">
        <f>'Model inputs'!T168*'Model inputs'!B172+'Model inputs'!T78*'Model inputs'!B82/12</f>
        <v>4634.616311303498</v>
      </c>
      <c r="U70" s="9">
        <f>'Model inputs'!U168*'Model inputs'!B172+'Model inputs'!U78*'Model inputs'!B82/12</f>
        <v>4977.573185343535</v>
      </c>
      <c r="V70" s="9">
        <f>'Model inputs'!V168*'Model inputs'!B172+'Model inputs'!V78*'Model inputs'!B82/12</f>
        <v>5330.79143958643</v>
      </c>
    </row>
    <row r="71" outlineLevel="1">
      <c r="A71" t="inlineStr" s="18">
        <is>
          <t xml:space="preserve">Subscription revenue &gt; Team</t>
        </is>
      </c>
      <c r="E71" s="9">
        <f>'Model inputs'!E169*'Model inputs'!B173+'Model inputs'!E79*'Model inputs'!B83/12</f>
        <v>894</v>
      </c>
      <c r="F71" s="9">
        <f>'Model inputs'!F169*'Model inputs'!B173+'Model inputs'!F79*'Model inputs'!B83/12</f>
        <v>1337.061502314815</v>
      </c>
      <c r="G71" s="9">
        <f>'Model inputs'!G169*'Model inputs'!B173+'Model inputs'!G79*'Model inputs'!B83/12</f>
        <v>1833.241446570216</v>
      </c>
      <c r="H71" s="9">
        <f>'Model inputs'!H169*'Model inputs'!B173+'Model inputs'!H79*'Model inputs'!B83/12</f>
        <v>2371.0877224433307</v>
      </c>
      <c r="I71" s="9">
        <f>'Model inputs'!I169*'Model inputs'!B173+'Model inputs'!I79*'Model inputs'!B83/12</f>
        <v>2952.679057478263</v>
      </c>
      <c r="J71" s="9">
        <f>'Model inputs'!J169*'Model inputs'!B173+'Model inputs'!J79*'Model inputs'!B83/12</f>
        <v>3580.4118449924626</v>
      </c>
      <c r="K71" s="9">
        <f>'Model inputs'!K169*'Model inputs'!B173+'Model inputs'!K79*'Model inputs'!B83/12</f>
        <v>4257.012011955962</v>
      </c>
      <c r="L71" s="9">
        <f>'Model inputs'!L169*'Model inputs'!B173+'Model inputs'!L79*'Model inputs'!B83/12</f>
        <v>5037.558946869506</v>
      </c>
      <c r="M71" s="9">
        <f>'Model inputs'!M169*'Model inputs'!B173+'Model inputs'!M79*'Model inputs'!B83/12</f>
        <v>5891.095206049824</v>
      </c>
      <c r="N71" s="9">
        <f>'Model inputs'!N169*'Model inputs'!B173+'Model inputs'!N79*'Model inputs'!B83/12</f>
        <v>6774.664223236348</v>
      </c>
      <c r="O71" s="9">
        <f>'Model inputs'!O169*'Model inputs'!B173+'Model inputs'!O79*'Model inputs'!B83/12</f>
        <v>7688.396413564975</v>
      </c>
      <c r="P71" s="9">
        <f>'Model inputs'!P169*'Model inputs'!B173+'Model inputs'!P79*'Model inputs'!B83/12</f>
        <v>8632.544749396286</v>
      </c>
      <c r="Q71" s="9">
        <f>'Model inputs'!Q169*'Model inputs'!B173+'Model inputs'!Q79*'Model inputs'!B83/12</f>
        <v>9607.480270020002</v>
      </c>
      <c r="R71" s="9">
        <f>'Model inputs'!R169*'Model inputs'!B173+'Model inputs'!R79*'Model inputs'!B83/12</f>
        <v>10613.688091557391</v>
      </c>
      <c r="S71" s="9">
        <f>'Model inputs'!S169*'Model inputs'!B173+'Model inputs'!S79*'Model inputs'!B83/12</f>
        <v>11651.76388991625</v>
      </c>
      <c r="T71" s="9">
        <f>'Model inputs'!T169*'Model inputs'!B173+'Model inputs'!T79*'Model inputs'!B83/12</f>
        <v>12722.41083177346</v>
      </c>
      <c r="U71" s="9">
        <f>'Model inputs'!U169*'Model inputs'!B173+'Model inputs'!U79*'Model inputs'!B83/12</f>
        <v>13826.436930549444</v>
      </c>
      <c r="V71" s="9">
        <f>'Model inputs'!V169*'Model inputs'!B173+'Model inputs'!V79*'Model inputs'!B83/12</f>
        <v>14964.752806206205</v>
      </c>
    </row>
    <row r="72">
      <c r="A72" t="inlineStr" s="16">
        <is>
          <t xml:space="preserve">Total revenue</t>
        </is>
      </c>
      <c r="E72" s="7">
        <f>SUM('Model inputs'!E73,'Model inputs'!E74,'Model inputs'!E75)</f>
        <v>2697.6800000000003</v>
      </c>
      <c r="F72" s="7">
        <f>SUM('Model inputs'!F73,'Model inputs'!F74,'Model inputs'!F75)</f>
        <v>4481.89507175926</v>
      </c>
      <c r="G72" s="7">
        <f>SUM('Model inputs'!G73,'Model inputs'!G74,'Model inputs'!G75)</f>
        <v>5942.2303711064815</v>
      </c>
      <c r="H72" s="7">
        <f>SUM('Model inputs'!H73,'Model inputs'!H74,'Model inputs'!H75)</f>
        <v>7466.747638507654</v>
      </c>
      <c r="I72" s="7">
        <f>SUM('Model inputs'!I73,'Model inputs'!I74,'Model inputs'!I75)</f>
        <v>9062.22892048943</v>
      </c>
      <c r="J72" s="7">
        <f>SUM('Model inputs'!J73,'Model inputs'!J74,'Model inputs'!J75)</f>
        <v>10735.980486577066</v>
      </c>
      <c r="K72" s="7">
        <f>SUM('Model inputs'!K73,'Model inputs'!K74,'Model inputs'!K75)</f>
        <v>12495.873782727971</v>
      </c>
      <c r="L72" s="7">
        <f>SUM('Model inputs'!L73,'Model inputs'!L74,'Model inputs'!L75)</f>
        <v>14425.355466802397</v>
      </c>
      <c r="M72" s="7">
        <f>SUM('Model inputs'!M73,'Model inputs'!M74,'Model inputs'!M75)</f>
        <v>16481.836984085563</v>
      </c>
      <c r="N72" s="7">
        <f>SUM('Model inputs'!N73,'Model inputs'!N74,'Model inputs'!N75)</f>
        <v>18573.18684566851</v>
      </c>
      <c r="O72" s="7">
        <f>SUM('Model inputs'!O73,'Model inputs'!O74,'Model inputs'!O75)</f>
        <v>20702.312341418667</v>
      </c>
      <c r="P72" s="7">
        <f>SUM('Model inputs'!P73,'Model inputs'!P74,'Model inputs'!P75)</f>
        <v>22872.168272079078</v>
      </c>
      <c r="Q72" s="7">
        <f>SUM('Model inputs'!Q73,'Model inputs'!Q74,'Model inputs'!Q75)</f>
        <v>25085.762702985274</v>
      </c>
      <c r="R72" s="7">
        <f>SUM('Model inputs'!R73,'Model inputs'!R74,'Model inputs'!R75)</f>
        <v>27346.162710611366</v>
      </c>
      <c r="S72" s="7">
        <f>SUM('Model inputs'!S73,'Model inputs'!S74,'Model inputs'!S75)</f>
        <v>29656.50013689306</v>
      </c>
      <c r="T72" s="7">
        <f>SUM('Model inputs'!T73,'Model inputs'!T74,'Model inputs'!T75)</f>
        <v>32019.977365876286</v>
      </c>
      <c r="U72" s="7">
        <f>SUM('Model inputs'!U73,'Model inputs'!U74,'Model inputs'!U75)</f>
        <v>34439.87313689126</v>
      </c>
      <c r="V72" s="7">
        <f>SUM('Model inputs'!V73,'Model inputs'!V74,'Model inputs'!V75)</f>
        <v>36919.5484081502</v>
      </c>
    </row>
    <row r="73" outlineLevel="1">
      <c r="A73" t="inlineStr" s="18">
        <is>
          <t xml:space="preserve">Total revenue &gt; Indie</t>
        </is>
      </c>
      <c r="E73" s="9">
        <f>'Model inputs'!E69+'Model inputs'!E59+'Model inputs'!E29</f>
        <v>1230.4</v>
      </c>
      <c r="F73" s="9">
        <f>'Model inputs'!F69+'Model inputs'!F59+'Model inputs'!F29</f>
        <v>2286.4933333333333</v>
      </c>
      <c r="G73" s="9">
        <f>'Model inputs'!G69+'Model inputs'!G59+'Model inputs'!G29</f>
        <v>2964.5804444444448</v>
      </c>
      <c r="H73" s="9">
        <f>'Model inputs'!H69+'Model inputs'!H59+'Model inputs'!H29</f>
        <v>3663.903348148149</v>
      </c>
      <c r="I73" s="9">
        <f>'Model inputs'!I69+'Model inputs'!I59+'Model inputs'!I29</f>
        <v>4388.3616529382725</v>
      </c>
      <c r="J73" s="9">
        <f>'Model inputs'!J69+'Model inputs'!J59+'Model inputs'!J29</f>
        <v>5142.0202196490545</v>
      </c>
      <c r="K73" s="9">
        <f>'Model inputs'!K69+'Model inputs'!K59+'Model inputs'!K29</f>
        <v>5929.13216273165</v>
      </c>
      <c r="L73" s="9">
        <f>'Model inputs'!L69+'Model inputs'!L59+'Model inputs'!L29</f>
        <v>6754.163039560144</v>
      </c>
      <c r="M73" s="9">
        <f>'Model inputs'!M69+'Model inputs'!M59+'Model inputs'!M29</f>
        <v>7621.816366280919</v>
      </c>
      <c r="N73" s="9">
        <f>'Model inputs'!N69+'Model inputs'!N59+'Model inputs'!N29</f>
        <v>8484.343372394635</v>
      </c>
      <c r="O73" s="9">
        <f>'Model inputs'!O69+'Model inputs'!O59+'Model inputs'!O29</f>
        <v>9344.194501988735</v>
      </c>
      <c r="P73" s="9">
        <f>'Model inputs'!P69+'Model inputs'!P59+'Model inputs'!P29</f>
        <v>10203.74118378671</v>
      </c>
      <c r="Q73" s="9">
        <f>'Model inputs'!Q69+'Model inputs'!Q59+'Model inputs'!Q29</f>
        <v>11065.284472742042</v>
      </c>
      <c r="R73" s="9">
        <f>'Model inputs'!R69+'Model inputs'!R59+'Model inputs'!R29</f>
        <v>11931.063250481995</v>
      </c>
      <c r="S73" s="9">
        <f>'Model inputs'!S69+'Model inputs'!S59+'Model inputs'!S29</f>
        <v>12803.262019409533</v>
      </c>
      <c r="T73" s="9">
        <f>'Model inputs'!T69+'Model inputs'!T59+'Model inputs'!T29</f>
        <v>13684.01832316695</v>
      </c>
      <c r="U73" s="9">
        <f>'Model inputs'!U69+'Model inputs'!U59+'Model inputs'!U29</f>
        <v>14575.429824209265</v>
      </c>
      <c r="V73" s="9">
        <f>'Model inputs'!V69+'Model inputs'!V59+'Model inputs'!V29</f>
        <v>15479.561067418897</v>
      </c>
    </row>
    <row r="74" outlineLevel="1">
      <c r="A74" t="inlineStr" s="18">
        <is>
          <t xml:space="preserve">Total revenue &gt; Launch</t>
        </is>
      </c>
      <c r="E74" s="9">
        <f>'Model inputs'!E70+'Model inputs'!E60+'Model inputs'!E30</f>
        <v>526.36</v>
      </c>
      <c r="F74" s="9">
        <f>'Model inputs'!F70+'Model inputs'!F60+'Model inputs'!F30</f>
        <v>787.4780027777778</v>
      </c>
      <c r="G74" s="9">
        <f>'Model inputs'!G70+'Model inputs'!G60+'Model inputs'!G30</f>
        <v>1046.2861286195985</v>
      </c>
      <c r="H74" s="9">
        <f>'Model inputs'!H70+'Model inputs'!H60+'Model inputs'!H30</f>
        <v>1303.5756353044392</v>
      </c>
      <c r="I74" s="9">
        <f>'Model inputs'!I70+'Model inputs'!I60+'Model inputs'!I30</f>
        <v>1559.9517961648992</v>
      </c>
      <c r="J74" s="9">
        <f>'Model inputs'!J70+'Model inputs'!J60+'Model inputs'!J30</f>
        <v>1816.0355541351703</v>
      </c>
      <c r="K74" s="9">
        <f>'Model inputs'!K70+'Model inputs'!K60+'Model inputs'!K30</f>
        <v>2072.4676212244485</v>
      </c>
      <c r="L74" s="9">
        <f>'Model inputs'!L70+'Model inputs'!L60+'Model inputs'!L30</f>
        <v>2352.8681827697096</v>
      </c>
      <c r="M74" s="9">
        <f>'Model inputs'!M70+'Model inputs'!M60+'Model inputs'!M30</f>
        <v>2640.5887875725334</v>
      </c>
      <c r="N74" s="9">
        <f>'Model inputs'!N70+'Model inputs'!N60+'Model inputs'!N30</f>
        <v>2936.597441693701</v>
      </c>
      <c r="O74" s="9">
        <f>'Model inputs'!O70+'Model inputs'!O60+'Model inputs'!O30</f>
        <v>3241.2133071686694</v>
      </c>
      <c r="P74" s="9">
        <f>'Model inputs'!P70+'Model inputs'!P60+'Model inputs'!P30</f>
        <v>3554.7526843950727</v>
      </c>
      <c r="Q74" s="9">
        <f>'Model inputs'!Q70+'Model inputs'!Q60+'Model inputs'!Q30</f>
        <v>3877.530864815093</v>
      </c>
      <c r="R74" s="9">
        <f>'Model inputs'!R70+'Model inputs'!R60+'Model inputs'!R30</f>
        <v>4209.863889501037</v>
      </c>
      <c r="S74" s="9">
        <f>'Model inputs'!S70+'Model inputs'!S60+'Model inputs'!S30</f>
        <v>4552.070222441817</v>
      </c>
      <c r="T74" s="9">
        <f>'Model inputs'!T70+'Model inputs'!T60+'Model inputs'!T30</f>
        <v>4904.472346795219</v>
      </c>
      <c r="U74" s="9">
        <f>'Model inputs'!U70+'Model inputs'!U60+'Model inputs'!U30</f>
        <v>5267.398291877309</v>
      </c>
      <c r="V74" s="9">
        <f>'Model inputs'!V70+'Model inputs'!V60+'Model inputs'!V30</f>
        <v>5641.183098203667</v>
      </c>
    </row>
    <row r="75" outlineLevel="1">
      <c r="A75" t="inlineStr" s="18">
        <is>
          <t xml:space="preserve">Total revenue &gt; Team</t>
        </is>
      </c>
      <c r="E75" s="9">
        <f>'Model inputs'!E71+'Model inputs'!E61+'Model inputs'!E31</f>
        <v>940.92</v>
      </c>
      <c r="F75" s="9">
        <f>'Model inputs'!F71+'Model inputs'!F61+'Model inputs'!F31</f>
        <v>1407.9237356481483</v>
      </c>
      <c r="G75" s="9">
        <f>'Model inputs'!G71+'Model inputs'!G61+'Model inputs'!G31</f>
        <v>1931.3637980424382</v>
      </c>
      <c r="H75" s="9">
        <f>'Model inputs'!H71+'Model inputs'!H61+'Model inputs'!H31</f>
        <v>2499.2686550550666</v>
      </c>
      <c r="I75" s="9">
        <f>'Model inputs'!I71+'Model inputs'!I61+'Model inputs'!I31</f>
        <v>3113.9154713862586</v>
      </c>
      <c r="J75" s="9">
        <f>'Model inputs'!J71+'Model inputs'!J61+'Model inputs'!J31</f>
        <v>3777.9247127928406</v>
      </c>
      <c r="K75" s="9">
        <f>'Model inputs'!K71+'Model inputs'!K61+'Model inputs'!K31</f>
        <v>4494.273998771872</v>
      </c>
      <c r="L75" s="9">
        <f>'Model inputs'!L71+'Model inputs'!L61+'Model inputs'!L31</f>
        <v>5318.324244472544</v>
      </c>
      <c r="M75" s="9">
        <f>'Model inputs'!M71+'Model inputs'!M61+'Model inputs'!M31</f>
        <v>6219.43183023211</v>
      </c>
      <c r="N75" s="9">
        <f>'Model inputs'!N71+'Model inputs'!N61+'Model inputs'!N31</f>
        <v>7152.246031580174</v>
      </c>
      <c r="O75" s="9">
        <f>'Model inputs'!O71+'Model inputs'!O61+'Model inputs'!O31</f>
        <v>8116.904532261261</v>
      </c>
      <c r="P75" s="9">
        <f>'Model inputs'!P71+'Model inputs'!P61+'Model inputs'!P31</f>
        <v>9113.674403897294</v>
      </c>
      <c r="Q75" s="9">
        <f>'Model inputs'!Q71+'Model inputs'!Q61+'Model inputs'!Q31</f>
        <v>10142.947365428137</v>
      </c>
      <c r="R75" s="9">
        <f>'Model inputs'!R71+'Model inputs'!R61+'Model inputs'!R31</f>
        <v>11205.235570628334</v>
      </c>
      <c r="S75" s="9">
        <f>'Model inputs'!S71+'Model inputs'!S61+'Model inputs'!S31</f>
        <v>12301.167895041712</v>
      </c>
      <c r="T75" s="9">
        <f>'Model inputs'!T71+'Model inputs'!T61+'Model inputs'!T31</f>
        <v>13431.486695914116</v>
      </c>
      <c r="U75" s="9">
        <f>'Model inputs'!U71+'Model inputs'!U61+'Model inputs'!U31</f>
        <v>14597.045020804691</v>
      </c>
      <c r="V75" s="9">
        <f>'Model inputs'!V71+'Model inputs'!V61+'Model inputs'!V31</f>
        <v>15798.804242527634</v>
      </c>
    </row>
    <row r="76">
      <c r="A76" t="inlineStr" s="16">
        <is>
          <t xml:space="preserve">Annual payers</t>
        </is>
      </c>
      <c r="C76" s="19">
        <f>SUM('Model inputs'!C77,'Model inputs'!C78,'Model inputs'!C79)</f>
        <v>0</v>
      </c>
      <c r="D76" s="19">
        <f>SUM('Model inputs'!D77,'Model inputs'!D78,'Model inputs'!D79)</f>
        <v>0</v>
      </c>
      <c r="E76" s="19">
        <f>SUM('Model inputs'!E77,'Model inputs'!E78,'Model inputs'!E79)</f>
        <v>0</v>
      </c>
      <c r="F76" s="19">
        <f>SUM('Model inputs'!F77,'Model inputs'!F78,'Model inputs'!F79)</f>
        <v>0.6166805555555555</v>
      </c>
      <c r="G76" s="19">
        <f>SUM('Model inputs'!G77,'Model inputs'!G78,'Model inputs'!G79)</f>
        <v>1.7001509259259258</v>
      </c>
      <c r="H76" s="19">
        <f>SUM('Model inputs'!H77,'Model inputs'!H78,'Model inputs'!H79)</f>
        <v>3.3142262436921293</v>
      </c>
      <c r="I76" s="19">
        <f>SUM('Model inputs'!I77,'Model inputs'!I78,'Model inputs'!I79)</f>
        <v>5.52896673923296</v>
      </c>
      <c r="J76" s="19">
        <f>SUM('Model inputs'!J77,'Model inputs'!J78,'Model inputs'!J79)</f>
        <v>8.421658634455934</v>
      </c>
      <c r="K76" s="19">
        <f>SUM('Model inputs'!K77,'Model inputs'!K78,'Model inputs'!K79)</f>
        <v>12.077888205449133</v>
      </c>
      <c r="L76" s="19">
        <f>SUM('Model inputs'!L77,'Model inputs'!L78,'Model inputs'!L79)</f>
        <v>14.22233257679</v>
      </c>
      <c r="M76" s="19">
        <f>SUM('Model inputs'!M77,'Model inputs'!M78,'Model inputs'!M79)</f>
        <v>16.55400161722904</v>
      </c>
      <c r="N76" s="19">
        <f>SUM('Model inputs'!N77,'Model inputs'!N78,'Model inputs'!N79)</f>
        <v>18.966421257560743</v>
      </c>
      <c r="O76" s="19">
        <f>SUM('Model inputs'!O77,'Model inputs'!O78,'Model inputs'!O79)</f>
        <v>21.4601414673846</v>
      </c>
      <c r="P76" s="19">
        <f>SUM('Model inputs'!P77,'Model inputs'!P78,'Model inputs'!P79)</f>
        <v>24.036015921832515</v>
      </c>
      <c r="Q76" s="19">
        <f>SUM('Model inputs'!Q77,'Model inputs'!Q78,'Model inputs'!Q79)</f>
        <v>26.6951921045445</v>
      </c>
      <c r="R76" s="19">
        <f>SUM('Model inputs'!R77,'Model inputs'!R78,'Model inputs'!R79)</f>
        <v>29.439102592159472</v>
      </c>
      <c r="S76" s="19">
        <f>SUM('Model inputs'!S77,'Model inputs'!S78,'Model inputs'!S79)</f>
        <v>32.26945745879919</v>
      </c>
      <c r="T76" s="19">
        <f>SUM('Model inputs'!T77,'Model inputs'!T78,'Model inputs'!T79)</f>
        <v>35.18823774393777</v>
      </c>
      <c r="U76" s="19">
        <f>SUM('Model inputs'!U77,'Model inputs'!U78,'Model inputs'!U79)</f>
        <v>38.19768993166413</v>
      </c>
      <c r="V76" s="19">
        <f>SUM('Model inputs'!V77,'Model inputs'!V78,'Model inputs'!V79)</f>
        <v>41.30032139368141</v>
      </c>
    </row>
    <row r="77" outlineLevel="1">
      <c r="A77" t="inlineStr" s="18">
        <is>
          <t xml:space="preserve">Annual payers &gt; Indie</t>
        </is>
      </c>
      <c r="C77" s="13">
        <f>'Model inputs'!C20*'Model inputs'!C254</f>
        <v>0</v>
      </c>
      <c r="D77" s="13">
        <f>'Model inputs'!D20*'Model inputs'!D254</f>
        <v>0</v>
      </c>
      <c r="E77" s="13">
        <f>'Model inputs'!E20*'Model inputs'!E254</f>
        <v>0</v>
      </c>
      <c r="F77" s="13">
        <f>'Model inputs'!F20*'Model inputs'!F254</f>
        <v>0</v>
      </c>
      <c r="G77" s="13">
        <f>'Model inputs'!G20*'Model inputs'!G254</f>
        <v>0</v>
      </c>
      <c r="H77" s="13">
        <f>'Model inputs'!H20*'Model inputs'!H254</f>
        <v>0</v>
      </c>
      <c r="I77" s="13">
        <f>'Model inputs'!I20*'Model inputs'!I254</f>
        <v>0</v>
      </c>
      <c r="J77" s="13">
        <f>'Model inputs'!J20*'Model inputs'!J254</f>
        <v>0</v>
      </c>
      <c r="K77" s="13">
        <f>'Model inputs'!K20*'Model inputs'!K254</f>
        <v>0</v>
      </c>
      <c r="L77" s="13">
        <f>'Model inputs'!L20*'Model inputs'!L254</f>
        <v>0</v>
      </c>
      <c r="M77" s="13">
        <f>'Model inputs'!M20*'Model inputs'!M254</f>
        <v>0</v>
      </c>
      <c r="N77" s="13">
        <f>'Model inputs'!N20*'Model inputs'!N254</f>
        <v>0</v>
      </c>
      <c r="O77" s="13">
        <f>'Model inputs'!O20*'Model inputs'!O254</f>
        <v>0</v>
      </c>
      <c r="P77" s="13">
        <f>'Model inputs'!P20*'Model inputs'!P254</f>
        <v>0</v>
      </c>
      <c r="Q77" s="13">
        <f>'Model inputs'!Q20*'Model inputs'!Q254</f>
        <v>0</v>
      </c>
      <c r="R77" s="13">
        <f>'Model inputs'!R20*'Model inputs'!R254</f>
        <v>0</v>
      </c>
      <c r="S77" s="13">
        <f>'Model inputs'!S20*'Model inputs'!S254</f>
        <v>0</v>
      </c>
      <c r="T77" s="13">
        <f>'Model inputs'!T20*'Model inputs'!T254</f>
        <v>0</v>
      </c>
      <c r="U77" s="13">
        <f>'Model inputs'!U20*'Model inputs'!U254</f>
        <v>0</v>
      </c>
      <c r="V77" s="13">
        <f>'Model inputs'!V20*'Model inputs'!V254</f>
        <v>0</v>
      </c>
    </row>
    <row r="78" outlineLevel="1">
      <c r="A78" t="inlineStr" s="18">
        <is>
          <t xml:space="preserve">Annual payers &gt; Launch</t>
        </is>
      </c>
      <c r="C78" s="13">
        <f>'Model inputs'!C21*'Model inputs'!C255</f>
        <v>0</v>
      </c>
      <c r="D78" s="13">
        <f>'Model inputs'!D21*'Model inputs'!D255</f>
        <v>0</v>
      </c>
      <c r="E78" s="13">
        <f>'Model inputs'!E21*'Model inputs'!E255</f>
        <v>0</v>
      </c>
      <c r="F78" s="13">
        <f>'Model inputs'!F21*'Model inputs'!F255</f>
        <v>0.08808333333333332</v>
      </c>
      <c r="G78" s="13">
        <f>'Model inputs'!G21*'Model inputs'!G255</f>
        <v>0.23626247685185178</v>
      </c>
      <c r="H78" s="13">
        <f>'Model inputs'!H21*'Model inputs'!H255</f>
        <v>0.4457271123553239</v>
      </c>
      <c r="I78" s="13">
        <f>'Model inputs'!I21*'Model inputs'!I255</f>
        <v>0.7179910471785299</v>
      </c>
      <c r="J78" s="13">
        <f>'Model inputs'!J21*'Model inputs'!J255</f>
        <v>1.0549169752346819</v>
      </c>
      <c r="K78" s="13">
        <f>'Model inputs'!K21*'Model inputs'!K255</f>
        <v>1.4587455730235</v>
      </c>
      <c r="L78" s="13">
        <f>'Model inputs'!L21*'Model inputs'!L255</f>
        <v>1.6561108170632544</v>
      </c>
      <c r="M78" s="13">
        <f>'Model inputs'!M21*'Model inputs'!M255</f>
        <v>1.8586284121395003</v>
      </c>
      <c r="N78" s="13">
        <f>'Model inputs'!N21*'Model inputs'!N255</f>
        <v>2.066979707645281</v>
      </c>
      <c r="O78" s="13">
        <f>'Model inputs'!O21*'Model inputs'!O255</f>
        <v>2.281389351821916</v>
      </c>
      <c r="P78" s="13">
        <f>'Model inputs'!P21*'Model inputs'!P255</f>
        <v>2.502079978692765</v>
      </c>
      <c r="Q78" s="13">
        <f>'Model inputs'!Q21*'Model inputs'!Q255</f>
        <v>2.7292735121087897</v>
      </c>
      <c r="R78" s="13">
        <f>'Model inputs'!R21*'Model inputs'!R255</f>
        <v>2.9631924035623065</v>
      </c>
      <c r="S78" s="13">
        <f>'Model inputs'!S21*'Model inputs'!S255</f>
        <v>3.20406080996136</v>
      </c>
      <c r="T78" s="13">
        <f>'Model inputs'!T21*'Model inputs'!T255</f>
        <v>3.4521057171820972</v>
      </c>
      <c r="U78" s="13">
        <f>'Model inputs'!U21*'Model inputs'!U255</f>
        <v>3.7075580148691807</v>
      </c>
      <c r="V78" s="13">
        <f>'Model inputs'!V21*'Model inputs'!V255</f>
        <v>3.970653527632789</v>
      </c>
    </row>
    <row r="79" outlineLevel="1">
      <c r="A79" t="inlineStr" s="18">
        <is>
          <t xml:space="preserve">Annual payers &gt; Team</t>
        </is>
      </c>
      <c r="C79" s="13">
        <f>'Model inputs'!C22*'Model inputs'!C256</f>
        <v>0</v>
      </c>
      <c r="D79" s="13">
        <f>'Model inputs'!D22*'Model inputs'!D256</f>
        <v>0</v>
      </c>
      <c r="E79" s="13">
        <f>'Model inputs'!E22*'Model inputs'!E256</f>
        <v>0</v>
      </c>
      <c r="F79" s="13">
        <f>'Model inputs'!F22*'Model inputs'!F256</f>
        <v>0.5285972222222222</v>
      </c>
      <c r="G79" s="13">
        <f>'Model inputs'!G22*'Model inputs'!G256</f>
        <v>1.463888449074074</v>
      </c>
      <c r="H79" s="13">
        <f>'Model inputs'!H22*'Model inputs'!H256</f>
        <v>2.8684991313368053</v>
      </c>
      <c r="I79" s="13">
        <f>'Model inputs'!I22*'Model inputs'!I256</f>
        <v>4.81097569205443</v>
      </c>
      <c r="J79" s="13">
        <f>'Model inputs'!J22*'Model inputs'!J256</f>
        <v>7.366741659221253</v>
      </c>
      <c r="K79" s="13">
        <f>'Model inputs'!K22*'Model inputs'!K256</f>
        <v>10.619142632425634</v>
      </c>
      <c r="L79" s="13">
        <f>'Model inputs'!L22*'Model inputs'!L256</f>
        <v>12.566221759726746</v>
      </c>
      <c r="M79" s="13">
        <f>'Model inputs'!M22*'Model inputs'!M256</f>
        <v>14.69537320508954</v>
      </c>
      <c r="N79" s="13">
        <f>'Model inputs'!N22*'Model inputs'!N256</f>
        <v>16.899441549915462</v>
      </c>
      <c r="O79" s="13">
        <f>'Model inputs'!O22*'Model inputs'!O256</f>
        <v>19.178752115562684</v>
      </c>
      <c r="P79" s="13">
        <f>'Model inputs'!P22*'Model inputs'!P256</f>
        <v>21.53393594313975</v>
      </c>
      <c r="Q79" s="13">
        <f>'Model inputs'!Q22*'Model inputs'!Q256</f>
        <v>23.96591859243571</v>
      </c>
      <c r="R79" s="13">
        <f>'Model inputs'!R22*'Model inputs'!R256</f>
        <v>26.475910188597165</v>
      </c>
      <c r="S79" s="13">
        <f>'Model inputs'!S22*'Model inputs'!S256</f>
        <v>29.065396648837826</v>
      </c>
      <c r="T79" s="13">
        <f>'Model inputs'!T22*'Model inputs'!T256</f>
        <v>31.736132026755673</v>
      </c>
      <c r="U79" s="13">
        <f>'Model inputs'!U22*'Model inputs'!U256</f>
        <v>34.49013191679495</v>
      </c>
      <c r="V79" s="13">
        <f>'Model inputs'!V22*'Model inputs'!V256</f>
        <v>37.32966786604862</v>
      </c>
    </row>
    <row r="80">
      <c r="A80" t="inlineStr" s="16">
        <is>
          <t xml:space="preserve">Annual price</t>
        </is>
      </c>
      <c r="B80" s="7">
        <v>0</v>
      </c>
    </row>
    <row r="81" outlineLevel="1">
      <c r="A81" t="inlineStr" s="18">
        <is>
          <t xml:space="preserve">Annual price &gt; Indie</t>
        </is>
      </c>
      <c r="B81" s="9">
        <f>290</f>
        <v>290</v>
      </c>
    </row>
    <row r="82" outlineLevel="1">
      <c r="A82" t="inlineStr" s="18">
        <is>
          <t xml:space="preserve">Annual price &gt; Launch</t>
        </is>
      </c>
      <c r="B82" s="9">
        <f>4990</f>
        <v>4990</v>
      </c>
    </row>
    <row r="83" outlineLevel="1">
      <c r="A83" t="inlineStr" s="18">
        <is>
          <t xml:space="preserve">Annual price &gt; Team</t>
        </is>
      </c>
      <c r="B83" s="9">
        <f>1490</f>
        <v>1490</v>
      </c>
    </row>
    <row r="84">
      <c r="A84" t="inlineStr" s="16">
        <is>
          <t xml:space="preserve">Annual renewals</t>
        </is>
      </c>
      <c r="C84" s="19">
        <f>SUM('Model inputs'!C85,'Model inputs'!C86,'Model inputs'!C87)</f>
        <v>0</v>
      </c>
      <c r="D84" s="19">
        <f>SUM('Model inputs'!D85,'Model inputs'!D86,'Model inputs'!D87)</f>
        <v>0</v>
      </c>
      <c r="E84" s="19">
        <f>SUM('Model inputs'!E85,'Model inputs'!E86,'Model inputs'!E87)</f>
        <v>0</v>
      </c>
      <c r="F84" s="19">
        <f>SUM('Model inputs'!F85,'Model inputs'!F86,'Model inputs'!F87)</f>
        <v>0</v>
      </c>
      <c r="G84" s="19">
        <f>SUM('Model inputs'!G85,'Model inputs'!G86,'Model inputs'!G87)</f>
        <v>0</v>
      </c>
      <c r="H84" s="19">
        <f>SUM('Model inputs'!H85,'Model inputs'!H86,'Model inputs'!H87)</f>
        <v>0</v>
      </c>
      <c r="I84" s="19">
        <f>SUM('Model inputs'!I85,'Model inputs'!I86,'Model inputs'!I87)</f>
        <v>0</v>
      </c>
      <c r="J84" s="19">
        <f>SUM('Model inputs'!J85,'Model inputs'!J86,'Model inputs'!J87)</f>
        <v>0</v>
      </c>
      <c r="K84" s="19">
        <f>SUM('Model inputs'!K85,'Model inputs'!K86,'Model inputs'!K87)</f>
        <v>0</v>
      </c>
      <c r="L84" s="19">
        <f>SUM('Model inputs'!L85,'Model inputs'!L86,'Model inputs'!L87)</f>
        <v>0</v>
      </c>
      <c r="M84" s="19">
        <f>SUM('Model inputs'!M85,'Model inputs'!M86,'Model inputs'!M87)</f>
        <v>0</v>
      </c>
      <c r="N84" s="19">
        <f>SUM('Model inputs'!N85,'Model inputs'!N86,'Model inputs'!N87)</f>
        <v>0</v>
      </c>
      <c r="O84" s="19">
        <f>SUM('Model inputs'!O85,'Model inputs'!O86,'Model inputs'!O87)</f>
        <v>0</v>
      </c>
      <c r="P84" s="19">
        <f>SUM('Model inputs'!P85,'Model inputs'!P86,'Model inputs'!P87)</f>
        <v>0</v>
      </c>
      <c r="Q84" s="19">
        <f>SUM('Model inputs'!Q85,'Model inputs'!Q86,'Model inputs'!Q87)</f>
        <v>0</v>
      </c>
      <c r="R84" s="19">
        <f>SUM('Model inputs'!R85,'Model inputs'!R86,'Model inputs'!R87)</f>
        <v>0.44023626889365564</v>
      </c>
      <c r="S84" s="19">
        <f>SUM('Model inputs'!S85,'Model inputs'!S86,'Model inputs'!S87)</f>
        <v>0.7846506249110148</v>
      </c>
      <c r="T84" s="19">
        <f>SUM('Model inputs'!T85,'Model inputs'!T86,'Model inputs'!T87)</f>
        <v>1.1827268865760097</v>
      </c>
      <c r="U84" s="19">
        <f>SUM('Model inputs'!U85,'Model inputs'!U86,'Model inputs'!U87)</f>
        <v>1.640162089726508</v>
      </c>
      <c r="V84" s="19">
        <f>SUM('Model inputs'!V85,'Model inputs'!V86,'Model inputs'!V87)</f>
        <v>2.163464631632885</v>
      </c>
    </row>
    <row r="85" outlineLevel="1">
      <c r="A85" t="inlineStr" s="18">
        <is>
          <t xml:space="preserve">Annual renewals &gt; Indie</t>
        </is>
      </c>
      <c r="C85" s="13">
        <f>0*(1-'Model inputs'!B232)^12</f>
        <v>0</v>
      </c>
      <c r="D85" s="13">
        <f>'Model inputs'!W237*(1-'Model inputs'!B232)^12</f>
        <v>0</v>
      </c>
      <c r="E85" s="13">
        <f>'Model inputs'!X237*(1-'Model inputs'!B232)^12</f>
        <v>0</v>
      </c>
      <c r="F85" s="13">
        <f>'Model inputs'!Y237*(1-'Model inputs'!B232)^12</f>
        <v>0</v>
      </c>
      <c r="G85" s="13">
        <f>'Model inputs'!Z237*(1-'Model inputs'!B232)^12</f>
        <v>0</v>
      </c>
      <c r="H85" s="13">
        <f>'Model inputs'!AA237*(1-'Model inputs'!B232)^12</f>
        <v>0</v>
      </c>
      <c r="I85" s="13">
        <f>'Model inputs'!AB237*(1-'Model inputs'!B232)^12</f>
        <v>0</v>
      </c>
      <c r="J85" s="13">
        <f>'Model inputs'!AC237*(1-'Model inputs'!B232)^12</f>
        <v>0</v>
      </c>
      <c r="K85" s="13">
        <f>'Model inputs'!AD237*(1-'Model inputs'!B232)^12</f>
        <v>0</v>
      </c>
      <c r="L85" s="13">
        <f>'Model inputs'!AE237*(1-'Model inputs'!B232)^12</f>
        <v>0</v>
      </c>
      <c r="M85" s="13">
        <f>'Model inputs'!AF237*(1-'Model inputs'!B232)^12</f>
        <v>0</v>
      </c>
      <c r="N85" s="13">
        <f>'Model inputs'!AG237*(1-'Model inputs'!B232)^12</f>
        <v>0</v>
      </c>
      <c r="O85" s="13">
        <f>'Model inputs'!C175*(1-'Model inputs'!B232)^12</f>
        <v>0</v>
      </c>
      <c r="P85" s="13">
        <f>'Model inputs'!D175*(1-'Model inputs'!B232)^12</f>
        <v>0</v>
      </c>
      <c r="Q85" s="13">
        <f>'Model inputs'!E175*(1-'Model inputs'!B232)^12</f>
        <v>0</v>
      </c>
      <c r="R85" s="13">
        <f>'Model inputs'!F175*(1-'Model inputs'!B232)^12</f>
        <v>0</v>
      </c>
      <c r="S85" s="13">
        <f>'Model inputs'!G175*(1-'Model inputs'!B232)^12</f>
        <v>0</v>
      </c>
      <c r="T85" s="13">
        <f>'Model inputs'!H175*(1-'Model inputs'!B232)^12</f>
        <v>0</v>
      </c>
      <c r="U85" s="13">
        <f>'Model inputs'!I175*(1-'Model inputs'!B232)^12</f>
        <v>0</v>
      </c>
      <c r="V85" s="13">
        <f>'Model inputs'!J175*(1-'Model inputs'!B232)^12</f>
        <v>0</v>
      </c>
    </row>
    <row r="86" outlineLevel="1">
      <c r="A86" t="inlineStr" s="18">
        <is>
          <t xml:space="preserve">Annual renewals &gt; Launch</t>
        </is>
      </c>
      <c r="C86" s="13">
        <f>0*(1-'Model inputs'!B233)^12</f>
        <v>0</v>
      </c>
      <c r="D86" s="13">
        <f>'Model inputs'!W238*(1-'Model inputs'!B233)^12</f>
        <v>0</v>
      </c>
      <c r="E86" s="13">
        <f>'Model inputs'!X238*(1-'Model inputs'!B233)^12</f>
        <v>0</v>
      </c>
      <c r="F86" s="13">
        <f>'Model inputs'!Y238*(1-'Model inputs'!B233)^12</f>
        <v>0</v>
      </c>
      <c r="G86" s="13">
        <f>'Model inputs'!Z238*(1-'Model inputs'!B233)^12</f>
        <v>0</v>
      </c>
      <c r="H86" s="13">
        <f>'Model inputs'!AA238*(1-'Model inputs'!B233)^12</f>
        <v>0</v>
      </c>
      <c r="I86" s="13">
        <f>'Model inputs'!AB238*(1-'Model inputs'!B233)^12</f>
        <v>0</v>
      </c>
      <c r="J86" s="13">
        <f>'Model inputs'!AC238*(1-'Model inputs'!B233)^12</f>
        <v>0</v>
      </c>
      <c r="K86" s="13">
        <f>'Model inputs'!AD238*(1-'Model inputs'!B233)^12</f>
        <v>0</v>
      </c>
      <c r="L86" s="13">
        <f>'Model inputs'!AE238*(1-'Model inputs'!B233)^12</f>
        <v>0</v>
      </c>
      <c r="M86" s="13">
        <f>'Model inputs'!AF238*(1-'Model inputs'!B233)^12</f>
        <v>0</v>
      </c>
      <c r="N86" s="13">
        <f>'Model inputs'!AG238*(1-'Model inputs'!B233)^12</f>
        <v>0</v>
      </c>
      <c r="O86" s="13">
        <f>'Model inputs'!C176*(1-'Model inputs'!B233)^12</f>
        <v>0</v>
      </c>
      <c r="P86" s="13">
        <f>'Model inputs'!D176*(1-'Model inputs'!B233)^12</f>
        <v>0</v>
      </c>
      <c r="Q86" s="13">
        <f>'Model inputs'!E176*(1-'Model inputs'!B233)^12</f>
        <v>0</v>
      </c>
      <c r="R86" s="13">
        <f>'Model inputs'!F176*(1-'Model inputs'!B233)^12</f>
        <v>0.0734731242113589</v>
      </c>
      <c r="S86" s="13">
        <f>'Model inputs'!G176*(1-'Model inputs'!B233)^12</f>
        <v>0.12470305751333749</v>
      </c>
      <c r="T86" s="13">
        <f>'Model inputs'!H176*(1-'Model inputs'!B233)^12</f>
        <v>0.17767725998323847</v>
      </c>
      <c r="U86" s="13">
        <f>'Model inputs'!I176*(1-'Model inputs'!B233)^12</f>
        <v>0.2326809803658907</v>
      </c>
      <c r="V86" s="13">
        <f>'Model inputs'!J176*(1-'Model inputs'!B233)^12</f>
        <v>0.290024176836067</v>
      </c>
    </row>
    <row r="87" outlineLevel="1">
      <c r="A87" t="inlineStr" s="18">
        <is>
          <t xml:space="preserve">Annual renewals &gt; Team</t>
        </is>
      </c>
      <c r="C87" s="13">
        <f>0*(1-'Model inputs'!B234)^12</f>
        <v>0</v>
      </c>
      <c r="D87" s="13">
        <f>'Model inputs'!W239*(1-'Model inputs'!B234)^12</f>
        <v>0</v>
      </c>
      <c r="E87" s="13">
        <f>'Model inputs'!X239*(1-'Model inputs'!B234)^12</f>
        <v>0</v>
      </c>
      <c r="F87" s="13">
        <f>'Model inputs'!Y239*(1-'Model inputs'!B234)^12</f>
        <v>0</v>
      </c>
      <c r="G87" s="13">
        <f>'Model inputs'!Z239*(1-'Model inputs'!B234)^12</f>
        <v>0</v>
      </c>
      <c r="H87" s="13">
        <f>'Model inputs'!AA239*(1-'Model inputs'!B234)^12</f>
        <v>0</v>
      </c>
      <c r="I87" s="13">
        <f>'Model inputs'!AB239*(1-'Model inputs'!B234)^12</f>
        <v>0</v>
      </c>
      <c r="J87" s="13">
        <f>'Model inputs'!AC239*(1-'Model inputs'!B234)^12</f>
        <v>0</v>
      </c>
      <c r="K87" s="13">
        <f>'Model inputs'!AD239*(1-'Model inputs'!B234)^12</f>
        <v>0</v>
      </c>
      <c r="L87" s="13">
        <f>'Model inputs'!AE239*(1-'Model inputs'!B234)^12</f>
        <v>0</v>
      </c>
      <c r="M87" s="13">
        <f>'Model inputs'!AF239*(1-'Model inputs'!B234)^12</f>
        <v>0</v>
      </c>
      <c r="N87" s="13">
        <f>'Model inputs'!AG239*(1-'Model inputs'!B234)^12</f>
        <v>0</v>
      </c>
      <c r="O87" s="13">
        <f>'Model inputs'!C177*(1-'Model inputs'!B234)^12</f>
        <v>0</v>
      </c>
      <c r="P87" s="13">
        <f>'Model inputs'!D177*(1-'Model inputs'!B234)^12</f>
        <v>0</v>
      </c>
      <c r="Q87" s="13">
        <f>'Model inputs'!E177*(1-'Model inputs'!B234)^12</f>
        <v>0</v>
      </c>
      <c r="R87" s="13">
        <f>'Model inputs'!F177*(1-'Model inputs'!B234)^12</f>
        <v>0.3667631446822967</v>
      </c>
      <c r="S87" s="13">
        <f>'Model inputs'!G177*(1-'Model inputs'!B234)^12</f>
        <v>0.6599475673976773</v>
      </c>
      <c r="T87" s="13">
        <f>'Model inputs'!H177*(1-'Model inputs'!B234)^12</f>
        <v>1.0050496265927713</v>
      </c>
      <c r="U87" s="13">
        <f>'Model inputs'!I177*(1-'Model inputs'!B234)^12</f>
        <v>1.4074811093606172</v>
      </c>
      <c r="V87" s="13">
        <f>'Model inputs'!J177*(1-'Model inputs'!B234)^12</f>
        <v>1.873440454796818</v>
      </c>
    </row>
    <row r="88">
      <c r="A88" t="inlineStr" s="16">
        <is>
          <t xml:space="preserve">Billed annually</t>
        </is>
      </c>
      <c r="B88" s="14">
        <v>0</v>
      </c>
    </row>
    <row r="89" outlineLevel="1">
      <c r="A89" t="inlineStr" s="18">
        <is>
          <t xml:space="preserve">Billed annually &gt; Domain, email, extras</t>
        </is>
      </c>
      <c r="B89" s="17">
        <f>0</f>
        <v>0</v>
      </c>
    </row>
    <row r="90" outlineLevel="1">
      <c r="A90" t="inlineStr" s="18">
        <is>
          <t xml:space="preserve">Billed annually &gt; Entire cloud workspace</t>
        </is>
      </c>
      <c r="B90" s="17">
        <f>0</f>
        <v>0</v>
      </c>
    </row>
    <row r="91" outlineLevel="1">
      <c r="A91" t="inlineStr" s="18">
        <is>
          <t xml:space="preserve">Billed annually &gt; First engineer (loaded)</t>
        </is>
      </c>
      <c r="B91" s="17">
        <f>0</f>
        <v>0</v>
      </c>
    </row>
    <row r="92" outlineLevel="1">
      <c r="A92" t="inlineStr" s="18">
        <is>
          <t xml:space="preserve">Billed annually &gt; Founder full-time step-up</t>
        </is>
      </c>
      <c r="B92" s="17">
        <f>0</f>
        <v>0</v>
      </c>
    </row>
    <row r="93" outlineLevel="1">
      <c r="A93" t="inlineStr" s="18">
        <is>
          <t xml:space="preserve">Billed annually &gt; Founder salary (0.5 FTE)</t>
        </is>
      </c>
      <c r="B93" s="17">
        <f>0</f>
        <v>0</v>
      </c>
    </row>
    <row r="94" outlineLevel="1">
      <c r="A94" t="inlineStr" s="18">
        <is>
          <t xml:space="preserve">Billed annually &gt; Frontend contractor (0.25 FTE)</t>
        </is>
      </c>
      <c r="B94" s="17">
        <f>0</f>
        <v>0</v>
      </c>
    </row>
    <row r="95" outlineLevel="1">
      <c r="A95" t="inlineStr" s="18">
        <is>
          <t xml:space="preserve">Billed annually &gt; Hosting (Vercel + storage)</t>
        </is>
      </c>
      <c r="B95" s="17">
        <f>0</f>
        <v>0</v>
      </c>
    </row>
    <row r="96" outlineLevel="1">
      <c r="A96" t="inlineStr" s="18">
        <is>
          <t xml:space="preserve">Billed annually &gt; Marketing: always-on</t>
        </is>
      </c>
      <c r="B96" s="17">
        <f>0</f>
        <v>0</v>
      </c>
    </row>
    <row r="97" outlineLevel="1">
      <c r="A97" t="inlineStr" s="18">
        <is>
          <t xml:space="preserve">Billed annually &gt; Marketing: launch push</t>
        </is>
      </c>
      <c r="B97" s="17">
        <f>0</f>
        <v>0</v>
      </c>
    </row>
    <row r="98" outlineLevel="1">
      <c r="A98" t="inlineStr" s="18">
        <is>
          <t xml:space="preserve">Billed annually &gt; cfo.ai Startup</t>
        </is>
      </c>
      <c r="B98" s="17">
        <f>1</f>
        <v>1</v>
      </c>
    </row>
    <row r="99" outlineLevel="1">
      <c r="A99" t="inlineStr" s="18">
        <is>
          <t xml:space="preserve">Billed annually &gt; neatlogs Pro</t>
        </is>
      </c>
      <c r="B99" s="17">
        <f>0</f>
        <v>0</v>
      </c>
    </row>
    <row r="100">
      <c r="A100" t="inlineStr" s="16">
        <is>
          <t xml:space="preserve">Card charges</t>
        </is>
      </c>
      <c r="C100" s="14">
        <f>SUM('Model inputs'!C101,'Model inputs'!C102,'Model inputs'!C103)</f>
        <v>0</v>
      </c>
      <c r="D100" s="14">
        <f>SUM('Model inputs'!D101,'Model inputs'!D102,'Model inputs'!D103)</f>
        <v>0</v>
      </c>
      <c r="E100" s="14">
        <f>SUM('Model inputs'!E101,'Model inputs'!E102,'Model inputs'!E103)</f>
        <v>47</v>
      </c>
      <c r="F100" s="14">
        <f>SUM('Model inputs'!F101,'Model inputs'!F102,'Model inputs'!F103)</f>
        <v>84.905</v>
      </c>
      <c r="G100" s="14">
        <f>SUM('Model inputs'!G101,'Model inputs'!G102,'Model inputs'!G103)</f>
        <v>110.35099861111111</v>
      </c>
      <c r="H100" s="14">
        <f>SUM('Model inputs'!H101,'Model inputs'!H102,'Model inputs'!H103)</f>
        <v>136.39833793553242</v>
      </c>
      <c r="I100" s="14">
        <f>SUM('Model inputs'!I101,'Model inputs'!I102,'Model inputs'!I103)</f>
        <v>163.1386394629229</v>
      </c>
      <c r="J100" s="14">
        <f>SUM('Model inputs'!J101,'Model inputs'!J102,'Model inputs'!J103)</f>
        <v>190.66619745317232</v>
      </c>
      <c r="K100" s="14">
        <f>SUM('Model inputs'!K101,'Model inputs'!K102,'Model inputs'!K103)</f>
        <v>219.07804106079942</v>
      </c>
      <c r="L100" s="14">
        <f>SUM('Model inputs'!L101,'Model inputs'!L102,'Model inputs'!L103)</f>
        <v>248.47397482800056</v>
      </c>
      <c r="M100" s="14">
        <f>SUM('Model inputs'!M101,'Model inputs'!M102,'Model inputs'!M103)</f>
        <v>281.26001013025916</v>
      </c>
      <c r="N100" s="14">
        <f>SUM('Model inputs'!N101,'Model inputs'!N102,'Model inputs'!N103)</f>
        <v>313.92842080156595</v>
      </c>
      <c r="O100" s="14">
        <f>SUM('Model inputs'!O101,'Model inputs'!O102,'Model inputs'!O103)</f>
        <v>346.6637111423637</v>
      </c>
      <c r="P100" s="14">
        <f>SUM('Model inputs'!P101,'Model inputs'!P102,'Model inputs'!P103)</f>
        <v>379.5448779461048</v>
      </c>
      <c r="Q100" s="14">
        <f>SUM('Model inputs'!Q101,'Model inputs'!Q102,'Model inputs'!Q103)</f>
        <v>412.64917506109316</v>
      </c>
      <c r="R100" s="14">
        <f>SUM('Model inputs'!R101,'Model inputs'!R102,'Model inputs'!R103)</f>
        <v>446.4926009328778</v>
      </c>
      <c r="S100" s="14">
        <f>SUM('Model inputs'!S101,'Model inputs'!S102,'Model inputs'!S103)</f>
        <v>480.613608003025</v>
      </c>
      <c r="T100" s="14">
        <f>SUM('Model inputs'!T101,'Model inputs'!T102,'Model inputs'!T103)</f>
        <v>515.2351690842696</v>
      </c>
      <c r="U100" s="14">
        <f>SUM('Model inputs'!U101,'Model inputs'!U102,'Model inputs'!U103)</f>
        <v>550.4356692134742</v>
      </c>
      <c r="V100" s="14">
        <f>SUM('Model inputs'!V101,'Model inputs'!V102,'Model inputs'!V103)</f>
        <v>586.2937159981817</v>
      </c>
    </row>
    <row r="101" outlineLevel="1">
      <c r="A101" t="inlineStr" s="18">
        <is>
          <t xml:space="preserve">Card charges &gt; Indie</t>
        </is>
      </c>
      <c r="C101" s="17">
        <f>'Model inputs'!C167+'Model inputs'!C175+'Model inputs'!C85</f>
        <v>0</v>
      </c>
      <c r="D101" s="17">
        <f>'Model inputs'!D167+'Model inputs'!D175+'Model inputs'!D85</f>
        <v>0</v>
      </c>
      <c r="E101" s="17">
        <f>'Model inputs'!E167+'Model inputs'!E175+'Model inputs'!E85</f>
        <v>40</v>
      </c>
      <c r="F101" s="17">
        <f>'Model inputs'!F167+'Model inputs'!F175+'Model inputs'!F85</f>
        <v>74.33333333333333</v>
      </c>
      <c r="G101" s="17">
        <f>'Model inputs'!G167+'Model inputs'!G175+'Model inputs'!G85</f>
        <v>96.37777777777778</v>
      </c>
      <c r="H101" s="17">
        <f>'Model inputs'!H167+'Model inputs'!H175+'Model inputs'!H85</f>
        <v>119.1125925925926</v>
      </c>
      <c r="I101" s="17">
        <f>'Model inputs'!I167+'Model inputs'!I175+'Model inputs'!I85</f>
        <v>142.66455308641977</v>
      </c>
      <c r="J101" s="17">
        <f>'Model inputs'!J167+'Model inputs'!J175+'Model inputs'!J85</f>
        <v>167.16580688065847</v>
      </c>
      <c r="K101" s="17">
        <f>'Model inputs'!K167+'Model inputs'!K175+'Model inputs'!K85</f>
        <v>192.75462167528124</v>
      </c>
      <c r="L101" s="17">
        <f>'Model inputs'!L167+'Model inputs'!L175+'Model inputs'!L85</f>
        <v>219.57617163719584</v>
      </c>
      <c r="M101" s="17">
        <f>'Model inputs'!M167+'Model inputs'!M175+'Model inputs'!M85</f>
        <v>247.78336691420412</v>
      </c>
      <c r="N101" s="17">
        <f>'Model inputs'!N167+'Model inputs'!N175+'Model inputs'!N85</f>
        <v>275.8239067748581</v>
      </c>
      <c r="O101" s="17">
        <f>'Model inputs'!O167+'Model inputs'!O175+'Model inputs'!O85</f>
        <v>303.77745455099915</v>
      </c>
      <c r="P101" s="17">
        <f>'Model inputs'!P167+'Model inputs'!P175+'Model inputs'!P85</f>
        <v>331.7211048045094</v>
      </c>
      <c r="Q101" s="17">
        <f>'Model inputs'!Q167+'Model inputs'!Q175+'Model inputs'!Q85</f>
        <v>359.72966426339536</v>
      </c>
      <c r="R101" s="17">
        <f>'Model inputs'!R167+'Model inputs'!R175+'Model inputs'!R85</f>
        <v>387.87591841618973</v>
      </c>
      <c r="S101" s="17">
        <f>'Model inputs'!S167+'Model inputs'!S175+'Model inputs'!S85</f>
        <v>416.23088489627867</v>
      </c>
      <c r="T101" s="17">
        <f>'Model inputs'!T167+'Model inputs'!T175+'Model inputs'!T85</f>
        <v>444.8640547193417</v>
      </c>
      <c r="U101" s="17">
        <f>'Model inputs'!U167+'Model inputs'!U175+'Model inputs'!U85</f>
        <v>473.8436223735132</v>
      </c>
      <c r="V101" s="17">
        <f>'Model inputs'!V167+'Model inputs'!V175+'Model inputs'!V85</f>
        <v>503.23670570282496</v>
      </c>
    </row>
    <row r="102" outlineLevel="1">
      <c r="A102" t="inlineStr" s="18">
        <is>
          <t xml:space="preserve">Card charges &gt; Launch</t>
        </is>
      </c>
      <c r="C102" s="17">
        <f>'Model inputs'!C168+'Model inputs'!C176+'Model inputs'!C86</f>
        <v>0</v>
      </c>
      <c r="D102" s="17">
        <f>'Model inputs'!D168+'Model inputs'!D176+'Model inputs'!D86</f>
        <v>0</v>
      </c>
      <c r="E102" s="17">
        <f>'Model inputs'!E168+'Model inputs'!E176+'Model inputs'!E86</f>
        <v>1</v>
      </c>
      <c r="F102" s="17">
        <f>'Model inputs'!F168+'Model inputs'!F176+'Model inputs'!F86</f>
        <v>1.51</v>
      </c>
      <c r="G102" s="17">
        <f>'Model inputs'!G168+'Model inputs'!G176+'Model inputs'!G86</f>
        <v>1.9383448611111107</v>
      </c>
      <c r="H102" s="17">
        <f>'Model inputs'!H168+'Model inputs'!H176+'Model inputs'!H86</f>
        <v>2.314293530902777</v>
      </c>
      <c r="I102" s="17">
        <f>'Model inputs'!I168+'Model inputs'!I176+'Model inputs'!I86</f>
        <v>2.638063282237991</v>
      </c>
      <c r="J102" s="17">
        <f>'Model inputs'!J168+'Model inputs'!J176+'Model inputs'!J86</f>
        <v>2.909637019333771</v>
      </c>
      <c r="K102" s="17">
        <f>'Model inputs'!K168+'Model inputs'!K176+'Model inputs'!K86</f>
        <v>3.128751273746695</v>
      </c>
      <c r="L102" s="17">
        <f>'Model inputs'!L168+'Model inputs'!L176+'Model inputs'!L86</f>
        <v>3.294880802181151</v>
      </c>
      <c r="M102" s="17">
        <f>'Model inputs'!M168+'Model inputs'!M176+'Model inputs'!M86</f>
        <v>3.6790977370198386</v>
      </c>
      <c r="N102" s="17">
        <f>'Model inputs'!N168+'Model inputs'!N176+'Model inputs'!N86</f>
        <v>4.074907321600538</v>
      </c>
      <c r="O102" s="17">
        <f>'Model inputs'!O168+'Model inputs'!O176+'Model inputs'!O86</f>
        <v>4.482280278889159</v>
      </c>
      <c r="P102" s="17">
        <f>'Model inputs'!P168+'Model inputs'!P176+'Model inputs'!P86</f>
        <v>4.9016314275776</v>
      </c>
      <c r="Q102" s="17">
        <f>'Model inputs'!Q168+'Model inputs'!Q176+'Model inputs'!Q86</f>
        <v>5.333375541298454</v>
      </c>
      <c r="R102" s="17">
        <f>'Model inputs'!R168+'Model inputs'!R176+'Model inputs'!R86</f>
        <v>5.85140272496222</v>
      </c>
      <c r="S102" s="17">
        <f>'Model inputs'!S168+'Model inputs'!S176+'Model inputs'!S86</f>
        <v>6.360417997036922</v>
      </c>
      <c r="T102" s="17">
        <f>'Model inputs'!T168+'Model inputs'!T176+'Model inputs'!T86</f>
        <v>6.884836554120148</v>
      </c>
      <c r="U102" s="17">
        <f>'Model inputs'!U168+'Model inputs'!U176+'Model inputs'!U86</f>
        <v>7.425379748567756</v>
      </c>
      <c r="V102" s="17">
        <f>'Model inputs'!V168+'Model inputs'!V176+'Model inputs'!V86</f>
        <v>7.982803896855035</v>
      </c>
    </row>
    <row r="103" outlineLevel="1">
      <c r="A103" t="inlineStr" s="18">
        <is>
          <t xml:space="preserve">Card charges &gt; Team</t>
        </is>
      </c>
      <c r="C103" s="17">
        <f>'Model inputs'!C169+'Model inputs'!C177+'Model inputs'!C87</f>
        <v>0</v>
      </c>
      <c r="D103" s="17">
        <f>'Model inputs'!D169+'Model inputs'!D177+'Model inputs'!D87</f>
        <v>0</v>
      </c>
      <c r="E103" s="17">
        <f>'Model inputs'!E169+'Model inputs'!E177+'Model inputs'!E87</f>
        <v>6</v>
      </c>
      <c r="F103" s="17">
        <f>'Model inputs'!F169+'Model inputs'!F177+'Model inputs'!F87</f>
        <v>9.061666666666667</v>
      </c>
      <c r="G103" s="17">
        <f>'Model inputs'!G169+'Model inputs'!G177+'Model inputs'!G87</f>
        <v>12.034875972222222</v>
      </c>
      <c r="H103" s="17">
        <f>'Model inputs'!H169+'Model inputs'!H177+'Model inputs'!H87</f>
        <v>14.971451812037037</v>
      </c>
      <c r="I103" s="17">
        <f>'Model inputs'!I169+'Model inputs'!I177+'Model inputs'!I87</f>
        <v>17.836023094265144</v>
      </c>
      <c r="J103" s="17">
        <f>'Model inputs'!J169+'Model inputs'!J177+'Model inputs'!J87</f>
        <v>20.59075355318007</v>
      </c>
      <c r="K103" s="17">
        <f>'Model inputs'!K169+'Model inputs'!K177+'Model inputs'!K87</f>
        <v>23.194668111771485</v>
      </c>
      <c r="L103" s="17">
        <f>'Model inputs'!L169+'Model inputs'!L177+'Model inputs'!L87</f>
        <v>25.60292238862356</v>
      </c>
      <c r="M103" s="17">
        <f>'Model inputs'!M169+'Model inputs'!M177+'Model inputs'!M87</f>
        <v>29.797545479035175</v>
      </c>
      <c r="N103" s="17">
        <f>'Model inputs'!N169+'Model inputs'!N177+'Model inputs'!N87</f>
        <v>34.02960670510733</v>
      </c>
      <c r="O103" s="17">
        <f>'Model inputs'!O169+'Model inputs'!O177+'Model inputs'!O87</f>
        <v>38.40397631247539</v>
      </c>
      <c r="P103" s="17">
        <f>'Model inputs'!P169+'Model inputs'!P177+'Model inputs'!P87</f>
        <v>42.92214171401777</v>
      </c>
      <c r="Q103" s="17">
        <f>'Model inputs'!Q169+'Model inputs'!Q177+'Model inputs'!Q87</f>
        <v>47.58613525639933</v>
      </c>
      <c r="R103" s="17">
        <f>'Model inputs'!R169+'Model inputs'!R177+'Model inputs'!R87</f>
        <v>52.765279791725845</v>
      </c>
      <c r="S103" s="17">
        <f>'Model inputs'!S169+'Model inputs'!S177+'Model inputs'!S87</f>
        <v>58.022305109709365</v>
      </c>
      <c r="T103" s="17">
        <f>'Model inputs'!T169+'Model inputs'!T177+'Model inputs'!T87</f>
        <v>63.48627781080772</v>
      </c>
      <c r="U103" s="17">
        <f>'Model inputs'!U169+'Model inputs'!U177+'Model inputs'!U87</f>
        <v>69.1666670913932</v>
      </c>
      <c r="V103" s="17">
        <f>'Model inputs'!V169+'Model inputs'!V177+'Model inputs'!V87</f>
        <v>75.07420639850176</v>
      </c>
    </row>
    <row r="104">
      <c r="A104" t="inlineStr" s="16">
        <is>
          <t xml:space="preserve">Card fee per charge · Payment fees</t>
        </is>
      </c>
      <c r="B104" s="20">
        <f>0.3</f>
        <v>0.3</v>
      </c>
    </row>
    <row r="105">
      <c r="A105" t="inlineStr" s="16">
        <is>
          <t xml:space="preserve">Card fee rate · Payment fees</t>
        </is>
      </c>
      <c r="B105" s="12">
        <f>0.029</f>
        <v>0.029</v>
      </c>
    </row>
    <row r="106">
      <c r="A106" t="inlineStr" s="16">
        <is>
          <t xml:space="preserve">Cash on hand · Cash on hand</t>
        </is>
      </c>
      <c r="C106" s="9">
        <f>IF('Model inputs'!C14="","",'Model inputs'!C14)</f>
        <v>0</v>
      </c>
      <c r="D106" s="9">
        <f>IF('Model inputs'!D14="","",'Model inputs'!D14)</f>
        <v>0</v>
      </c>
      <c r="E106" s="9">
        <f>IF('Model inputs'!E14="","",'Model inputs'!E14)</f>
        <v>5036.627280000001</v>
      </c>
      <c r="F106" s="9">
        <f>IF('Model inputs'!F14="","",'Model inputs'!F14)</f>
        <v>4906.827824875</v>
      </c>
      <c r="G106" s="9">
        <f>IF('Model inputs'!G14="","",'Model inputs'!G14)</f>
        <v>6813.953376890111</v>
      </c>
      <c r="H106" s="9">
        <f>IF('Model inputs'!H14="","",'Model inputs'!H14)</f>
        <v>9201.423698082772</v>
      </c>
      <c r="I106" s="9">
        <f>IF('Model inputs'!I14="","",'Model inputs'!I14)</f>
        <v>13622.668829644677</v>
      </c>
      <c r="J106" s="9">
        <f>IF('Model inputs'!J14="","",'Model inputs'!J14)</f>
        <v>20392.399007853837</v>
      </c>
      <c r="K106" s="9">
        <f>IF('Model inputs'!K14="","",'Model inputs'!K14)</f>
        <v>25637.9644184375</v>
      </c>
      <c r="L106" s="9">
        <f>IF('Model inputs'!L14="","",'Model inputs'!L14)</f>
        <v>29570.063587909368</v>
      </c>
      <c r="M106" s="9">
        <f>IF('Model inputs'!M14="","",'Model inputs'!M14)</f>
        <v>35383.16682388834</v>
      </c>
      <c r="N106" s="9">
        <f>IF('Model inputs'!N14="","",'Model inputs'!N14)</f>
        <v>42953.42714980578</v>
      </c>
      <c r="O106" s="9">
        <f>IF('Model inputs'!O14="","",'Model inputs'!O14)</f>
        <v>52308.118344086135</v>
      </c>
      <c r="P106" s="9">
        <f>IF('Model inputs'!P14="","",'Model inputs'!P14)</f>
        <v>63477.44756291351</v>
      </c>
      <c r="Q106" s="9">
        <f>IF('Model inputs'!Q14="","",'Model inputs'!Q14)</f>
        <v>71994.57087233468</v>
      </c>
      <c r="R106" s="9">
        <f>IF('Model inputs'!R14="","",'Model inputs'!R14)</f>
        <v>87782.1114533375</v>
      </c>
      <c r="S106" s="9">
        <f>IF('Model inputs'!S14="","",'Model inputs'!S14)</f>
        <v>106164.99833559195</v>
      </c>
      <c r="T106" s="9">
        <f>IF('Model inputs'!T14="","",'Model inputs'!T14)</f>
        <v>127268.94519314464</v>
      </c>
      <c r="U106" s="9">
        <f>IF('Model inputs'!U14="","",'Model inputs'!U14)</f>
        <v>151231.95468153898</v>
      </c>
      <c r="V106" s="9">
        <f>IF('Model inputs'!V14="","",'Model inputs'!V14)</f>
        <v>178205.62499575765</v>
      </c>
      <c r="W106" s="9">
        <f>IF(IF(IF(ISERROR('Model inputs'!W230=0),'Model inputs'!W230=0,IF('Model inputs'!W230="","",'Model inputs'!W230=0))="",FALSE,IF(ISERROR('Model inputs'!W230=0),'Model inputs'!W230=0,IF('Model inputs'!W230="","",'Model inputs'!W230=0))),'Model inputs'!B67+'Model inputs'!W235,0+'Model inputs'!W235)</f>
        <v>0</v>
      </c>
      <c r="X106" s="9">
        <f>IF(IF(IF(ISERROR('Model inputs'!X230=0),'Model inputs'!X230=0,IF('Model inputs'!X230="","",'Model inputs'!X230=0))="",FALSE,IF(ISERROR('Model inputs'!X230=0),'Model inputs'!X230=0,IF('Model inputs'!X230="","",'Model inputs'!X230=0))),'Model inputs'!B67+'Model inputs'!X235,'Model inputs'!W106+'Model inputs'!X235)</f>
        <v>0</v>
      </c>
      <c r="Y106" s="9">
        <f>IF(IF(IF(ISERROR('Model inputs'!Y230=0),'Model inputs'!Y230=0,IF('Model inputs'!Y230="","",'Model inputs'!Y230=0))="",FALSE,IF(ISERROR('Model inputs'!Y230=0),'Model inputs'!Y230=0,IF('Model inputs'!Y230="","",'Model inputs'!Y230=0))),'Model inputs'!B67+'Model inputs'!Y235,'Model inputs'!X106+'Model inputs'!Y235)</f>
        <v>0</v>
      </c>
      <c r="Z106" s="9">
        <f>IF(IF(IF(ISERROR('Model inputs'!Z230=0),'Model inputs'!Z230=0,IF('Model inputs'!Z230="","",'Model inputs'!Z230=0))="",FALSE,IF(ISERROR('Model inputs'!Z230=0),'Model inputs'!Z230=0,IF('Model inputs'!Z230="","",'Model inputs'!Z230=0))),'Model inputs'!B67+'Model inputs'!Z235,'Model inputs'!Y106+'Model inputs'!Z235)</f>
        <v>0</v>
      </c>
      <c r="AA106" s="9">
        <f>IF(IF(IF(ISERROR('Model inputs'!AA230=0),'Model inputs'!AA230=0,IF('Model inputs'!AA230="","",'Model inputs'!AA230=0))="",FALSE,IF(ISERROR('Model inputs'!AA230=0),'Model inputs'!AA230=0,IF('Model inputs'!AA230="","",'Model inputs'!AA230=0))),'Model inputs'!B67+'Model inputs'!AA235,'Model inputs'!Z106+'Model inputs'!AA235)</f>
        <v>0</v>
      </c>
      <c r="AB106" s="9">
        <f>IF(IF(IF(ISERROR('Model inputs'!AB230=0),'Model inputs'!AB230=0,IF('Model inputs'!AB230="","",'Model inputs'!AB230=0))="",FALSE,IF(ISERROR('Model inputs'!AB230=0),'Model inputs'!AB230=0,IF('Model inputs'!AB230="","",'Model inputs'!AB230=0))),'Model inputs'!B67+'Model inputs'!AB235,'Model inputs'!AA106+'Model inputs'!AB235)</f>
        <v>0</v>
      </c>
      <c r="AC106" s="9">
        <f>IF(IF(IF(ISERROR('Model inputs'!AC230=0),'Model inputs'!AC230=0,IF('Model inputs'!AC230="","",'Model inputs'!AC230=0))="",FALSE,IF(ISERROR('Model inputs'!AC230=0),'Model inputs'!AC230=0,IF('Model inputs'!AC230="","",'Model inputs'!AC230=0))),'Model inputs'!B67+'Model inputs'!AC235,'Model inputs'!AB106+'Model inputs'!AC235)</f>
        <v>0</v>
      </c>
      <c r="AD106" s="9">
        <f>IF(IF(IF(ISERROR('Model inputs'!AD230=0),'Model inputs'!AD230=0,IF('Model inputs'!AD230="","",'Model inputs'!AD230=0))="",FALSE,IF(ISERROR('Model inputs'!AD230=0),'Model inputs'!AD230=0,IF('Model inputs'!AD230="","",'Model inputs'!AD230=0))),'Model inputs'!B67+'Model inputs'!AD235,'Model inputs'!AC106+'Model inputs'!AD235)</f>
        <v>0</v>
      </c>
      <c r="AE106" s="9">
        <f>IF(IF(IF(ISERROR('Model inputs'!AE230=0),'Model inputs'!AE230=0,IF('Model inputs'!AE230="","",'Model inputs'!AE230=0))="",FALSE,IF(ISERROR('Model inputs'!AE230=0),'Model inputs'!AE230=0,IF('Model inputs'!AE230="","",'Model inputs'!AE230=0))),'Model inputs'!B67+'Model inputs'!AE235,'Model inputs'!AD106+'Model inputs'!AE235)</f>
        <v>0</v>
      </c>
      <c r="AF106" s="9">
        <f>IF(IF(IF(ISERROR('Model inputs'!AF230=0),'Model inputs'!AF230=0,IF('Model inputs'!AF230="","",'Model inputs'!AF230=0))="",FALSE,IF(ISERROR('Model inputs'!AF230=0),'Model inputs'!AF230=0,IF('Model inputs'!AF230="","",'Model inputs'!AF230=0))),'Model inputs'!B67+'Model inputs'!AF235,'Model inputs'!AE106+'Model inputs'!AF235)</f>
        <v>0</v>
      </c>
      <c r="AG106" s="9">
        <f>IF(IF(IF(ISERROR('Model inputs'!AG230=0),'Model inputs'!AG230=0,IF('Model inputs'!AG230="","",'Model inputs'!AG230=0))="",FALSE,IF(ISERROR('Model inputs'!AG230=0),'Model inputs'!AG230=0,IF('Model inputs'!AG230="","",'Model inputs'!AG230=0))),'Model inputs'!B67+'Model inputs'!AG235,'Model inputs'!AF106+'Model inputs'!AG235)</f>
        <v>0</v>
      </c>
    </row>
    <row r="107">
      <c r="A107" t="inlineStr" s="16">
        <is>
          <t xml:space="preserve">Churned customers</t>
        </is>
      </c>
      <c r="C107" s="19">
        <f>SUM('Model inputs'!C108,'Model inputs'!C109,'Model inputs'!C110)</f>
        <v>0</v>
      </c>
      <c r="D107" s="19">
        <f>SUM('Model inputs'!D108,'Model inputs'!D109,'Model inputs'!D110)</f>
        <v>0</v>
      </c>
      <c r="E107" s="19">
        <f>SUM('Model inputs'!E108,'Model inputs'!E109,'Model inputs'!E110)</f>
        <v>0</v>
      </c>
      <c r="F107" s="19">
        <f>SUM('Model inputs'!F108,'Model inputs'!F109,'Model inputs'!F110)</f>
        <v>2.5949999999999998</v>
      </c>
      <c r="G107" s="19">
        <f>SUM('Model inputs'!G108,'Model inputs'!G109,'Model inputs'!G110)</f>
        <v>4.7545</v>
      </c>
      <c r="H107" s="19">
        <f>SUM('Model inputs'!H108,'Model inputs'!H109,'Model inputs'!H110)</f>
        <v>6.189471729166667</v>
      </c>
      <c r="I107" s="19">
        <f>SUM('Model inputs'!I108,'Model inputs'!I109,'Model inputs'!I110)</f>
        <v>7.67670344484375</v>
      </c>
      <c r="J107" s="19">
        <f>SUM('Model inputs'!J108,'Model inputs'!J109,'Model inputs'!J110)</f>
        <v>9.22458377005366</v>
      </c>
      <c r="K107" s="19">
        <f>SUM('Model inputs'!K108,'Model inputs'!K109,'Model inputs'!K110)</f>
        <v>10.841923285085763</v>
      </c>
      <c r="L107" s="19">
        <f>SUM('Model inputs'!L108,'Model inputs'!L109,'Model inputs'!L110)</f>
        <v>12.53800719356865</v>
      </c>
      <c r="M107" s="19">
        <f>SUM('Model inputs'!M108,'Model inputs'!M109,'Model inputs'!M110)</f>
        <v>14.322651198368181</v>
      </c>
      <c r="N107" s="19">
        <f>SUM('Model inputs'!N108,'Model inputs'!N109,'Model inputs'!N110)</f>
        <v>16.206260935808757</v>
      </c>
      <c r="O107" s="19">
        <f>SUM('Model inputs'!O108,'Model inputs'!O109,'Model inputs'!O110)</f>
        <v>18.08654281252618</v>
      </c>
      <c r="P107" s="19">
        <f>SUM('Model inputs'!P108,'Model inputs'!P109,'Model inputs'!P110)</f>
        <v>19.968314140900546</v>
      </c>
      <c r="Q107" s="19">
        <f>SUM('Model inputs'!Q108,'Model inputs'!Q109,'Model inputs'!Q110)</f>
        <v>21.856264225340805</v>
      </c>
      <c r="R107" s="19">
        <f>SUM('Model inputs'!R108,'Model inputs'!R109,'Model inputs'!R110)</f>
        <v>23.75497031424573</v>
      </c>
      <c r="S107" s="19">
        <f>SUM('Model inputs'!S108,'Model inputs'!S109,'Model inputs'!S110)</f>
        <v>25.66891279557524</v>
      </c>
      <c r="T107" s="19">
        <f>SUM('Model inputs'!T108,'Model inputs'!T109,'Model inputs'!T110)</f>
        <v>27.602489698389732</v>
      </c>
      <c r="U107" s="19">
        <f>SUM('Model inputs'!U108,'Model inputs'!U109,'Model inputs'!U110)</f>
        <v>29.560030559047362</v>
      </c>
      <c r="V107" s="19">
        <f>SUM('Model inputs'!V108,'Model inputs'!V109,'Model inputs'!V110)</f>
        <v>31.545809707344752</v>
      </c>
    </row>
    <row r="108" outlineLevel="1">
      <c r="A108" t="inlineStr" s="18">
        <is>
          <t xml:space="preserve">Churned customers &gt; Indie</t>
        </is>
      </c>
      <c r="C108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inputs'!C179*'Model inputs'!B232)</f>
        <v>0</v>
      </c>
      <c r="D108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inputs'!D179*'Model inputs'!B232)</f>
        <v>0</v>
      </c>
      <c r="E108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inputs'!E179*'Model inputs'!B232)</f>
        <v>0</v>
      </c>
      <c r="F108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inputs'!F179*'Model inputs'!B232)</f>
        <v>2.4</v>
      </c>
      <c r="G108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inputs'!G179*'Model inputs'!B232)</f>
        <v>4.46</v>
      </c>
      <c r="H108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inputs'!H179*'Model inputs'!B232)</f>
        <v>5.782666666666667</v>
      </c>
      <c r="I108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inputs'!I179*'Model inputs'!B232)</f>
        <v>7.146755555555556</v>
      </c>
      <c r="J108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inputs'!J179*'Model inputs'!B232)</f>
        <v>8.559873185185186</v>
      </c>
      <c r="K108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inputs'!K179*'Model inputs'!B232)</f>
        <v>10.029948412839508</v>
      </c>
      <c r="L108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inputs'!L179*'Model inputs'!B232)</f>
        <v>11.565277300516874</v>
      </c>
      <c r="M108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inputs'!M179*'Model inputs'!B232)</f>
        <v>13.17457029823175</v>
      </c>
      <c r="N108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inputs'!N179*'Model inputs'!B232)</f>
        <v>14.867002014852247</v>
      </c>
      <c r="O108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inputs'!O179*'Model inputs'!B232)</f>
        <v>16.549434406491486</v>
      </c>
      <c r="P108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inputs'!P179*'Model inputs'!B232)</f>
        <v>18.22664727305995</v>
      </c>
      <c r="Q108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inputs'!Q179*'Model inputs'!B232)</f>
        <v>19.903266288270565</v>
      </c>
      <c r="R108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inputs'!R179*'Model inputs'!B232)</f>
        <v>21.58377985580372</v>
      </c>
      <c r="S108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inputs'!S179*'Model inputs'!B232)</f>
        <v>23.27255510497138</v>
      </c>
      <c r="T108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inputs'!T179*'Model inputs'!B232)</f>
        <v>24.973853093776718</v>
      </c>
      <c r="U108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inputs'!U179*'Model inputs'!B232)</f>
        <v>26.6918432831605</v>
      </c>
      <c r="V108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inputs'!V179*'Model inputs'!B232)</f>
        <v>28.43061734241079</v>
      </c>
    </row>
    <row r="109" outlineLevel="1">
      <c r="A109" t="inlineStr" s="18">
        <is>
          <t xml:space="preserve">Churned customers &gt; Launch</t>
        </is>
      </c>
      <c r="C109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inputs'!C180*'Model inputs'!B233)</f>
        <v>0</v>
      </c>
      <c r="D109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inputs'!D180*'Model inputs'!B233)</f>
        <v>0</v>
      </c>
      <c r="E109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inputs'!E180*'Model inputs'!B233)</f>
        <v>0</v>
      </c>
      <c r="F109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inputs'!F180*'Model inputs'!B233)</f>
        <v>0.015</v>
      </c>
      <c r="G109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inputs'!G180*'Model inputs'!B233)</f>
        <v>0.02265</v>
      </c>
      <c r="H109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inputs'!H180*'Model inputs'!B233)</f>
        <v>0.03037660416666666</v>
      </c>
      <c r="I109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inputs'!I180*'Model inputs'!B233)</f>
        <v>0.03820518105902777</v>
      </c>
      <c r="J109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inputs'!J180*'Model inputs'!B233)</f>
        <v>0.04615656731861978</v>
      </c>
      <c r="K109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inputs'!K180*'Model inputs'!B233)</f>
        <v>0.054252873012069346</v>
      </c>
      <c r="L109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inputs'!L180*'Model inputs'!B233)</f>
        <v>0.06251766741529285</v>
      </c>
      <c r="M109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inputs'!M180*'Model inputs'!B233)</f>
        <v>0.07097617787413947</v>
      </c>
      <c r="N109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inputs'!N180*'Model inputs'!B233)</f>
        <v>0.07965550337740715</v>
      </c>
      <c r="O109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inputs'!O180*'Model inputs'!B233)</f>
        <v>0.08858484461336918</v>
      </c>
      <c r="P109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inputs'!P180*'Model inputs'!B233)</f>
        <v>0.0977738293637964</v>
      </c>
      <c r="Q109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inputs'!Q180*'Model inputs'!B233)</f>
        <v>0.1072319990868328</v>
      </c>
      <c r="R109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inputs'!R180*'Model inputs'!B233)</f>
        <v>0.11696886480466241</v>
      </c>
      <c r="S109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inputs'!S180*'Model inputs'!B233)</f>
        <v>0.12699396015267028</v>
      </c>
      <c r="T109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inputs'!T180*'Model inputs'!B233)</f>
        <v>0.13731689185548684</v>
      </c>
      <c r="U109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inputs'!U180*'Model inputs'!B233)</f>
        <v>0.14794738787923273</v>
      </c>
      <c r="V109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inputs'!V180*'Model inputs'!B233)</f>
        <v>0.15889534349439347</v>
      </c>
    </row>
    <row r="110" outlineLevel="1">
      <c r="A110" t="inlineStr" s="18">
        <is>
          <t xml:space="preserve">Churned customers &gt; Team</t>
        </is>
      </c>
      <c r="C110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inputs'!C181*'Model inputs'!B234)</f>
        <v>0</v>
      </c>
      <c r="D110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inputs'!D181*'Model inputs'!B234)</f>
        <v>0</v>
      </c>
      <c r="E110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inputs'!E181*'Model inputs'!B234)</f>
        <v>0</v>
      </c>
      <c r="F110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inputs'!F181*'Model inputs'!B234)</f>
        <v>0.18</v>
      </c>
      <c r="G110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inputs'!G181*'Model inputs'!B234)</f>
        <v>0.27185000000000004</v>
      </c>
      <c r="H110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inputs'!H181*'Model inputs'!B234)</f>
        <v>0.3764284583333333</v>
      </c>
      <c r="I110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inputs'!I181*'Model inputs'!B234)</f>
        <v>0.4917427082291666</v>
      </c>
      <c r="J110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inputs'!J181*'Model inputs'!B234)</f>
        <v>0.6185540175498553</v>
      </c>
      <c r="K110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inputs'!K181*'Model inputs'!B234)</f>
        <v>0.7577219992341859</v>
      </c>
      <c r="L110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inputs'!L181*'Model inputs'!B234)</f>
        <v>0.910212225636483</v>
      </c>
      <c r="M110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inputs'!M181*'Model inputs'!B234)</f>
        <v>1.0771047222622927</v>
      </c>
      <c r="N110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inputs'!N181*'Model inputs'!B234)</f>
        <v>1.2596034175791035</v>
      </c>
      <c r="O110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inputs'!O181*'Model inputs'!B234)</f>
        <v>1.4485235614213252</v>
      </c>
      <c r="P110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inputs'!P181*'Model inputs'!B234)</f>
        <v>1.6438930384768016</v>
      </c>
      <c r="Q110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inputs'!Q181*'Model inputs'!B234)</f>
        <v>1.845765937983407</v>
      </c>
      <c r="R110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inputs'!R181*'Model inputs'!B234)</f>
        <v>2.054221593637347</v>
      </c>
      <c r="S110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inputs'!S181*'Model inputs'!B234)</f>
        <v>2.2693637304511856</v>
      </c>
      <c r="T110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inputs'!T181*'Model inputs'!B234)</f>
        <v>2.491319712757528</v>
      </c>
      <c r="U110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inputs'!U181*'Model inputs'!B234)</f>
        <v>2.720239888007629</v>
      </c>
      <c r="V110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inputs'!V181*'Model inputs'!B234)</f>
        <v>2.956297021439567</v>
      </c>
    </row>
    <row r="111">
      <c r="A111" t="inlineStr" s="16">
        <is>
          <t xml:space="preserve">COGS per kit · Kit COGS</t>
        </is>
      </c>
      <c r="C111" s="20">
        <f>IF(IF(IF(IFERROR(IF(ISERROR('Model inputs'!B212=1),'Model inputs'!B212=1,IF('Model inputs'!B212="","",'Model inputs'!B212=1))=FALSE,FALSE),FALSE,IF(IFERROR('Model inputs'!B1069=FALSE,FALSE),FALSE,IF(OR(IF(ISERROR('Model inputs'!B212=1),'Model inputs'!B212=1,IF('Model inputs'!B212="","",'Model inputs'!B212=1))="",'Model inputs'!B1069=""),"",AND(IF(ISERROR('Model inputs'!B212=1),'Model inputs'!B212=1,IF('Model inputs'!B212="","",'Model inputs'!B212=1)),'Model inputs'!B1069))))="",FALSE,IF(IFERROR(IF(ISERROR('Model inputs'!B212=1),'Model inputs'!B212=1,IF('Model inputs'!B212="","",'Model inputs'!B212=1))=FALSE,FALSE),FALSE,IF(IFERROR('Model inputs'!B1069=FALSE,FALSE),FALSE,IF(OR(IF(ISERROR('Model inputs'!B212=1),'Model inputs'!B212=1,IF('Model inputs'!B212="","",'Model inputs'!B212=1))="",'Model inputs'!B1069=""),"",AND(IF(ISERROR('Model inputs'!B212=1),'Model inputs'!B212=1,IF('Model inputs'!B212="","",'Model inputs'!B212=1)),'Model inputs'!B1069))))),IF('Model inputs'!B244="","",'Model inputs'!B244),IF('Model inputs'!B221="","",'Model inputs'!B221))</f>
        <v>0.24</v>
      </c>
      <c r="D111" s="20">
        <f>IF(IF(IF(IFERROR(IF(ISERROR('Model inputs'!B212=1),'Model inputs'!B212=1,IF('Model inputs'!B212="","",'Model inputs'!B212=1))=FALSE,FALSE),FALSE,IF(IFERROR('Model inputs'!B1070=FALSE,FALSE),FALSE,IF(OR(IF(ISERROR('Model inputs'!B212=1),'Model inputs'!B212=1,IF('Model inputs'!B212="","",'Model inputs'!B212=1))="",'Model inputs'!B1070=""),"",AND(IF(ISERROR('Model inputs'!B212=1),'Model inputs'!B212=1,IF('Model inputs'!B212="","",'Model inputs'!B212=1)),'Model inputs'!B1070))))="",FALSE,IF(IFERROR(IF(ISERROR('Model inputs'!B212=1),'Model inputs'!B212=1,IF('Model inputs'!B212="","",'Model inputs'!B212=1))=FALSE,FALSE),FALSE,IF(IFERROR('Model inputs'!B1070=FALSE,FALSE),FALSE,IF(OR(IF(ISERROR('Model inputs'!B212=1),'Model inputs'!B212=1,IF('Model inputs'!B212="","",'Model inputs'!B212=1))="",'Model inputs'!B1070=""),"",AND(IF(ISERROR('Model inputs'!B212=1),'Model inputs'!B212=1,IF('Model inputs'!B212="","",'Model inputs'!B212=1)),'Model inputs'!B1070))))),IF('Model inputs'!B244="","",'Model inputs'!B244),IF('Model inputs'!B221="","",'Model inputs'!B221))</f>
        <v>0.24</v>
      </c>
      <c r="E111" s="20">
        <f>IF(IF(IF(IFERROR(IF(ISERROR('Model inputs'!B212=1),'Model inputs'!B212=1,IF('Model inputs'!B212="","",'Model inputs'!B212=1))=FALSE,FALSE),FALSE,IF(IFERROR('Model inputs'!B1071=FALSE,FALSE),FALSE,IF(OR(IF(ISERROR('Model inputs'!B212=1),'Model inputs'!B212=1,IF('Model inputs'!B212="","",'Model inputs'!B212=1))="",'Model inputs'!B1071=""),"",AND(IF(ISERROR('Model inputs'!B212=1),'Model inputs'!B212=1,IF('Model inputs'!B212="","",'Model inputs'!B212=1)),'Model inputs'!B1071))))="",FALSE,IF(IFERROR(IF(ISERROR('Model inputs'!B212=1),'Model inputs'!B212=1,IF('Model inputs'!B212="","",'Model inputs'!B212=1))=FALSE,FALSE),FALSE,IF(IFERROR('Model inputs'!B1071=FALSE,FALSE),FALSE,IF(OR(IF(ISERROR('Model inputs'!B212=1),'Model inputs'!B212=1,IF('Model inputs'!B212="","",'Model inputs'!B212=1))="",'Model inputs'!B1071=""),"",AND(IF(ISERROR('Model inputs'!B212=1),'Model inputs'!B212=1,IF('Model inputs'!B212="","",'Model inputs'!B212=1)),'Model inputs'!B1071))))),IF('Model inputs'!B244="","",'Model inputs'!B244),IF('Model inputs'!B221="","",'Model inputs'!B221))</f>
        <v>0.24</v>
      </c>
      <c r="F111" s="20">
        <f>IF(IF(IF(IFERROR(IF(ISERROR('Model inputs'!B212=1),'Model inputs'!B212=1,IF('Model inputs'!B212="","",'Model inputs'!B212=1))=FALSE,FALSE),FALSE,IF(IFERROR('Model inputs'!B1072=FALSE,FALSE),FALSE,IF(OR(IF(ISERROR('Model inputs'!B212=1),'Model inputs'!B212=1,IF('Model inputs'!B212="","",'Model inputs'!B212=1))="",'Model inputs'!B1072=""),"",AND(IF(ISERROR('Model inputs'!B212=1),'Model inputs'!B212=1,IF('Model inputs'!B212="","",'Model inputs'!B212=1)),'Model inputs'!B1072))))="",FALSE,IF(IFERROR(IF(ISERROR('Model inputs'!B212=1),'Model inputs'!B212=1,IF('Model inputs'!B212="","",'Model inputs'!B212=1))=FALSE,FALSE),FALSE,IF(IFERROR('Model inputs'!B1072=FALSE,FALSE),FALSE,IF(OR(IF(ISERROR('Model inputs'!B212=1),'Model inputs'!B212=1,IF('Model inputs'!B212="","",'Model inputs'!B212=1))="",'Model inputs'!B1072=""),"",AND(IF(ISERROR('Model inputs'!B212=1),'Model inputs'!B212=1,IF('Model inputs'!B212="","",'Model inputs'!B212=1)),'Model inputs'!B1072))))),IF('Model inputs'!B244="","",'Model inputs'!B244),IF('Model inputs'!B221="","",'Model inputs'!B221))</f>
        <v>0.24</v>
      </c>
      <c r="G111" s="20">
        <f>IF(IF(IF(IFERROR(IF(ISERROR('Model inputs'!B212=1),'Model inputs'!B212=1,IF('Model inputs'!B212="","",'Model inputs'!B212=1))=FALSE,FALSE),FALSE,IF(IFERROR('Model inputs'!B1073=FALSE,FALSE),FALSE,IF(OR(IF(ISERROR('Model inputs'!B212=1),'Model inputs'!B212=1,IF('Model inputs'!B212="","",'Model inputs'!B212=1))="",'Model inputs'!B1073=""),"",AND(IF(ISERROR('Model inputs'!B212=1),'Model inputs'!B212=1,IF('Model inputs'!B212="","",'Model inputs'!B212=1)),'Model inputs'!B1073))))="",FALSE,IF(IFERROR(IF(ISERROR('Model inputs'!B212=1),'Model inputs'!B212=1,IF('Model inputs'!B212="","",'Model inputs'!B212=1))=FALSE,FALSE),FALSE,IF(IFERROR('Model inputs'!B1073=FALSE,FALSE),FALSE,IF(OR(IF(ISERROR('Model inputs'!B212=1),'Model inputs'!B212=1,IF('Model inputs'!B212="","",'Model inputs'!B212=1))="",'Model inputs'!B1073=""),"",AND(IF(ISERROR('Model inputs'!B212=1),'Model inputs'!B212=1,IF('Model inputs'!B212="","",'Model inputs'!B212=1)),'Model inputs'!B1073))))),IF('Model inputs'!B244="","",'Model inputs'!B244),IF('Model inputs'!B221="","",'Model inputs'!B221))</f>
        <v>0.24</v>
      </c>
      <c r="H111" s="20">
        <f>IF(IF(IF(IFERROR(IF(ISERROR('Model inputs'!B212=1),'Model inputs'!B212=1,IF('Model inputs'!B212="","",'Model inputs'!B212=1))=FALSE,FALSE),FALSE,IF(IFERROR('Model inputs'!B1074=FALSE,FALSE),FALSE,IF(OR(IF(ISERROR('Model inputs'!B212=1),'Model inputs'!B212=1,IF('Model inputs'!B212="","",'Model inputs'!B212=1))="",'Model inputs'!B1074=""),"",AND(IF(ISERROR('Model inputs'!B212=1),'Model inputs'!B212=1,IF('Model inputs'!B212="","",'Model inputs'!B212=1)),'Model inputs'!B1074))))="",FALSE,IF(IFERROR(IF(ISERROR('Model inputs'!B212=1),'Model inputs'!B212=1,IF('Model inputs'!B212="","",'Model inputs'!B212=1))=FALSE,FALSE),FALSE,IF(IFERROR('Model inputs'!B1074=FALSE,FALSE),FALSE,IF(OR(IF(ISERROR('Model inputs'!B212=1),'Model inputs'!B212=1,IF('Model inputs'!B212="","",'Model inputs'!B212=1))="",'Model inputs'!B1074=""),"",AND(IF(ISERROR('Model inputs'!B212=1),'Model inputs'!B212=1,IF('Model inputs'!B212="","",'Model inputs'!B212=1)),'Model inputs'!B1074))))),IF('Model inputs'!B244="","",'Model inputs'!B244),IF('Model inputs'!B221="","",'Model inputs'!B221))</f>
        <v>0.24</v>
      </c>
      <c r="I111" s="20">
        <f>IF(IF(IF(IFERROR(IF(ISERROR('Model inputs'!B212=1),'Model inputs'!B212=1,IF('Model inputs'!B212="","",'Model inputs'!B212=1))=FALSE,FALSE),FALSE,IF(IFERROR('Model inputs'!B1075=FALSE,FALSE),FALSE,IF(OR(IF(ISERROR('Model inputs'!B212=1),'Model inputs'!B212=1,IF('Model inputs'!B212="","",'Model inputs'!B212=1))="",'Model inputs'!B1075=""),"",AND(IF(ISERROR('Model inputs'!B212=1),'Model inputs'!B212=1,IF('Model inputs'!B212="","",'Model inputs'!B212=1)),'Model inputs'!B1075))))="",FALSE,IF(IFERROR(IF(ISERROR('Model inputs'!B212=1),'Model inputs'!B212=1,IF('Model inputs'!B212="","",'Model inputs'!B212=1))=FALSE,FALSE),FALSE,IF(IFERROR('Model inputs'!B1075=FALSE,FALSE),FALSE,IF(OR(IF(ISERROR('Model inputs'!B212=1),'Model inputs'!B212=1,IF('Model inputs'!B212="","",'Model inputs'!B212=1))="",'Model inputs'!B1075=""),"",AND(IF(ISERROR('Model inputs'!B212=1),'Model inputs'!B212=1,IF('Model inputs'!B212="","",'Model inputs'!B212=1)),'Model inputs'!B1075))))),IF('Model inputs'!B244="","",'Model inputs'!B244),IF('Model inputs'!B221="","",'Model inputs'!B221))</f>
        <v>0.24</v>
      </c>
      <c r="J111" s="20">
        <f>IF(IF(IF(IFERROR(IF(ISERROR('Model inputs'!B212=1),'Model inputs'!B212=1,IF('Model inputs'!B212="","",'Model inputs'!B212=1))=FALSE,FALSE),FALSE,IF(IFERROR('Model inputs'!B1076=FALSE,FALSE),FALSE,IF(OR(IF(ISERROR('Model inputs'!B212=1),'Model inputs'!B212=1,IF('Model inputs'!B212="","",'Model inputs'!B212=1))="",'Model inputs'!B1076=""),"",AND(IF(ISERROR('Model inputs'!B212=1),'Model inputs'!B212=1,IF('Model inputs'!B212="","",'Model inputs'!B212=1)),'Model inputs'!B1076))))="",FALSE,IF(IFERROR(IF(ISERROR('Model inputs'!B212=1),'Model inputs'!B212=1,IF('Model inputs'!B212="","",'Model inputs'!B212=1))=FALSE,FALSE),FALSE,IF(IFERROR('Model inputs'!B1076=FALSE,FALSE),FALSE,IF(OR(IF(ISERROR('Model inputs'!B212=1),'Model inputs'!B212=1,IF('Model inputs'!B212="","",'Model inputs'!B212=1))="",'Model inputs'!B1076=""),"",AND(IF(ISERROR('Model inputs'!B212=1),'Model inputs'!B212=1,IF('Model inputs'!B212="","",'Model inputs'!B212=1)),'Model inputs'!B1076))))),IF('Model inputs'!B244="","",'Model inputs'!B244),IF('Model inputs'!B221="","",'Model inputs'!B221))</f>
        <v>0.24</v>
      </c>
      <c r="K111" s="20">
        <f>IF(IF(IF(IFERROR(IF(ISERROR('Model inputs'!B212=1),'Model inputs'!B212=1,IF('Model inputs'!B212="","",'Model inputs'!B212=1))=FALSE,FALSE),FALSE,IF(IFERROR('Model inputs'!B1077=FALSE,FALSE),FALSE,IF(OR(IF(ISERROR('Model inputs'!B212=1),'Model inputs'!B212=1,IF('Model inputs'!B212="","",'Model inputs'!B212=1))="",'Model inputs'!B1077=""),"",AND(IF(ISERROR('Model inputs'!B212=1),'Model inputs'!B212=1,IF('Model inputs'!B212="","",'Model inputs'!B212=1)),'Model inputs'!B1077))))="",FALSE,IF(IFERROR(IF(ISERROR('Model inputs'!B212=1),'Model inputs'!B212=1,IF('Model inputs'!B212="","",'Model inputs'!B212=1))=FALSE,FALSE),FALSE,IF(IFERROR('Model inputs'!B1077=FALSE,FALSE),FALSE,IF(OR(IF(ISERROR('Model inputs'!B212=1),'Model inputs'!B212=1,IF('Model inputs'!B212="","",'Model inputs'!B212=1))="",'Model inputs'!B1077=""),"",AND(IF(ISERROR('Model inputs'!B212=1),'Model inputs'!B212=1,IF('Model inputs'!B212="","",'Model inputs'!B212=1)),'Model inputs'!B1077))))),IF('Model inputs'!B244="","",'Model inputs'!B244),IF('Model inputs'!B221="","",'Model inputs'!B221))</f>
        <v>0.24</v>
      </c>
      <c r="L111" s="20">
        <f>IF(IF(IF(IFERROR(IF(ISERROR('Model inputs'!B212=1),'Model inputs'!B212=1,IF('Model inputs'!B212="","",'Model inputs'!B212=1))=FALSE,FALSE),FALSE,IF(IFERROR('Model inputs'!B1078=FALSE,FALSE),FALSE,IF(OR(IF(ISERROR('Model inputs'!B212=1),'Model inputs'!B212=1,IF('Model inputs'!B212="","",'Model inputs'!B212=1))="",'Model inputs'!B1078=""),"",AND(IF(ISERROR('Model inputs'!B212=1),'Model inputs'!B212=1,IF('Model inputs'!B212="","",'Model inputs'!B212=1)),'Model inputs'!B1078))))="",FALSE,IF(IFERROR(IF(ISERROR('Model inputs'!B212=1),'Model inputs'!B212=1,IF('Model inputs'!B212="","",'Model inputs'!B212=1))=FALSE,FALSE),FALSE,IF(IFERROR('Model inputs'!B1078=FALSE,FALSE),FALSE,IF(OR(IF(ISERROR('Model inputs'!B212=1),'Model inputs'!B212=1,IF('Model inputs'!B212="","",'Model inputs'!B212=1))="",'Model inputs'!B1078=""),"",AND(IF(ISERROR('Model inputs'!B212=1),'Model inputs'!B212=1,IF('Model inputs'!B212="","",'Model inputs'!B212=1)),'Model inputs'!B1078))))),IF('Model inputs'!B244="","",'Model inputs'!B244),IF('Model inputs'!B221="","",'Model inputs'!B221))</f>
        <v>0.24</v>
      </c>
      <c r="M111" s="20">
        <f>IF(IF(IF(IFERROR(IF(ISERROR('Model inputs'!B212=1),'Model inputs'!B212=1,IF('Model inputs'!B212="","",'Model inputs'!B212=1))=FALSE,FALSE),FALSE,IF(IFERROR('Model inputs'!B1079=FALSE,FALSE),FALSE,IF(OR(IF(ISERROR('Model inputs'!B212=1),'Model inputs'!B212=1,IF('Model inputs'!B212="","",'Model inputs'!B212=1))="",'Model inputs'!B1079=""),"",AND(IF(ISERROR('Model inputs'!B212=1),'Model inputs'!B212=1,IF('Model inputs'!B212="","",'Model inputs'!B212=1)),'Model inputs'!B1079))))="",FALSE,IF(IFERROR(IF(ISERROR('Model inputs'!B212=1),'Model inputs'!B212=1,IF('Model inputs'!B212="","",'Model inputs'!B212=1))=FALSE,FALSE),FALSE,IF(IFERROR('Model inputs'!B1079=FALSE,FALSE),FALSE,IF(OR(IF(ISERROR('Model inputs'!B212=1),'Model inputs'!B212=1,IF('Model inputs'!B212="","",'Model inputs'!B212=1))="",'Model inputs'!B1079=""),"",AND(IF(ISERROR('Model inputs'!B212=1),'Model inputs'!B212=1,IF('Model inputs'!B212="","",'Model inputs'!B212=1)),'Model inputs'!B1079))))),IF('Model inputs'!B244="","",'Model inputs'!B244),IF('Model inputs'!B221="","",'Model inputs'!B221))</f>
        <v>0.24</v>
      </c>
      <c r="N111" s="20">
        <f>IF(IF(IF(IFERROR(IF(ISERROR('Model inputs'!B212=1),'Model inputs'!B212=1,IF('Model inputs'!B212="","",'Model inputs'!B212=1))=FALSE,FALSE),FALSE,IF(IFERROR('Model inputs'!B1080=FALSE,FALSE),FALSE,IF(OR(IF(ISERROR('Model inputs'!B212=1),'Model inputs'!B212=1,IF('Model inputs'!B212="","",'Model inputs'!B212=1))="",'Model inputs'!B1080=""),"",AND(IF(ISERROR('Model inputs'!B212=1),'Model inputs'!B212=1,IF('Model inputs'!B212="","",'Model inputs'!B212=1)),'Model inputs'!B1080))))="",FALSE,IF(IFERROR(IF(ISERROR('Model inputs'!B212=1),'Model inputs'!B212=1,IF('Model inputs'!B212="","",'Model inputs'!B212=1))=FALSE,FALSE),FALSE,IF(IFERROR('Model inputs'!B1080=FALSE,FALSE),FALSE,IF(OR(IF(ISERROR('Model inputs'!B212=1),'Model inputs'!B212=1,IF('Model inputs'!B212="","",'Model inputs'!B212=1))="",'Model inputs'!B1080=""),"",AND(IF(ISERROR('Model inputs'!B212=1),'Model inputs'!B212=1,IF('Model inputs'!B212="","",'Model inputs'!B212=1)),'Model inputs'!B1080))))),IF('Model inputs'!B244="","",'Model inputs'!B244),IF('Model inputs'!B221="","",'Model inputs'!B221))</f>
        <v>0.24</v>
      </c>
      <c r="O111" s="20">
        <f>IF(IF(IF(IFERROR(IF(ISERROR('Model inputs'!B212=1),'Model inputs'!B212=1,IF('Model inputs'!B212="","",'Model inputs'!B212=1))=FALSE,FALSE),FALSE,IF(IFERROR('Model inputs'!B1081=FALSE,FALSE),FALSE,IF(OR(IF(ISERROR('Model inputs'!B212=1),'Model inputs'!B212=1,IF('Model inputs'!B212="","",'Model inputs'!B212=1))="",'Model inputs'!B1081=""),"",AND(IF(ISERROR('Model inputs'!B212=1),'Model inputs'!B212=1,IF('Model inputs'!B212="","",'Model inputs'!B212=1)),'Model inputs'!B1081))))="",FALSE,IF(IFERROR(IF(ISERROR('Model inputs'!B212=1),'Model inputs'!B212=1,IF('Model inputs'!B212="","",'Model inputs'!B212=1))=FALSE,FALSE),FALSE,IF(IFERROR('Model inputs'!B1081=FALSE,FALSE),FALSE,IF(OR(IF(ISERROR('Model inputs'!B212=1),'Model inputs'!B212=1,IF('Model inputs'!B212="","",'Model inputs'!B212=1))="",'Model inputs'!B1081=""),"",AND(IF(ISERROR('Model inputs'!B212=1),'Model inputs'!B212=1,IF('Model inputs'!B212="","",'Model inputs'!B212=1)),'Model inputs'!B1081))))),IF('Model inputs'!B244="","",'Model inputs'!B244),IF('Model inputs'!B221="","",'Model inputs'!B221))</f>
        <v>0.24</v>
      </c>
      <c r="P111" s="20">
        <f>IF(IF(IF(IFERROR(IF(ISERROR('Model inputs'!B212=1),'Model inputs'!B212=1,IF('Model inputs'!B212="","",'Model inputs'!B212=1))=FALSE,FALSE),FALSE,IF(IFERROR('Model inputs'!B1082=FALSE,FALSE),FALSE,IF(OR(IF(ISERROR('Model inputs'!B212=1),'Model inputs'!B212=1,IF('Model inputs'!B212="","",'Model inputs'!B212=1))="",'Model inputs'!B1082=""),"",AND(IF(ISERROR('Model inputs'!B212=1),'Model inputs'!B212=1,IF('Model inputs'!B212="","",'Model inputs'!B212=1)),'Model inputs'!B1082))))="",FALSE,IF(IFERROR(IF(ISERROR('Model inputs'!B212=1),'Model inputs'!B212=1,IF('Model inputs'!B212="","",'Model inputs'!B212=1))=FALSE,FALSE),FALSE,IF(IFERROR('Model inputs'!B1082=FALSE,FALSE),FALSE,IF(OR(IF(ISERROR('Model inputs'!B212=1),'Model inputs'!B212=1,IF('Model inputs'!B212="","",'Model inputs'!B212=1))="",'Model inputs'!B1082=""),"",AND(IF(ISERROR('Model inputs'!B212=1),'Model inputs'!B212=1,IF('Model inputs'!B212="","",'Model inputs'!B212=1)),'Model inputs'!B1082))))),IF('Model inputs'!B244="","",'Model inputs'!B244),IF('Model inputs'!B221="","",'Model inputs'!B221))</f>
        <v>0.24</v>
      </c>
      <c r="Q111" s="20">
        <f>IF(IF(IF(IFERROR(IF(ISERROR('Model inputs'!B212=1),'Model inputs'!B212=1,IF('Model inputs'!B212="","",'Model inputs'!B212=1))=FALSE,FALSE),FALSE,IF(IFERROR('Model inputs'!B1083=FALSE,FALSE),FALSE,IF(OR(IF(ISERROR('Model inputs'!B212=1),'Model inputs'!B212=1,IF('Model inputs'!B212="","",'Model inputs'!B212=1))="",'Model inputs'!B1083=""),"",AND(IF(ISERROR('Model inputs'!B212=1),'Model inputs'!B212=1,IF('Model inputs'!B212="","",'Model inputs'!B212=1)),'Model inputs'!B1083))))="",FALSE,IF(IFERROR(IF(ISERROR('Model inputs'!B212=1),'Model inputs'!B212=1,IF('Model inputs'!B212="","",'Model inputs'!B212=1))=FALSE,FALSE),FALSE,IF(IFERROR('Model inputs'!B1083=FALSE,FALSE),FALSE,IF(OR(IF(ISERROR('Model inputs'!B212=1),'Model inputs'!B212=1,IF('Model inputs'!B212="","",'Model inputs'!B212=1))="",'Model inputs'!B1083=""),"",AND(IF(ISERROR('Model inputs'!B212=1),'Model inputs'!B212=1,IF('Model inputs'!B212="","",'Model inputs'!B212=1)),'Model inputs'!B1083))))),IF('Model inputs'!B244="","",'Model inputs'!B244),IF('Model inputs'!B221="","",'Model inputs'!B221))</f>
        <v>0.24</v>
      </c>
      <c r="R111" s="20">
        <f>IF(IF(IF(IFERROR(IF(ISERROR('Model inputs'!B212=1),'Model inputs'!B212=1,IF('Model inputs'!B212="","",'Model inputs'!B212=1))=FALSE,FALSE),FALSE,IF(IFERROR('Model inputs'!B1084=FALSE,FALSE),FALSE,IF(OR(IF(ISERROR('Model inputs'!B212=1),'Model inputs'!B212=1,IF('Model inputs'!B212="","",'Model inputs'!B212=1))="",'Model inputs'!B1084=""),"",AND(IF(ISERROR('Model inputs'!B212=1),'Model inputs'!B212=1,IF('Model inputs'!B212="","",'Model inputs'!B212=1)),'Model inputs'!B1084))))="",FALSE,IF(IFERROR(IF(ISERROR('Model inputs'!B212=1),'Model inputs'!B212=1,IF('Model inputs'!B212="","",'Model inputs'!B212=1))=FALSE,FALSE),FALSE,IF(IFERROR('Model inputs'!B1084=FALSE,FALSE),FALSE,IF(OR(IF(ISERROR('Model inputs'!B212=1),'Model inputs'!B212=1,IF('Model inputs'!B212="","",'Model inputs'!B212=1))="",'Model inputs'!B1084=""),"",AND(IF(ISERROR('Model inputs'!B212=1),'Model inputs'!B212=1,IF('Model inputs'!B212="","",'Model inputs'!B212=1)),'Model inputs'!B1084))))),IF('Model inputs'!B244="","",'Model inputs'!B244),IF('Model inputs'!B221="","",'Model inputs'!B221))</f>
        <v>0.24</v>
      </c>
      <c r="S111" s="20">
        <f>IF(IF(IF(IFERROR(IF(ISERROR('Model inputs'!B212=1),'Model inputs'!B212=1,IF('Model inputs'!B212="","",'Model inputs'!B212=1))=FALSE,FALSE),FALSE,IF(IFERROR('Model inputs'!B1085=FALSE,FALSE),FALSE,IF(OR(IF(ISERROR('Model inputs'!B212=1),'Model inputs'!B212=1,IF('Model inputs'!B212="","",'Model inputs'!B212=1))="",'Model inputs'!B1085=""),"",AND(IF(ISERROR('Model inputs'!B212=1),'Model inputs'!B212=1,IF('Model inputs'!B212="","",'Model inputs'!B212=1)),'Model inputs'!B1085))))="",FALSE,IF(IFERROR(IF(ISERROR('Model inputs'!B212=1),'Model inputs'!B212=1,IF('Model inputs'!B212="","",'Model inputs'!B212=1))=FALSE,FALSE),FALSE,IF(IFERROR('Model inputs'!B1085=FALSE,FALSE),FALSE,IF(OR(IF(ISERROR('Model inputs'!B212=1),'Model inputs'!B212=1,IF('Model inputs'!B212="","",'Model inputs'!B212=1))="",'Model inputs'!B1085=""),"",AND(IF(ISERROR('Model inputs'!B212=1),'Model inputs'!B212=1,IF('Model inputs'!B212="","",'Model inputs'!B212=1)),'Model inputs'!B1085))))),IF('Model inputs'!B244="","",'Model inputs'!B244),IF('Model inputs'!B221="","",'Model inputs'!B221))</f>
        <v>0.24</v>
      </c>
      <c r="T111" s="20">
        <f>IF(IF(IF(IFERROR(IF(ISERROR('Model inputs'!B212=1),'Model inputs'!B212=1,IF('Model inputs'!B212="","",'Model inputs'!B212=1))=FALSE,FALSE),FALSE,IF(IFERROR('Model inputs'!B1086=FALSE,FALSE),FALSE,IF(OR(IF(ISERROR('Model inputs'!B212=1),'Model inputs'!B212=1,IF('Model inputs'!B212="","",'Model inputs'!B212=1))="",'Model inputs'!B1086=""),"",AND(IF(ISERROR('Model inputs'!B212=1),'Model inputs'!B212=1,IF('Model inputs'!B212="","",'Model inputs'!B212=1)),'Model inputs'!B1086))))="",FALSE,IF(IFERROR(IF(ISERROR('Model inputs'!B212=1),'Model inputs'!B212=1,IF('Model inputs'!B212="","",'Model inputs'!B212=1))=FALSE,FALSE),FALSE,IF(IFERROR('Model inputs'!B1086=FALSE,FALSE),FALSE,IF(OR(IF(ISERROR('Model inputs'!B212=1),'Model inputs'!B212=1,IF('Model inputs'!B212="","",'Model inputs'!B212=1))="",'Model inputs'!B1086=""),"",AND(IF(ISERROR('Model inputs'!B212=1),'Model inputs'!B212=1,IF('Model inputs'!B212="","",'Model inputs'!B212=1)),'Model inputs'!B1086))))),IF('Model inputs'!B244="","",'Model inputs'!B244),IF('Model inputs'!B221="","",'Model inputs'!B221))</f>
        <v>0.24</v>
      </c>
      <c r="U111" s="20">
        <f>IF(IF(IF(IFERROR(IF(ISERROR('Model inputs'!B212=1),'Model inputs'!B212=1,IF('Model inputs'!B212="","",'Model inputs'!B212=1))=FALSE,FALSE),FALSE,IF(IFERROR('Model inputs'!B1087=FALSE,FALSE),FALSE,IF(OR(IF(ISERROR('Model inputs'!B212=1),'Model inputs'!B212=1,IF('Model inputs'!B212="","",'Model inputs'!B212=1))="",'Model inputs'!B1087=""),"",AND(IF(ISERROR('Model inputs'!B212=1),'Model inputs'!B212=1,IF('Model inputs'!B212="","",'Model inputs'!B212=1)),'Model inputs'!B1087))))="",FALSE,IF(IFERROR(IF(ISERROR('Model inputs'!B212=1),'Model inputs'!B212=1,IF('Model inputs'!B212="","",'Model inputs'!B212=1))=FALSE,FALSE),FALSE,IF(IFERROR('Model inputs'!B1087=FALSE,FALSE),FALSE,IF(OR(IF(ISERROR('Model inputs'!B212=1),'Model inputs'!B212=1,IF('Model inputs'!B212="","",'Model inputs'!B212=1))="",'Model inputs'!B1087=""),"",AND(IF(ISERROR('Model inputs'!B212=1),'Model inputs'!B212=1,IF('Model inputs'!B212="","",'Model inputs'!B212=1)),'Model inputs'!B1087))))),IF('Model inputs'!B244="","",'Model inputs'!B244),IF('Model inputs'!B221="","",'Model inputs'!B221))</f>
        <v>0.24</v>
      </c>
      <c r="V111" s="20">
        <f>IF(IF(IF(IFERROR(IF(ISERROR('Model inputs'!B212=1),'Model inputs'!B212=1,IF('Model inputs'!B212="","",'Model inputs'!B212=1))=FALSE,FALSE),FALSE,IF(IFERROR('Model inputs'!B1088=FALSE,FALSE),FALSE,IF(OR(IF(ISERROR('Model inputs'!B212=1),'Model inputs'!B212=1,IF('Model inputs'!B212="","",'Model inputs'!B212=1))="",'Model inputs'!B1088=""),"",AND(IF(ISERROR('Model inputs'!B212=1),'Model inputs'!B212=1,IF('Model inputs'!B212="","",'Model inputs'!B212=1)),'Model inputs'!B1088))))="",FALSE,IF(IFERROR(IF(ISERROR('Model inputs'!B212=1),'Model inputs'!B212=1,IF('Model inputs'!B212="","",'Model inputs'!B212=1))=FALSE,FALSE),FALSE,IF(IFERROR('Model inputs'!B1088=FALSE,FALSE),FALSE,IF(OR(IF(ISERROR('Model inputs'!B212=1),'Model inputs'!B212=1,IF('Model inputs'!B212="","",'Model inputs'!B212=1))="",'Model inputs'!B1088=""),"",AND(IF(ISERROR('Model inputs'!B212=1),'Model inputs'!B212=1,IF('Model inputs'!B212="","",'Model inputs'!B212=1)),'Model inputs'!B1088))))),IF('Model inputs'!B244="","",'Model inputs'!B244),IF('Model inputs'!B221="","",'Model inputs'!B221))</f>
        <v>0.24</v>
      </c>
      <c r="W111" s="20">
        <f>IF(IF(IF(IFERROR(IF(ISERROR('Model inputs'!B212=1),'Model inputs'!B212=1,IF('Model inputs'!B212="","",'Model inputs'!B212=1))=FALSE,FALSE),FALSE,IF(IFERROR('Model inputs'!B1058=FALSE,FALSE),FALSE,IF(OR(IF(ISERROR('Model inputs'!B212=1),'Model inputs'!B212=1,IF('Model inputs'!B212="","",'Model inputs'!B212=1))="",'Model inputs'!B1058=""),"",AND(IF(ISERROR('Model inputs'!B212=1),'Model inputs'!B212=1,IF('Model inputs'!B212="","",'Model inputs'!B212=1)),'Model inputs'!B1058))))="",FALSE,IF(IFERROR(IF(ISERROR('Model inputs'!B212=1),'Model inputs'!B212=1,IF('Model inputs'!B212="","",'Model inputs'!B212=1))=FALSE,FALSE),FALSE,IF(IFERROR('Model inputs'!B1058=FALSE,FALSE),FALSE,IF(OR(IF(ISERROR('Model inputs'!B212=1),'Model inputs'!B212=1,IF('Model inputs'!B212="","",'Model inputs'!B212=1))="",'Model inputs'!B1058=""),"",AND(IF(ISERROR('Model inputs'!B212=1),'Model inputs'!B212=1,IF('Model inputs'!B212="","",'Model inputs'!B212=1)),'Model inputs'!B1058))))),IF('Model inputs'!B244="","",'Model inputs'!B244),IF('Model inputs'!B221="","",'Model inputs'!B221))</f>
        <v>0.24</v>
      </c>
      <c r="X111" s="20">
        <f>IF(IF(IF(IFERROR(IF(ISERROR('Model inputs'!B212=1),'Model inputs'!B212=1,IF('Model inputs'!B212="","",'Model inputs'!B212=1))=FALSE,FALSE),FALSE,IF(IFERROR('Model inputs'!B1059=FALSE,FALSE),FALSE,IF(OR(IF(ISERROR('Model inputs'!B212=1),'Model inputs'!B212=1,IF('Model inputs'!B212="","",'Model inputs'!B212=1))="",'Model inputs'!B1059=""),"",AND(IF(ISERROR('Model inputs'!B212=1),'Model inputs'!B212=1,IF('Model inputs'!B212="","",'Model inputs'!B212=1)),'Model inputs'!B1059))))="",FALSE,IF(IFERROR(IF(ISERROR('Model inputs'!B212=1),'Model inputs'!B212=1,IF('Model inputs'!B212="","",'Model inputs'!B212=1))=FALSE,FALSE),FALSE,IF(IFERROR('Model inputs'!B1059=FALSE,FALSE),FALSE,IF(OR(IF(ISERROR('Model inputs'!B212=1),'Model inputs'!B212=1,IF('Model inputs'!B212="","",'Model inputs'!B212=1))="",'Model inputs'!B1059=""),"",AND(IF(ISERROR('Model inputs'!B212=1),'Model inputs'!B212=1,IF('Model inputs'!B212="","",'Model inputs'!B212=1)),'Model inputs'!B1059))))),IF('Model inputs'!B244="","",'Model inputs'!B244),IF('Model inputs'!B221="","",'Model inputs'!B221))</f>
        <v>0.24</v>
      </c>
      <c r="Y111" s="20">
        <f>IF(IF(IF(IFERROR(IF(ISERROR('Model inputs'!B212=1),'Model inputs'!B212=1,IF('Model inputs'!B212="","",'Model inputs'!B212=1))=FALSE,FALSE),FALSE,IF(IFERROR('Model inputs'!B1060=FALSE,FALSE),FALSE,IF(OR(IF(ISERROR('Model inputs'!B212=1),'Model inputs'!B212=1,IF('Model inputs'!B212="","",'Model inputs'!B212=1))="",'Model inputs'!B1060=""),"",AND(IF(ISERROR('Model inputs'!B212=1),'Model inputs'!B212=1,IF('Model inputs'!B212="","",'Model inputs'!B212=1)),'Model inputs'!B1060))))="",FALSE,IF(IFERROR(IF(ISERROR('Model inputs'!B212=1),'Model inputs'!B212=1,IF('Model inputs'!B212="","",'Model inputs'!B212=1))=FALSE,FALSE),FALSE,IF(IFERROR('Model inputs'!B1060=FALSE,FALSE),FALSE,IF(OR(IF(ISERROR('Model inputs'!B212=1),'Model inputs'!B212=1,IF('Model inputs'!B212="","",'Model inputs'!B212=1))="",'Model inputs'!B1060=""),"",AND(IF(ISERROR('Model inputs'!B212=1),'Model inputs'!B212=1,IF('Model inputs'!B212="","",'Model inputs'!B212=1)),'Model inputs'!B1060))))),IF('Model inputs'!B244="","",'Model inputs'!B244),IF('Model inputs'!B221="","",'Model inputs'!B221))</f>
        <v>0.24</v>
      </c>
      <c r="Z111" s="20">
        <f>IF(IF(IF(IFERROR(IF(ISERROR('Model inputs'!B212=1),'Model inputs'!B212=1,IF('Model inputs'!B212="","",'Model inputs'!B212=1))=FALSE,FALSE),FALSE,IF(IFERROR('Model inputs'!B1061=FALSE,FALSE),FALSE,IF(OR(IF(ISERROR('Model inputs'!B212=1),'Model inputs'!B212=1,IF('Model inputs'!B212="","",'Model inputs'!B212=1))="",'Model inputs'!B1061=""),"",AND(IF(ISERROR('Model inputs'!B212=1),'Model inputs'!B212=1,IF('Model inputs'!B212="","",'Model inputs'!B212=1)),'Model inputs'!B1061))))="",FALSE,IF(IFERROR(IF(ISERROR('Model inputs'!B212=1),'Model inputs'!B212=1,IF('Model inputs'!B212="","",'Model inputs'!B212=1))=FALSE,FALSE),FALSE,IF(IFERROR('Model inputs'!B1061=FALSE,FALSE),FALSE,IF(OR(IF(ISERROR('Model inputs'!B212=1),'Model inputs'!B212=1,IF('Model inputs'!B212="","",'Model inputs'!B212=1))="",'Model inputs'!B1061=""),"",AND(IF(ISERROR('Model inputs'!B212=1),'Model inputs'!B212=1,IF('Model inputs'!B212="","",'Model inputs'!B212=1)),'Model inputs'!B1061))))),IF('Model inputs'!B244="","",'Model inputs'!B244),IF('Model inputs'!B221="","",'Model inputs'!B221))</f>
        <v>0.24</v>
      </c>
      <c r="AA111" s="20">
        <f>IF(IF(IF(IFERROR(IF(ISERROR('Model inputs'!B212=1),'Model inputs'!B212=1,IF('Model inputs'!B212="","",'Model inputs'!B212=1))=FALSE,FALSE),FALSE,IF(IFERROR('Model inputs'!B1062=FALSE,FALSE),FALSE,IF(OR(IF(ISERROR('Model inputs'!B212=1),'Model inputs'!B212=1,IF('Model inputs'!B212="","",'Model inputs'!B212=1))="",'Model inputs'!B1062=""),"",AND(IF(ISERROR('Model inputs'!B212=1),'Model inputs'!B212=1,IF('Model inputs'!B212="","",'Model inputs'!B212=1)),'Model inputs'!B1062))))="",FALSE,IF(IFERROR(IF(ISERROR('Model inputs'!B212=1),'Model inputs'!B212=1,IF('Model inputs'!B212="","",'Model inputs'!B212=1))=FALSE,FALSE),FALSE,IF(IFERROR('Model inputs'!B1062=FALSE,FALSE),FALSE,IF(OR(IF(ISERROR('Model inputs'!B212=1),'Model inputs'!B212=1,IF('Model inputs'!B212="","",'Model inputs'!B212=1))="",'Model inputs'!B1062=""),"",AND(IF(ISERROR('Model inputs'!B212=1),'Model inputs'!B212=1,IF('Model inputs'!B212="","",'Model inputs'!B212=1)),'Model inputs'!B1062))))),IF('Model inputs'!B244="","",'Model inputs'!B244),IF('Model inputs'!B221="","",'Model inputs'!B221))</f>
        <v>0.24</v>
      </c>
      <c r="AB111" s="20">
        <f>IF(IF(IF(IFERROR(IF(ISERROR('Model inputs'!B212=1),'Model inputs'!B212=1,IF('Model inputs'!B212="","",'Model inputs'!B212=1))=FALSE,FALSE),FALSE,IF(IFERROR('Model inputs'!B1063=FALSE,FALSE),FALSE,IF(OR(IF(ISERROR('Model inputs'!B212=1),'Model inputs'!B212=1,IF('Model inputs'!B212="","",'Model inputs'!B212=1))="",'Model inputs'!B1063=""),"",AND(IF(ISERROR('Model inputs'!B212=1),'Model inputs'!B212=1,IF('Model inputs'!B212="","",'Model inputs'!B212=1)),'Model inputs'!B1063))))="",FALSE,IF(IFERROR(IF(ISERROR('Model inputs'!B212=1),'Model inputs'!B212=1,IF('Model inputs'!B212="","",'Model inputs'!B212=1))=FALSE,FALSE),FALSE,IF(IFERROR('Model inputs'!B1063=FALSE,FALSE),FALSE,IF(OR(IF(ISERROR('Model inputs'!B212=1),'Model inputs'!B212=1,IF('Model inputs'!B212="","",'Model inputs'!B212=1))="",'Model inputs'!B1063=""),"",AND(IF(ISERROR('Model inputs'!B212=1),'Model inputs'!B212=1,IF('Model inputs'!B212="","",'Model inputs'!B212=1)),'Model inputs'!B1063))))),IF('Model inputs'!B244="","",'Model inputs'!B244),IF('Model inputs'!B221="","",'Model inputs'!B221))</f>
        <v>0.24</v>
      </c>
      <c r="AC111" s="20">
        <f>IF(IF(IF(IFERROR(IF(ISERROR('Model inputs'!B212=1),'Model inputs'!B212=1,IF('Model inputs'!B212="","",'Model inputs'!B212=1))=FALSE,FALSE),FALSE,IF(IFERROR('Model inputs'!B1064=FALSE,FALSE),FALSE,IF(OR(IF(ISERROR('Model inputs'!B212=1),'Model inputs'!B212=1,IF('Model inputs'!B212="","",'Model inputs'!B212=1))="",'Model inputs'!B1064=""),"",AND(IF(ISERROR('Model inputs'!B212=1),'Model inputs'!B212=1,IF('Model inputs'!B212="","",'Model inputs'!B212=1)),'Model inputs'!B1064))))="",FALSE,IF(IFERROR(IF(ISERROR('Model inputs'!B212=1),'Model inputs'!B212=1,IF('Model inputs'!B212="","",'Model inputs'!B212=1))=FALSE,FALSE),FALSE,IF(IFERROR('Model inputs'!B1064=FALSE,FALSE),FALSE,IF(OR(IF(ISERROR('Model inputs'!B212=1),'Model inputs'!B212=1,IF('Model inputs'!B212="","",'Model inputs'!B212=1))="",'Model inputs'!B1064=""),"",AND(IF(ISERROR('Model inputs'!B212=1),'Model inputs'!B212=1,IF('Model inputs'!B212="","",'Model inputs'!B212=1)),'Model inputs'!B1064))))),IF('Model inputs'!B244="","",'Model inputs'!B244),IF('Model inputs'!B221="","",'Model inputs'!B221))</f>
        <v>0.24</v>
      </c>
      <c r="AD111" s="20">
        <f>IF(IF(IF(IFERROR(IF(ISERROR('Model inputs'!B212=1),'Model inputs'!B212=1,IF('Model inputs'!B212="","",'Model inputs'!B212=1))=FALSE,FALSE),FALSE,IF(IFERROR('Model inputs'!B1065=FALSE,FALSE),FALSE,IF(OR(IF(ISERROR('Model inputs'!B212=1),'Model inputs'!B212=1,IF('Model inputs'!B212="","",'Model inputs'!B212=1))="",'Model inputs'!B1065=""),"",AND(IF(ISERROR('Model inputs'!B212=1),'Model inputs'!B212=1,IF('Model inputs'!B212="","",'Model inputs'!B212=1)),'Model inputs'!B1065))))="",FALSE,IF(IFERROR(IF(ISERROR('Model inputs'!B212=1),'Model inputs'!B212=1,IF('Model inputs'!B212="","",'Model inputs'!B212=1))=FALSE,FALSE),FALSE,IF(IFERROR('Model inputs'!B1065=FALSE,FALSE),FALSE,IF(OR(IF(ISERROR('Model inputs'!B212=1),'Model inputs'!B212=1,IF('Model inputs'!B212="","",'Model inputs'!B212=1))="",'Model inputs'!B1065=""),"",AND(IF(ISERROR('Model inputs'!B212=1),'Model inputs'!B212=1,IF('Model inputs'!B212="","",'Model inputs'!B212=1)),'Model inputs'!B1065))))),IF('Model inputs'!B244="","",'Model inputs'!B244),IF('Model inputs'!B221="","",'Model inputs'!B221))</f>
        <v>0.24</v>
      </c>
      <c r="AE111" s="20">
        <f>IF(IF(IF(IFERROR(IF(ISERROR('Model inputs'!B212=1),'Model inputs'!B212=1,IF('Model inputs'!B212="","",'Model inputs'!B212=1))=FALSE,FALSE),FALSE,IF(IFERROR('Model inputs'!B1066=FALSE,FALSE),FALSE,IF(OR(IF(ISERROR('Model inputs'!B212=1),'Model inputs'!B212=1,IF('Model inputs'!B212="","",'Model inputs'!B212=1))="",'Model inputs'!B1066=""),"",AND(IF(ISERROR('Model inputs'!B212=1),'Model inputs'!B212=1,IF('Model inputs'!B212="","",'Model inputs'!B212=1)),'Model inputs'!B1066))))="",FALSE,IF(IFERROR(IF(ISERROR('Model inputs'!B212=1),'Model inputs'!B212=1,IF('Model inputs'!B212="","",'Model inputs'!B212=1))=FALSE,FALSE),FALSE,IF(IFERROR('Model inputs'!B1066=FALSE,FALSE),FALSE,IF(OR(IF(ISERROR('Model inputs'!B212=1),'Model inputs'!B212=1,IF('Model inputs'!B212="","",'Model inputs'!B212=1))="",'Model inputs'!B1066=""),"",AND(IF(ISERROR('Model inputs'!B212=1),'Model inputs'!B212=1,IF('Model inputs'!B212="","",'Model inputs'!B212=1)),'Model inputs'!B1066))))),IF('Model inputs'!B244="","",'Model inputs'!B244),IF('Model inputs'!B221="","",'Model inputs'!B221))</f>
        <v>0.24</v>
      </c>
      <c r="AF111" s="20">
        <f>IF(IF(IF(IFERROR(IF(ISERROR('Model inputs'!B212=1),'Model inputs'!B212=1,IF('Model inputs'!B212="","",'Model inputs'!B212=1))=FALSE,FALSE),FALSE,IF(IFERROR('Model inputs'!B1067=FALSE,FALSE),FALSE,IF(OR(IF(ISERROR('Model inputs'!B212=1),'Model inputs'!B212=1,IF('Model inputs'!B212="","",'Model inputs'!B212=1))="",'Model inputs'!B1067=""),"",AND(IF(ISERROR('Model inputs'!B212=1),'Model inputs'!B212=1,IF('Model inputs'!B212="","",'Model inputs'!B212=1)),'Model inputs'!B1067))))="",FALSE,IF(IFERROR(IF(ISERROR('Model inputs'!B212=1),'Model inputs'!B212=1,IF('Model inputs'!B212="","",'Model inputs'!B212=1))=FALSE,FALSE),FALSE,IF(IFERROR('Model inputs'!B1067=FALSE,FALSE),FALSE,IF(OR(IF(ISERROR('Model inputs'!B212=1),'Model inputs'!B212=1,IF('Model inputs'!B212="","",'Model inputs'!B212=1))="",'Model inputs'!B1067=""),"",AND(IF(ISERROR('Model inputs'!B212=1),'Model inputs'!B212=1,IF('Model inputs'!B212="","",'Model inputs'!B212=1)),'Model inputs'!B1067))))),IF('Model inputs'!B244="","",'Model inputs'!B244),IF('Model inputs'!B221="","",'Model inputs'!B221))</f>
        <v>0.24</v>
      </c>
      <c r="AG111" s="20">
        <f>IF(IF(IF(IFERROR(IF(ISERROR('Model inputs'!B212=1),'Model inputs'!B212=1,IF('Model inputs'!B212="","",'Model inputs'!B212=1))=FALSE,FALSE),FALSE,IF(IFERROR('Model inputs'!B1068=FALSE,FALSE),FALSE,IF(OR(IF(ISERROR('Model inputs'!B212=1),'Model inputs'!B212=1,IF('Model inputs'!B212="","",'Model inputs'!B212=1))="",'Model inputs'!B1068=""),"",AND(IF(ISERROR('Model inputs'!B212=1),'Model inputs'!B212=1,IF('Model inputs'!B212="","",'Model inputs'!B212=1)),'Model inputs'!B1068))))="",FALSE,IF(IFERROR(IF(ISERROR('Model inputs'!B212=1),'Model inputs'!B212=1,IF('Model inputs'!B212="","",'Model inputs'!B212=1))=FALSE,FALSE),FALSE,IF(IFERROR('Model inputs'!B1068=FALSE,FALSE),FALSE,IF(OR(IF(ISERROR('Model inputs'!B212=1),'Model inputs'!B212=1,IF('Model inputs'!B212="","",'Model inputs'!B212=1))="",'Model inputs'!B1068=""),"",AND(IF(ISERROR('Model inputs'!B212=1),'Model inputs'!B212=1,IF('Model inputs'!B212="","",'Model inputs'!B212=1)),'Model inputs'!B1068))))),IF('Model inputs'!B244="","",'Model inputs'!B244),IF('Model inputs'!B221="","",'Model inputs'!B221))</f>
        <v>0.24</v>
      </c>
    </row>
    <row r="112">
      <c r="A112" t="inlineStr" s="16">
        <is>
          <t xml:space="preserve">Kits generated</t>
        </is>
      </c>
      <c r="C112" s="14">
        <f>SUM('Model inputs'!C113,'Model inputs'!C114,'Model inputs'!C115)</f>
        <v>0</v>
      </c>
      <c r="D112" s="14">
        <f>SUM('Model inputs'!D113,'Model inputs'!D114,'Model inputs'!D115)</f>
        <v>0</v>
      </c>
      <c r="E112" s="14">
        <f>SUM('Model inputs'!E113,'Model inputs'!E114,'Model inputs'!E115)</f>
        <v>828</v>
      </c>
      <c r="F112" s="14">
        <f>SUM('Model inputs'!F113,'Model inputs'!F114,'Model inputs'!F115)</f>
        <v>1368.7916666666665</v>
      </c>
      <c r="G112" s="14">
        <f>SUM('Model inputs'!G113,'Model inputs'!G114,'Model inputs'!G115)</f>
        <v>1826.121059722222</v>
      </c>
      <c r="H112" s="14">
        <f>SUM('Model inputs'!H113,'Model inputs'!H114,'Model inputs'!H115)</f>
        <v>2307.5384331400464</v>
      </c>
      <c r="I112" s="14">
        <f>SUM('Model inputs'!I113,'Model inputs'!I114,'Model inputs'!I115)</f>
        <v>2815.60018657172</v>
      </c>
      <c r="J112" s="14">
        <f>SUM('Model inputs'!J113,'Model inputs'!J114,'Model inputs'!J115)</f>
        <v>3353.0799466515737</v>
      </c>
      <c r="K112" s="14">
        <f>SUM('Model inputs'!K113,'Model inputs'!K114,'Model inputs'!K115)</f>
        <v>3922.9894035737357</v>
      </c>
      <c r="L112" s="14">
        <f>SUM('Model inputs'!L113,'Model inputs'!L114,'Model inputs'!L115)</f>
        <v>4528.601033265272</v>
      </c>
      <c r="M112" s="14">
        <f>SUM('Model inputs'!M113,'Model inputs'!M114,'Model inputs'!M115)</f>
        <v>5173.472886027722</v>
      </c>
      <c r="N112" s="14">
        <f>SUM('Model inputs'!N113,'Model inputs'!N114,'Model inputs'!N115)</f>
        <v>5830.4219865033065</v>
      </c>
      <c r="O112" s="14">
        <f>SUM('Model inputs'!O113,'Model inputs'!O114,'Model inputs'!O115)</f>
        <v>6500.301380559953</v>
      </c>
      <c r="P112" s="14">
        <f>SUM('Model inputs'!P113,'Model inputs'!P114,'Model inputs'!P115)</f>
        <v>7183.982147804838</v>
      </c>
      <c r="Q112" s="14">
        <f>SUM('Model inputs'!Q113,'Model inputs'!Q114,'Model inputs'!Q115)</f>
        <v>7882.355052921401</v>
      </c>
      <c r="R112" s="14">
        <f>SUM('Model inputs'!R113,'Model inputs'!R114,'Model inputs'!R115)</f>
        <v>8596.332203674476</v>
      </c>
      <c r="S112" s="14">
        <f>SUM('Model inputs'!S113,'Model inputs'!S114,'Model inputs'!S115)</f>
        <v>9326.848719753849</v>
      </c>
      <c r="T112" s="14">
        <f>SUM('Model inputs'!T113,'Model inputs'!T114,'Model inputs'!T115)</f>
        <v>10074.864416534487</v>
      </c>
      <c r="U112" s="14">
        <f>SUM('Model inputs'!U113,'Model inputs'!U114,'Model inputs'!U115)</f>
        <v>10841.365507753188</v>
      </c>
      <c r="V112" s="14">
        <f>SUM('Model inputs'!V113,'Model inputs'!V114,'Model inputs'!V115)</f>
        <v>11627.366331035839</v>
      </c>
    </row>
    <row r="113" outlineLevel="1">
      <c r="A113" t="inlineStr" s="18">
        <is>
          <t xml:space="preserve">Kits generated &gt; Indie</t>
        </is>
      </c>
      <c r="C113" s="17">
        <f>'Model inputs'!C20*('Model inputs'!B218+'Model inputs'!B187)</f>
        <v>0</v>
      </c>
      <c r="D113" s="17">
        <f>'Model inputs'!D20*('Model inputs'!B218+'Model inputs'!B187)</f>
        <v>0</v>
      </c>
      <c r="E113" s="17">
        <f>'Model inputs'!E20*('Model inputs'!B218+'Model inputs'!B187)</f>
        <v>340</v>
      </c>
      <c r="F113" s="17">
        <f>'Model inputs'!F20*('Model inputs'!B218+'Model inputs'!B187)</f>
        <v>631.8333333333333</v>
      </c>
      <c r="G113" s="17">
        <f>'Model inputs'!G20*('Model inputs'!B218+'Model inputs'!B187)</f>
        <v>819.2111111111111</v>
      </c>
      <c r="H113" s="17">
        <f>'Model inputs'!H20*('Model inputs'!B218+'Model inputs'!B187)</f>
        <v>1012.4570370370371</v>
      </c>
      <c r="I113" s="17">
        <f>'Model inputs'!I20*('Model inputs'!B218+'Model inputs'!B187)</f>
        <v>1212.648701234568</v>
      </c>
      <c r="J113" s="17">
        <f>'Model inputs'!J20*('Model inputs'!B218+'Model inputs'!B187)</f>
        <v>1420.9093584855968</v>
      </c>
      <c r="K113" s="17">
        <f>'Model inputs'!K20*('Model inputs'!B218+'Model inputs'!B187)</f>
        <v>1638.4142842398905</v>
      </c>
      <c r="L113" s="17">
        <f>'Model inputs'!L20*('Model inputs'!B218+'Model inputs'!B187)</f>
        <v>1866.3974589161646</v>
      </c>
      <c r="M113" s="17">
        <f>'Model inputs'!M20*('Model inputs'!B218+'Model inputs'!B187)</f>
        <v>2106.158618770735</v>
      </c>
      <c r="N113" s="17">
        <f>'Model inputs'!N20*('Model inputs'!B218+'Model inputs'!B187)</f>
        <v>2344.5032075862937</v>
      </c>
      <c r="O113" s="17">
        <f>'Model inputs'!O20*('Model inputs'!B218+'Model inputs'!B187)</f>
        <v>2582.108363683493</v>
      </c>
      <c r="P113" s="17">
        <f>'Model inputs'!P20*('Model inputs'!B218+'Model inputs'!B187)</f>
        <v>2819.62939083833</v>
      </c>
      <c r="Q113" s="17">
        <f>'Model inputs'!Q20*('Model inputs'!B218+'Model inputs'!B187)</f>
        <v>3057.7021462388607</v>
      </c>
      <c r="R113" s="17">
        <f>'Model inputs'!R20*('Model inputs'!B218+'Model inputs'!B187)</f>
        <v>3296.945306537613</v>
      </c>
      <c r="S113" s="17">
        <f>'Model inputs'!S20*('Model inputs'!B218+'Model inputs'!B187)</f>
        <v>3537.9625216183686</v>
      </c>
      <c r="T113" s="17">
        <f>'Model inputs'!T20*('Model inputs'!B218+'Model inputs'!B187)</f>
        <v>3781.3444651144046</v>
      </c>
      <c r="U113" s="17">
        <f>'Model inputs'!U20*('Model inputs'!B218+'Model inputs'!B187)</f>
        <v>4027.6707901748623</v>
      </c>
      <c r="V113" s="17">
        <f>'Model inputs'!V20*('Model inputs'!B218+'Model inputs'!B187)</f>
        <v>4277.511998474012</v>
      </c>
    </row>
    <row r="114" outlineLevel="1">
      <c r="A114" t="inlineStr" s="18">
        <is>
          <t xml:space="preserve">Kits generated &gt; Launch</t>
        </is>
      </c>
      <c r="C114" s="17">
        <f>'Model inputs'!C21*('Model inputs'!B219+'Model inputs'!B188)</f>
        <v>0</v>
      </c>
      <c r="D114" s="17">
        <f>'Model inputs'!D21*('Model inputs'!B219+'Model inputs'!B188)</f>
        <v>0</v>
      </c>
      <c r="E114" s="17">
        <f>'Model inputs'!E21*('Model inputs'!B219+'Model inputs'!B188)</f>
        <v>206</v>
      </c>
      <c r="F114" s="17">
        <f>'Model inputs'!F21*('Model inputs'!B219+'Model inputs'!B188)</f>
        <v>311.06</v>
      </c>
      <c r="G114" s="17">
        <f>'Model inputs'!G21*('Model inputs'!B219+'Model inputs'!B188)</f>
        <v>417.17203055555547</v>
      </c>
      <c r="H114" s="17">
        <f>'Model inputs'!H21*('Model inputs'!B219+'Model inputs'!B188)</f>
        <v>524.6844865439813</v>
      </c>
      <c r="I114" s="17">
        <f>'Model inputs'!I21*('Model inputs'!B219+'Model inputs'!B188)</f>
        <v>633.883524509045</v>
      </c>
      <c r="J114" s="17">
        <f>'Model inputs'!J21*('Model inputs'!B219+'Model inputs'!B188)</f>
        <v>745.0727893657524</v>
      </c>
      <c r="K114" s="17">
        <f>'Model inputs'!K21*('Model inputs'!B219+'Model inputs'!B188)</f>
        <v>858.5759658366885</v>
      </c>
      <c r="L114" s="17">
        <f>'Model inputs'!L21*('Model inputs'!B219+'Model inputs'!B188)</f>
        <v>974.7395094715155</v>
      </c>
      <c r="M114" s="17">
        <f>'Model inputs'!M21*('Model inputs'!B219+'Model inputs'!B188)</f>
        <v>1093.9355797163917</v>
      </c>
      <c r="N114" s="17">
        <f>'Model inputs'!N21*('Model inputs'!B219+'Model inputs'!B188)</f>
        <v>1216.5651993569368</v>
      </c>
      <c r="O114" s="17">
        <f>'Model inputs'!O21*('Model inputs'!B219+'Model inputs'!B188)</f>
        <v>1342.7605899294706</v>
      </c>
      <c r="P114" s="17">
        <f>'Model inputs'!P21*('Model inputs'!B219+'Model inputs'!B188)</f>
        <v>1472.6527874591704</v>
      </c>
      <c r="Q114" s="17">
        <f>'Model inputs'!Q21*('Model inputs'!B219+'Model inputs'!B188)</f>
        <v>1606.3724099840306</v>
      </c>
      <c r="R114" s="17">
        <f>'Model inputs'!R21*('Model inputs'!B219+'Model inputs'!B188)</f>
        <v>1744.050386096672</v>
      </c>
      <c r="S114" s="17">
        <f>'Model inputs'!S21*('Model inputs'!B219+'Model inputs'!B188)</f>
        <v>1885.8186481486862</v>
      </c>
      <c r="T114" s="17">
        <f>'Model inputs'!T21*('Model inputs'!B219+'Model inputs'!B188)</f>
        <v>2031.810793541463</v>
      </c>
      <c r="U114" s="17">
        <f>'Model inputs'!U21*('Model inputs'!B219+'Model inputs'!B188)</f>
        <v>2182.1627173230036</v>
      </c>
      <c r="V114" s="17">
        <f>'Model inputs'!V21*('Model inputs'!B219+'Model inputs'!B188)</f>
        <v>2337.013219121013</v>
      </c>
    </row>
    <row r="115" outlineLevel="1">
      <c r="A115" t="inlineStr" s="18">
        <is>
          <t xml:space="preserve">Kits generated &gt; Team</t>
        </is>
      </c>
      <c r="C115" s="17">
        <f>'Model inputs'!C22*('Model inputs'!B220+'Model inputs'!B189)</f>
        <v>0</v>
      </c>
      <c r="D115" s="17">
        <f>'Model inputs'!D22*('Model inputs'!B220+'Model inputs'!B189)</f>
        <v>0</v>
      </c>
      <c r="E115" s="17">
        <f>'Model inputs'!E22*('Model inputs'!B220+'Model inputs'!B189)</f>
        <v>282</v>
      </c>
      <c r="F115" s="17">
        <f>'Model inputs'!F22*('Model inputs'!B220+'Model inputs'!B189)</f>
        <v>425.89833333333337</v>
      </c>
      <c r="G115" s="17">
        <f>'Model inputs'!G22*('Model inputs'!B220+'Model inputs'!B189)</f>
        <v>589.7379180555556</v>
      </c>
      <c r="H115" s="17">
        <f>'Model inputs'!H22*('Model inputs'!B220+'Model inputs'!B189)</f>
        <v>770.3969095590278</v>
      </c>
      <c r="I115" s="17">
        <f>'Model inputs'!I22*('Model inputs'!B220+'Model inputs'!B189)</f>
        <v>969.0679608281067</v>
      </c>
      <c r="J115" s="17">
        <f>'Model inputs'!J22*('Model inputs'!B220+'Model inputs'!B189)</f>
        <v>1187.0977988002246</v>
      </c>
      <c r="K115" s="17">
        <f>'Model inputs'!K22*('Model inputs'!B220+'Model inputs'!B189)</f>
        <v>1425.9991534971566</v>
      </c>
      <c r="L115" s="17">
        <f>'Model inputs'!L22*('Model inputs'!B220+'Model inputs'!B189)</f>
        <v>1687.464064877592</v>
      </c>
      <c r="M115" s="17">
        <f>'Model inputs'!M22*('Model inputs'!B220+'Model inputs'!B189)</f>
        <v>1973.3786875405954</v>
      </c>
      <c r="N115" s="17">
        <f>'Model inputs'!N22*('Model inputs'!B220+'Model inputs'!B189)</f>
        <v>2269.3535795600765</v>
      </c>
      <c r="O115" s="17">
        <f>'Model inputs'!O22*('Model inputs'!B220+'Model inputs'!B189)</f>
        <v>2575.4324269469894</v>
      </c>
      <c r="P115" s="17">
        <f>'Model inputs'!P22*('Model inputs'!B220+'Model inputs'!B189)</f>
        <v>2891.6999695073378</v>
      </c>
      <c r="Q115" s="17">
        <f>'Model inputs'!Q22*('Model inputs'!B220+'Model inputs'!B189)</f>
        <v>3218.28049669851</v>
      </c>
      <c r="R115" s="17">
        <f>'Model inputs'!R22*('Model inputs'!B220+'Model inputs'!B189)</f>
        <v>3555.336511040191</v>
      </c>
      <c r="S115" s="17">
        <f>'Model inputs'!S22*('Model inputs'!B220+'Model inputs'!B189)</f>
        <v>3903.0675499867943</v>
      </c>
      <c r="T115" s="17">
        <f>'Model inputs'!T22*('Model inputs'!B220+'Model inputs'!B189)</f>
        <v>4261.709157878619</v>
      </c>
      <c r="U115" s="17">
        <f>'Model inputs'!U22*('Model inputs'!B220+'Model inputs'!B189)</f>
        <v>4631.532000255323</v>
      </c>
      <c r="V115" s="17">
        <f>'Model inputs'!V22*('Model inputs'!B220+'Model inputs'!B189)</f>
        <v>5012.841113440814</v>
      </c>
    </row>
    <row r="116">
      <c r="A116" t="inlineStr" s="16">
        <is>
          <t xml:space="preserve">Line end month (0 = none)</t>
        </is>
      </c>
      <c r="B116" s="14">
        <v>0</v>
      </c>
    </row>
    <row r="117" outlineLevel="1">
      <c r="A117" t="inlineStr" s="18">
        <is>
          <t xml:space="preserve">Line end month (0 = none) &gt; Domain, email, extras</t>
        </is>
      </c>
      <c r="B117" s="17">
        <f>0</f>
        <v>0</v>
      </c>
    </row>
    <row r="118" outlineLevel="1">
      <c r="A118" t="inlineStr" s="18">
        <is>
          <t xml:space="preserve">Line end month (0 = none) &gt; Entire cloud workspace</t>
        </is>
      </c>
      <c r="B118" s="17">
        <f>0</f>
        <v>0</v>
      </c>
    </row>
    <row r="119" outlineLevel="1">
      <c r="A119" t="inlineStr" s="18">
        <is>
          <t xml:space="preserve">Line end month (0 = none) &gt; First engineer (loaded)</t>
        </is>
      </c>
      <c r="B119" s="17">
        <f>0</f>
        <v>0</v>
      </c>
    </row>
    <row r="120" outlineLevel="1">
      <c r="A120" t="inlineStr" s="18">
        <is>
          <t xml:space="preserve">Line end month (0 = none) &gt; Founder full-time step-up</t>
        </is>
      </c>
      <c r="B120" s="17">
        <f>0</f>
        <v>0</v>
      </c>
    </row>
    <row r="121" outlineLevel="1">
      <c r="A121" t="inlineStr" s="18">
        <is>
          <t xml:space="preserve">Line end month (0 = none) &gt; Founder salary (0.5 FTE)</t>
        </is>
      </c>
      <c r="B121" s="17">
        <f>0</f>
        <v>0</v>
      </c>
    </row>
    <row r="122" outlineLevel="1">
      <c r="A122" t="inlineStr" s="18">
        <is>
          <t xml:space="preserve">Line end month (0 = none) &gt; Frontend contractor (0.25 FTE)</t>
        </is>
      </c>
      <c r="B122" s="17">
        <f>0</f>
        <v>0</v>
      </c>
    </row>
    <row r="123" outlineLevel="1">
      <c r="A123" t="inlineStr" s="18">
        <is>
          <t xml:space="preserve">Line end month (0 = none) &gt; Hosting (Vercel + storage)</t>
        </is>
      </c>
      <c r="B123" s="17">
        <f>0</f>
        <v>0</v>
      </c>
    </row>
    <row r="124" outlineLevel="1">
      <c r="A124" t="inlineStr" s="18">
        <is>
          <t xml:space="preserve">Line end month (0 = none) &gt; Marketing: always-on</t>
        </is>
      </c>
      <c r="B124" s="17">
        <f>0</f>
        <v>0</v>
      </c>
    </row>
    <row r="125" outlineLevel="1">
      <c r="A125" t="inlineStr" s="18">
        <is>
          <t xml:space="preserve">Line end month (0 = none) &gt; Marketing: launch push</t>
        </is>
      </c>
      <c r="B125" s="17">
        <f>2</f>
        <v>2</v>
      </c>
    </row>
    <row r="126" outlineLevel="1">
      <c r="A126" t="inlineStr" s="18">
        <is>
          <t xml:space="preserve">Line end month (0 = none) &gt; cfo.ai Startup</t>
        </is>
      </c>
      <c r="B126" s="17">
        <f>0</f>
        <v>0</v>
      </c>
    </row>
    <row r="127" outlineLevel="1">
      <c r="A127" t="inlineStr" s="18">
        <is>
          <t xml:space="preserve">Line end month (0 = none) &gt; neatlogs Pro</t>
        </is>
      </c>
      <c r="B127" s="17">
        <f>0</f>
        <v>0</v>
      </c>
    </row>
    <row r="128">
      <c r="A128" t="inlineStr" s="16">
        <is>
          <t xml:space="preserve">Line included</t>
        </is>
      </c>
      <c r="B128" s="14">
        <v>0</v>
      </c>
    </row>
    <row r="129" outlineLevel="1">
      <c r="A129" t="inlineStr" s="18">
        <is>
          <t xml:space="preserve">Line included &gt; Domain, email, extras</t>
        </is>
      </c>
      <c r="B129" s="17">
        <f>1</f>
        <v>1</v>
      </c>
    </row>
    <row r="130" outlineLevel="1">
      <c r="A130" t="inlineStr" s="18">
        <is>
          <t xml:space="preserve">Line included &gt; Entire cloud workspace</t>
        </is>
      </c>
      <c r="B130" s="17">
        <f>1</f>
        <v>1</v>
      </c>
    </row>
    <row r="131" outlineLevel="1">
      <c r="A131" t="inlineStr" s="18">
        <is>
          <t xml:space="preserve">Line included &gt; First engineer (loaded)</t>
        </is>
      </c>
      <c r="B131" s="17">
        <f>0</f>
        <v>0</v>
      </c>
    </row>
    <row r="132" outlineLevel="1">
      <c r="A132" t="inlineStr" s="18">
        <is>
          <t xml:space="preserve">Line included &gt; Founder full-time step-up</t>
        </is>
      </c>
      <c r="B132" s="17">
        <f>1</f>
        <v>1</v>
      </c>
    </row>
    <row r="133" outlineLevel="1">
      <c r="A133" t="inlineStr" s="18">
        <is>
          <t xml:space="preserve">Line included &gt; Founder salary (0.5 FTE)</t>
        </is>
      </c>
      <c r="B133" s="17">
        <f>1</f>
        <v>1</v>
      </c>
    </row>
    <row r="134" outlineLevel="1">
      <c r="A134" t="inlineStr" s="18">
        <is>
          <t xml:space="preserve">Line included &gt; Frontend contractor (0.25 FTE)</t>
        </is>
      </c>
      <c r="B134" s="17">
        <f>1</f>
        <v>1</v>
      </c>
    </row>
    <row r="135" outlineLevel="1">
      <c r="A135" t="inlineStr" s="18">
        <is>
          <t xml:space="preserve">Line included &gt; Hosting (Vercel + storage)</t>
        </is>
      </c>
      <c r="B135" s="17">
        <f>1</f>
        <v>1</v>
      </c>
    </row>
    <row r="136" outlineLevel="1">
      <c r="A136" t="inlineStr" s="18">
        <is>
          <t xml:space="preserve">Line included &gt; Marketing: always-on</t>
        </is>
      </c>
      <c r="B136" s="17">
        <f>1</f>
        <v>1</v>
      </c>
    </row>
    <row r="137" outlineLevel="1">
      <c r="A137" t="inlineStr" s="18">
        <is>
          <t xml:space="preserve">Line included &gt; Marketing: launch push</t>
        </is>
      </c>
      <c r="B137" s="17">
        <f>1</f>
        <v>1</v>
      </c>
    </row>
    <row r="138" outlineLevel="1">
      <c r="A138" t="inlineStr" s="18">
        <is>
          <t xml:space="preserve">Line included &gt; cfo.ai Startup</t>
        </is>
      </c>
      <c r="B138" s="17">
        <f>1</f>
        <v>1</v>
      </c>
    </row>
    <row r="139" outlineLevel="1">
      <c r="A139" t="inlineStr" s="18">
        <is>
          <t xml:space="preserve">Line included &gt; neatlogs Pro</t>
        </is>
      </c>
      <c r="B139" s="17">
        <f>1</f>
        <v>1</v>
      </c>
    </row>
    <row r="140">
      <c r="A140" t="inlineStr" s="16">
        <is>
          <t xml:space="preserve">Line monthly cost</t>
        </is>
      </c>
      <c r="B140" s="7">
        <v>0</v>
      </c>
    </row>
    <row r="141" outlineLevel="1">
      <c r="A141" t="inlineStr" s="18">
        <is>
          <t xml:space="preserve">Line monthly cost &gt; Domain, email, extras</t>
        </is>
      </c>
      <c r="B141" s="9">
        <f>40</f>
        <v>40</v>
      </c>
    </row>
    <row r="142" outlineLevel="1">
      <c r="A142" t="inlineStr" s="18">
        <is>
          <t xml:space="preserve">Line monthly cost &gt; Entire cloud workspace</t>
        </is>
      </c>
      <c r="B142" s="9">
        <f>200</f>
        <v>200</v>
      </c>
    </row>
    <row r="143" outlineLevel="1">
      <c r="A143" t="inlineStr" s="18">
        <is>
          <t xml:space="preserve">Line monthly cost &gt; First engineer (loaded)</t>
        </is>
      </c>
      <c r="B143" s="9">
        <f>12000</f>
        <v>12000</v>
      </c>
    </row>
    <row r="144" outlineLevel="1">
      <c r="A144" t="inlineStr" s="18">
        <is>
          <t xml:space="preserve">Line monthly cost &gt; Founder full-time step-up</t>
        </is>
      </c>
      <c r="B144" s="9">
        <f>4000</f>
        <v>4000</v>
      </c>
    </row>
    <row r="145" outlineLevel="1">
      <c r="A145" t="inlineStr" s="18">
        <is>
          <t xml:space="preserve">Line monthly cost &gt; Founder salary (0.5 FTE)</t>
        </is>
      </c>
      <c r="B145" s="9">
        <f>4000</f>
        <v>4000</v>
      </c>
    </row>
    <row r="146" outlineLevel="1">
      <c r="A146" t="inlineStr" s="18">
        <is>
          <t xml:space="preserve">Line monthly cost &gt; Frontend contractor (0.25 FTE)</t>
        </is>
      </c>
      <c r="B146" s="9">
        <f>2000</f>
        <v>2000</v>
      </c>
    </row>
    <row r="147" outlineLevel="1">
      <c r="A147" t="inlineStr" s="18">
        <is>
          <t xml:space="preserve">Line monthly cost &gt; Hosting (Vercel + storage)</t>
        </is>
      </c>
      <c r="B147" s="9">
        <f>80</f>
        <v>80</v>
      </c>
    </row>
    <row r="148" outlineLevel="1">
      <c r="A148" t="inlineStr" s="18">
        <is>
          <t xml:space="preserve">Line monthly cost &gt; Marketing: always-on</t>
        </is>
      </c>
      <c r="B148" s="9">
        <f>250</f>
        <v>250</v>
      </c>
    </row>
    <row r="149" outlineLevel="1">
      <c r="A149" t="inlineStr" s="18">
        <is>
          <t xml:space="preserve">Line monthly cost &gt; Marketing: launch push</t>
        </is>
      </c>
      <c r="B149" s="9">
        <f>350</f>
        <v>350</v>
      </c>
    </row>
    <row r="150" outlineLevel="1">
      <c r="A150" t="inlineStr" s="18">
        <is>
          <t xml:space="preserve">Line monthly cost &gt; cfo.ai Startup</t>
        </is>
      </c>
      <c r="B150" s="9">
        <f>375</f>
        <v>375</v>
      </c>
    </row>
    <row r="151" outlineLevel="1">
      <c r="A151" t="inlineStr" s="18">
        <is>
          <t xml:space="preserve">Line monthly cost &gt; neatlogs Pro</t>
        </is>
      </c>
      <c r="B151" s="9">
        <f>500</f>
        <v>500</v>
      </c>
    </row>
    <row r="152">
      <c r="A152" t="inlineStr" s="16">
        <is>
          <t xml:space="preserve">Line start month</t>
        </is>
      </c>
      <c r="B152" s="14">
        <v>0</v>
      </c>
    </row>
    <row r="153" outlineLevel="1">
      <c r="A153" t="inlineStr" s="18">
        <is>
          <t xml:space="preserve">Line start month &gt; Domain, email, extras</t>
        </is>
      </c>
      <c r="B153" s="17">
        <f>0</f>
        <v>0</v>
      </c>
    </row>
    <row r="154" outlineLevel="1">
      <c r="A154" t="inlineStr" s="18">
        <is>
          <t xml:space="preserve">Line start month &gt; Entire cloud workspace</t>
        </is>
      </c>
      <c r="B154" s="17">
        <f>4</f>
        <v>4</v>
      </c>
    </row>
    <row r="155" outlineLevel="1">
      <c r="A155" t="inlineStr" s="18">
        <is>
          <t xml:space="preserve">Line start month &gt; First engineer (loaded)</t>
        </is>
      </c>
      <c r="B155" s="17">
        <f>7</f>
        <v>7</v>
      </c>
    </row>
    <row r="156" outlineLevel="1">
      <c r="A156" t="inlineStr" s="18">
        <is>
          <t xml:space="preserve">Line start month &gt; Founder full-time step-up</t>
        </is>
      </c>
      <c r="B156" s="17">
        <f>6</f>
        <v>6</v>
      </c>
    </row>
    <row r="157" outlineLevel="1">
      <c r="A157" t="inlineStr" s="18">
        <is>
          <t xml:space="preserve">Line start month &gt; Founder salary (0.5 FTE)</t>
        </is>
      </c>
      <c r="B157" s="17">
        <f>0</f>
        <v>0</v>
      </c>
    </row>
    <row r="158" outlineLevel="1">
      <c r="A158" t="inlineStr" s="18">
        <is>
          <t xml:space="preserve">Line start month &gt; Frontend contractor (0.25 FTE)</t>
        </is>
      </c>
      <c r="B158" s="17">
        <f>3</f>
        <v>3</v>
      </c>
    </row>
    <row r="159" outlineLevel="1">
      <c r="A159" t="inlineStr" s="18">
        <is>
          <t xml:space="preserve">Line start month &gt; Hosting (Vercel + storage)</t>
        </is>
      </c>
      <c r="B159" s="17">
        <f>0</f>
        <v>0</v>
      </c>
    </row>
    <row r="160" outlineLevel="1">
      <c r="A160" t="inlineStr" s="18">
        <is>
          <t xml:space="preserve">Line start month &gt; Marketing: always-on</t>
        </is>
      </c>
      <c r="B160" s="17">
        <f>0</f>
        <v>0</v>
      </c>
    </row>
    <row r="161" outlineLevel="1">
      <c r="A161" t="inlineStr" s="18">
        <is>
          <t xml:space="preserve">Line start month &gt; Marketing: launch push</t>
        </is>
      </c>
      <c r="B161" s="17">
        <f>1</f>
        <v>1</v>
      </c>
    </row>
    <row r="162" outlineLevel="1">
      <c r="A162" t="inlineStr" s="18">
        <is>
          <t xml:space="preserve">Line start month &gt; cfo.ai Startup</t>
        </is>
      </c>
      <c r="B162" s="17">
        <f>0</f>
        <v>0</v>
      </c>
    </row>
    <row r="163" outlineLevel="1">
      <c r="A163" t="inlineStr" s="18">
        <is>
          <t xml:space="preserve">Line start month &gt; neatlogs Pro</t>
        </is>
      </c>
      <c r="B163" s="17">
        <f>0</f>
        <v>0</v>
      </c>
    </row>
    <row r="164">
      <c r="A164" t="inlineStr" s="16">
        <is>
          <t xml:space="preserve">Long-trailer add-on price · Long-trailer revenue</t>
        </is>
      </c>
      <c r="B164" s="20">
        <f>0.4</f>
        <v>0.4</v>
      </c>
    </row>
    <row r="165">
      <c r="A165" t="inlineStr" s="16">
        <is>
          <t xml:space="preserve">Long-trailer share of kits · Long-trailer revenue</t>
        </is>
      </c>
      <c r="B165" s="21">
        <f>0.15</f>
        <v>0.15</v>
      </c>
    </row>
    <row r="166">
      <c r="A166" t="inlineStr" s="16">
        <is>
          <t xml:space="preserve">Monthly payers</t>
        </is>
      </c>
      <c r="C166" s="19">
        <f>SUM('Model inputs'!C167,'Model inputs'!C168,'Model inputs'!C169)</f>
        <v>0</v>
      </c>
      <c r="D166" s="19">
        <f>SUM('Model inputs'!D167,'Model inputs'!D168,'Model inputs'!D169)</f>
        <v>0</v>
      </c>
      <c r="E166" s="19">
        <f>SUM('Model inputs'!E167,'Model inputs'!E168,'Model inputs'!E169)</f>
        <v>47</v>
      </c>
      <c r="F166" s="19">
        <f>SUM('Model inputs'!F167,'Model inputs'!F168,'Model inputs'!F169)</f>
        <v>84.28831944444444</v>
      </c>
      <c r="G166" s="19">
        <f>SUM('Model inputs'!G167,'Model inputs'!G168,'Model inputs'!G169)</f>
        <v>109.25034907407408</v>
      </c>
      <c r="H166" s="19">
        <f>SUM('Model inputs'!H167,'Model inputs'!H168,'Model inputs'!H169)</f>
        <v>134.7368020271412</v>
      </c>
      <c r="I166" s="19">
        <f>SUM('Model inputs'!I167,'Model inputs'!I168,'Model inputs'!I169)</f>
        <v>160.83115808675663</v>
      </c>
      <c r="J166" s="19">
        <f>SUM('Model inputs'!J167,'Model inputs'!J168,'Model inputs'!J169)</f>
        <v>187.61840642148002</v>
      </c>
      <c r="K166" s="19">
        <f>SUM('Model inputs'!K167,'Model inputs'!K168,'Model inputs'!K169)</f>
        <v>215.18498548540106</v>
      </c>
      <c r="L166" s="19">
        <f>SUM('Model inputs'!L167,'Model inputs'!L168,'Model inputs'!L169)</f>
        <v>245.98907499409157</v>
      </c>
      <c r="M166" s="19">
        <f>SUM('Model inputs'!M167,'Model inputs'!M168,'Model inputs'!M169)</f>
        <v>278.52651277477236</v>
      </c>
      <c r="N166" s="19">
        <f>SUM('Model inputs'!N167,'Model inputs'!N168,'Model inputs'!N169)</f>
        <v>311.0472605388994</v>
      </c>
      <c r="O166" s="19">
        <f>SUM('Model inputs'!O167,'Model inputs'!O168,'Model inputs'!O169)</f>
        <v>343.6320029904277</v>
      </c>
      <c r="P166" s="19">
        <f>SUM('Model inputs'!P167,'Model inputs'!P168,'Model inputs'!P169)</f>
        <v>376.35942008791267</v>
      </c>
      <c r="Q166" s="19">
        <f>SUM('Model inputs'!Q167,'Model inputs'!Q168,'Model inputs'!Q169)</f>
        <v>409.3064496004066</v>
      </c>
      <c r="R166" s="19">
        <f>SUM('Model inputs'!R167,'Model inputs'!R168,'Model inputs'!R169)</f>
        <v>442.54853751591446</v>
      </c>
      <c r="S166" s="19">
        <f>SUM('Model inputs'!S167,'Model inputs'!S168,'Model inputs'!S169)</f>
        <v>476.15987731976287</v>
      </c>
      <c r="T166" s="19">
        <f>SUM('Model inputs'!T167,'Model inputs'!T168,'Model inputs'!T169)</f>
        <v>510.21363910094044</v>
      </c>
      <c r="U166" s="19">
        <f>SUM('Model inputs'!U167,'Model inputs'!U168,'Model inputs'!U169)</f>
        <v>544.7821893894609</v>
      </c>
      <c r="V166" s="19">
        <f>SUM('Model inputs'!V167,'Model inputs'!V168,'Model inputs'!V169)</f>
        <v>579.9373025768048</v>
      </c>
    </row>
    <row r="167" outlineLevel="1">
      <c r="A167" t="inlineStr" s="18">
        <is>
          <t xml:space="preserve">Monthly payers &gt; Indie</t>
        </is>
      </c>
      <c r="C167" s="13">
        <f>'Model inputs'!C20-'Model inputs'!C77</f>
        <v>0</v>
      </c>
      <c r="D167" s="13">
        <f>'Model inputs'!D20-'Model inputs'!D77</f>
        <v>0</v>
      </c>
      <c r="E167" s="13">
        <f>'Model inputs'!E20-'Model inputs'!E77</f>
        <v>40</v>
      </c>
      <c r="F167" s="13">
        <f>'Model inputs'!F20-'Model inputs'!F77</f>
        <v>74.33333333333333</v>
      </c>
      <c r="G167" s="13">
        <f>'Model inputs'!G20-'Model inputs'!G77</f>
        <v>96.37777777777778</v>
      </c>
      <c r="H167" s="13">
        <f>'Model inputs'!H20-'Model inputs'!H77</f>
        <v>119.1125925925926</v>
      </c>
      <c r="I167" s="13">
        <f>'Model inputs'!I20-'Model inputs'!I77</f>
        <v>142.66455308641977</v>
      </c>
      <c r="J167" s="13">
        <f>'Model inputs'!J20-'Model inputs'!J77</f>
        <v>167.16580688065847</v>
      </c>
      <c r="K167" s="13">
        <f>'Model inputs'!K20-'Model inputs'!K77</f>
        <v>192.75462167528124</v>
      </c>
      <c r="L167" s="13">
        <f>'Model inputs'!L20-'Model inputs'!L77</f>
        <v>219.57617163719584</v>
      </c>
      <c r="M167" s="13">
        <f>'Model inputs'!M20-'Model inputs'!M77</f>
        <v>247.78336691420412</v>
      </c>
      <c r="N167" s="13">
        <f>'Model inputs'!N20-'Model inputs'!N77</f>
        <v>275.8239067748581</v>
      </c>
      <c r="O167" s="13">
        <f>'Model inputs'!O20-'Model inputs'!O77</f>
        <v>303.77745455099915</v>
      </c>
      <c r="P167" s="13">
        <f>'Model inputs'!P20-'Model inputs'!P77</f>
        <v>331.7211048045094</v>
      </c>
      <c r="Q167" s="13">
        <f>'Model inputs'!Q20-'Model inputs'!Q77</f>
        <v>359.72966426339536</v>
      </c>
      <c r="R167" s="13">
        <f>'Model inputs'!R20-'Model inputs'!R77</f>
        <v>387.87591841618973</v>
      </c>
      <c r="S167" s="13">
        <f>'Model inputs'!S20-'Model inputs'!S77</f>
        <v>416.23088489627867</v>
      </c>
      <c r="T167" s="13">
        <f>'Model inputs'!T20-'Model inputs'!T77</f>
        <v>444.8640547193417</v>
      </c>
      <c r="U167" s="13">
        <f>'Model inputs'!U20-'Model inputs'!U77</f>
        <v>473.8436223735132</v>
      </c>
      <c r="V167" s="13">
        <f>'Model inputs'!V20-'Model inputs'!V77</f>
        <v>503.23670570282496</v>
      </c>
    </row>
    <row r="168" outlineLevel="1">
      <c r="A168" t="inlineStr" s="18">
        <is>
          <t xml:space="preserve">Monthly payers &gt; Launch</t>
        </is>
      </c>
      <c r="C168" s="13">
        <f>'Model inputs'!C21-'Model inputs'!C78</f>
        <v>0</v>
      </c>
      <c r="D168" s="13">
        <f>'Model inputs'!D21-'Model inputs'!D78</f>
        <v>0</v>
      </c>
      <c r="E168" s="13">
        <f>'Model inputs'!E21-'Model inputs'!E78</f>
        <v>1</v>
      </c>
      <c r="F168" s="13">
        <f>'Model inputs'!F21-'Model inputs'!F78</f>
        <v>1.4219166666666667</v>
      </c>
      <c r="G168" s="13">
        <f>'Model inputs'!G21-'Model inputs'!G78</f>
        <v>1.7888444675925923</v>
      </c>
      <c r="H168" s="13">
        <f>'Model inputs'!H21-'Model inputs'!H78</f>
        <v>2.101284958246527</v>
      </c>
      <c r="I168" s="13">
        <f>'Model inputs'!I21-'Model inputs'!I78</f>
        <v>2.3591134407294554</v>
      </c>
      <c r="J168" s="13">
        <f>'Model inputs'!J21-'Model inputs'!J78</f>
        <v>2.5619412255699414</v>
      </c>
      <c r="K168" s="13">
        <f>'Model inputs'!K21-'Model inputs'!K78</f>
        <v>2.709098921329357</v>
      </c>
      <c r="L168" s="13">
        <f>'Model inputs'!L21-'Model inputs'!L78</f>
        <v>3.075634374546044</v>
      </c>
      <c r="M168" s="13">
        <f>'Model inputs'!M21-'Model inputs'!M78</f>
        <v>3.4517384796876436</v>
      </c>
      <c r="N168" s="13">
        <f>'Model inputs'!N21-'Model inputs'!N78</f>
        <v>3.838676599912665</v>
      </c>
      <c r="O168" s="13">
        <f>'Model inputs'!O21-'Model inputs'!O78</f>
        <v>4.236865939097845</v>
      </c>
      <c r="P168" s="13">
        <f>'Model inputs'!P21-'Model inputs'!P78</f>
        <v>4.646719960429421</v>
      </c>
      <c r="Q168" s="13">
        <f>'Model inputs'!Q21-'Model inputs'!Q78</f>
        <v>5.0686508082020385</v>
      </c>
      <c r="R168" s="13">
        <f>'Model inputs'!R21-'Model inputs'!R78</f>
        <v>5.503071606615713</v>
      </c>
      <c r="S168" s="13">
        <f>'Model inputs'!S21-'Model inputs'!S78</f>
        <v>5.950398647071097</v>
      </c>
      <c r="T168" s="13">
        <f>'Model inputs'!T21-'Model inputs'!T78</f>
        <v>6.411053474766752</v>
      </c>
      <c r="U168" s="13">
        <f>'Model inputs'!U21-'Model inputs'!U78</f>
        <v>6.8854648847570505</v>
      </c>
      <c r="V168" s="13">
        <f>'Model inputs'!V21-'Model inputs'!V78</f>
        <v>7.374070837032322</v>
      </c>
    </row>
    <row r="169" outlineLevel="1">
      <c r="A169" t="inlineStr" s="18">
        <is>
          <t xml:space="preserve">Monthly payers &gt; Team</t>
        </is>
      </c>
      <c r="C169" s="13">
        <f>'Model inputs'!C22-'Model inputs'!C79</f>
        <v>0</v>
      </c>
      <c r="D169" s="13">
        <f>'Model inputs'!D22-'Model inputs'!D79</f>
        <v>0</v>
      </c>
      <c r="E169" s="13">
        <f>'Model inputs'!E22-'Model inputs'!E79</f>
        <v>6</v>
      </c>
      <c r="F169" s="13">
        <f>'Model inputs'!F22-'Model inputs'!F79</f>
        <v>8.533069444444445</v>
      </c>
      <c r="G169" s="13">
        <f>'Model inputs'!G22-'Model inputs'!G79</f>
        <v>11.083726828703703</v>
      </c>
      <c r="H169" s="13">
        <f>'Model inputs'!H22-'Model inputs'!H79</f>
        <v>13.522924476302084</v>
      </c>
      <c r="I169" s="13">
        <f>'Model inputs'!I22-'Model inputs'!I79</f>
        <v>15.807491559607413</v>
      </c>
      <c r="J169" s="13">
        <f>'Model inputs'!J22-'Model inputs'!J79</f>
        <v>17.890658315251613</v>
      </c>
      <c r="K169" s="13">
        <f>'Model inputs'!K22-'Model inputs'!K79</f>
        <v>19.721264888790465</v>
      </c>
      <c r="L169" s="13">
        <f>'Model inputs'!L22-'Model inputs'!L79</f>
        <v>23.337268982349677</v>
      </c>
      <c r="M169" s="13">
        <f>'Model inputs'!M22-'Model inputs'!M79</f>
        <v>27.291407380880578</v>
      </c>
      <c r="N169" s="13">
        <f>'Model inputs'!N22-'Model inputs'!N79</f>
        <v>31.384677164128714</v>
      </c>
      <c r="O169" s="13">
        <f>'Model inputs'!O22-'Model inputs'!O79</f>
        <v>35.6176825003307</v>
      </c>
      <c r="P169" s="13">
        <f>'Model inputs'!P22-'Model inputs'!P79</f>
        <v>39.99159532297382</v>
      </c>
      <c r="Q169" s="13">
        <f>'Model inputs'!Q22-'Model inputs'!Q79</f>
        <v>44.50813452880918</v>
      </c>
      <c r="R169" s="13">
        <f>'Model inputs'!R22-'Model inputs'!R79</f>
        <v>49.16954749310902</v>
      </c>
      <c r="S169" s="13">
        <f>'Model inputs'!S22-'Model inputs'!S79</f>
        <v>53.97859377641311</v>
      </c>
      <c r="T169" s="13">
        <f>'Model inputs'!T22-'Model inputs'!T79</f>
        <v>58.93853090683197</v>
      </c>
      <c r="U169" s="13">
        <f>'Model inputs'!U22-'Model inputs'!U79</f>
        <v>64.05310213119063</v>
      </c>
      <c r="V169" s="13">
        <f>'Model inputs'!V22-'Model inputs'!V79</f>
        <v>69.32652603694743</v>
      </c>
    </row>
    <row r="170">
      <c r="A170" t="inlineStr" s="16">
        <is>
          <t xml:space="preserve">Monthly price</t>
        </is>
      </c>
      <c r="B170" s="7">
        <v>0</v>
      </c>
    </row>
    <row r="171" outlineLevel="1">
      <c r="A171" t="inlineStr" s="18">
        <is>
          <t xml:space="preserve">Monthly price &gt; Indie</t>
        </is>
      </c>
      <c r="B171" s="9">
        <f>29</f>
        <v>29</v>
      </c>
    </row>
    <row r="172" outlineLevel="1">
      <c r="A172" t="inlineStr" s="18">
        <is>
          <t xml:space="preserve">Monthly price &gt; Launch</t>
        </is>
      </c>
      <c r="B172" s="9">
        <f>499</f>
        <v>499</v>
      </c>
    </row>
    <row r="173" outlineLevel="1">
      <c r="A173" t="inlineStr" s="18">
        <is>
          <t xml:space="preserve">Monthly price &gt; Team</t>
        </is>
      </c>
      <c r="B173" s="9">
        <f>149</f>
        <v>149</v>
      </c>
    </row>
    <row r="174">
      <c r="A174" t="inlineStr" s="16">
        <is>
          <t xml:space="preserve">New annual prepayments</t>
        </is>
      </c>
      <c r="C174" s="19">
        <f>SUM('Model inputs'!C175,'Model inputs'!C176,'Model inputs'!C177)</f>
        <v>0</v>
      </c>
      <c r="D174" s="19">
        <f>SUM('Model inputs'!D175,'Model inputs'!D176,'Model inputs'!D177)</f>
        <v>0</v>
      </c>
      <c r="E174" s="19">
        <f>SUM('Model inputs'!E175,'Model inputs'!E176,'Model inputs'!E177)</f>
        <v>0</v>
      </c>
      <c r="F174" s="19">
        <f>SUM('Model inputs'!F175,'Model inputs'!F176,'Model inputs'!F177)</f>
        <v>0.6166805555555555</v>
      </c>
      <c r="G174" s="19">
        <f>SUM('Model inputs'!G175,'Model inputs'!G176,'Model inputs'!G177)</f>
        <v>1.100649537037037</v>
      </c>
      <c r="H174" s="19">
        <f>SUM('Model inputs'!H175,'Model inputs'!H176,'Model inputs'!H177)</f>
        <v>1.6615359083912034</v>
      </c>
      <c r="I174" s="19">
        <f>SUM('Model inputs'!I175,'Model inputs'!I176,'Model inputs'!I177)</f>
        <v>2.3074813761662645</v>
      </c>
      <c r="J174" s="19">
        <f>SUM('Model inputs'!J175,'Model inputs'!J176,'Model inputs'!J177)</f>
        <v>3.0477910316922854</v>
      </c>
      <c r="K174" s="19">
        <f>SUM('Model inputs'!K175,'Model inputs'!K176,'Model inputs'!K177)</f>
        <v>3.893055575398357</v>
      </c>
      <c r="L174" s="19">
        <f>SUM('Model inputs'!L175,'Model inputs'!L176,'Model inputs'!L177)</f>
        <v>2.4848998339089894</v>
      </c>
      <c r="M174" s="19">
        <f>SUM('Model inputs'!M175,'Model inputs'!M176,'Model inputs'!M177)</f>
        <v>2.733497355486792</v>
      </c>
      <c r="N174" s="19">
        <f>SUM('Model inputs'!N175,'Model inputs'!N176,'Model inputs'!N177)</f>
        <v>2.881160262666482</v>
      </c>
      <c r="O174" s="19">
        <f>SUM('Model inputs'!O175,'Model inputs'!O176,'Model inputs'!O177)</f>
        <v>3.0317081519360025</v>
      </c>
      <c r="P174" s="19">
        <f>SUM('Model inputs'!P175,'Model inputs'!P176,'Model inputs'!P177)</f>
        <v>3.1854578581921253</v>
      </c>
      <c r="Q174" s="19">
        <f>SUM('Model inputs'!Q175,'Model inputs'!Q176,'Model inputs'!Q177)</f>
        <v>3.3427254606865704</v>
      </c>
      <c r="R174" s="19">
        <f>SUM('Model inputs'!R175,'Model inputs'!R176,'Model inputs'!R177)</f>
        <v>3.503827148069677</v>
      </c>
      <c r="S174" s="19">
        <f>SUM('Model inputs'!S175,'Model inputs'!S176,'Model inputs'!S177)</f>
        <v>3.6690800583510628</v>
      </c>
      <c r="T174" s="19">
        <f>SUM('Model inputs'!T175,'Model inputs'!T176,'Model inputs'!T177)</f>
        <v>3.838803096753139</v>
      </c>
      <c r="U174" s="19">
        <f>SUM('Model inputs'!U175,'Model inputs'!U176,'Model inputs'!U177)</f>
        <v>4.013317734286764</v>
      </c>
      <c r="V174" s="19">
        <f>SUM('Model inputs'!V175,'Model inputs'!V176,'Model inputs'!V177)</f>
        <v>4.192948789744163</v>
      </c>
    </row>
    <row r="175" outlineLevel="1">
      <c r="A175" t="inlineStr" s="18">
        <is>
          <t xml:space="preserve">New annual prepayments &gt; Indie</t>
        </is>
      </c>
      <c r="C175" s="13">
        <f>IF(IF(IF(ISERROR('Model inputs'!C32&lt;1),'Model inputs'!C32&lt;1,IF('Model inputs'!C32="","",'Model inputs'!C32&lt;1))="",FALSE,IF(ISERROR('Model inputs'!C32&lt;1),'Model inputs'!C32&lt;1,IF('Model inputs'!C32="","",'Model inputs'!C32&lt;1))),0,MAX('Model inputs'!C77-'Model inputs'!AG204*(1-'Model inputs'!B232),0))</f>
        <v>0</v>
      </c>
      <c r="D175" s="13">
        <f>IF(IF(IF(ISERROR('Model inputs'!D32&lt;1),'Model inputs'!D32&lt;1,IF('Model inputs'!D32="","",'Model inputs'!D32&lt;1))="",FALSE,IF(ISERROR('Model inputs'!D32&lt;1),'Model inputs'!D32&lt;1,IF('Model inputs'!D32="","",'Model inputs'!D32&lt;1))),0,MAX('Model inputs'!D77-'Model inputs'!C77*(1-'Model inputs'!B232),0))</f>
        <v>0</v>
      </c>
      <c r="E175" s="13">
        <f>IF(IF(IF(ISERROR('Model inputs'!E32&lt;1),'Model inputs'!E32&lt;1,IF('Model inputs'!E32="","",'Model inputs'!E32&lt;1))="",FALSE,IF(ISERROR('Model inputs'!E32&lt;1),'Model inputs'!E32&lt;1,IF('Model inputs'!E32="","",'Model inputs'!E32&lt;1))),0,MAX('Model inputs'!E77-'Model inputs'!D77*(1-'Model inputs'!B232),0))</f>
        <v>0</v>
      </c>
      <c r="F175" s="13">
        <f>IF(IF(IF(ISERROR('Model inputs'!F32&lt;1),'Model inputs'!F32&lt;1,IF('Model inputs'!F32="","",'Model inputs'!F32&lt;1))="",FALSE,IF(ISERROR('Model inputs'!F32&lt;1),'Model inputs'!F32&lt;1,IF('Model inputs'!F32="","",'Model inputs'!F32&lt;1))),0,MAX('Model inputs'!F77-'Model inputs'!E77*(1-'Model inputs'!B232),0))</f>
        <v>0</v>
      </c>
      <c r="G175" s="13">
        <f>IF(IF(IF(ISERROR('Model inputs'!G32&lt;1),'Model inputs'!G32&lt;1,IF('Model inputs'!G32="","",'Model inputs'!G32&lt;1))="",FALSE,IF(ISERROR('Model inputs'!G32&lt;1),'Model inputs'!G32&lt;1,IF('Model inputs'!G32="","",'Model inputs'!G32&lt;1))),0,MAX('Model inputs'!G77-'Model inputs'!F77*(1-'Model inputs'!B232),0))</f>
        <v>0</v>
      </c>
      <c r="H175" s="13">
        <f>IF(IF(IF(ISERROR('Model inputs'!H32&lt;1),'Model inputs'!H32&lt;1,IF('Model inputs'!H32="","",'Model inputs'!H32&lt;1))="",FALSE,IF(ISERROR('Model inputs'!H32&lt;1),'Model inputs'!H32&lt;1,IF('Model inputs'!H32="","",'Model inputs'!H32&lt;1))),0,MAX('Model inputs'!H77-'Model inputs'!G77*(1-'Model inputs'!B232),0))</f>
        <v>0</v>
      </c>
      <c r="I175" s="13">
        <f>IF(IF(IF(ISERROR('Model inputs'!I32&lt;1),'Model inputs'!I32&lt;1,IF('Model inputs'!I32="","",'Model inputs'!I32&lt;1))="",FALSE,IF(ISERROR('Model inputs'!I32&lt;1),'Model inputs'!I32&lt;1,IF('Model inputs'!I32="","",'Model inputs'!I32&lt;1))),0,MAX('Model inputs'!I77-'Model inputs'!H77*(1-'Model inputs'!B232),0))</f>
        <v>0</v>
      </c>
      <c r="J175" s="13">
        <f>IF(IF(IF(ISERROR('Model inputs'!J32&lt;1),'Model inputs'!J32&lt;1,IF('Model inputs'!J32="","",'Model inputs'!J32&lt;1))="",FALSE,IF(ISERROR('Model inputs'!J32&lt;1),'Model inputs'!J32&lt;1,IF('Model inputs'!J32="","",'Model inputs'!J32&lt;1))),0,MAX('Model inputs'!J77-'Model inputs'!I77*(1-'Model inputs'!B232),0))</f>
        <v>0</v>
      </c>
      <c r="K175" s="13">
        <f>IF(IF(IF(ISERROR('Model inputs'!K32&lt;1),'Model inputs'!K32&lt;1,IF('Model inputs'!K32="","",'Model inputs'!K32&lt;1))="",FALSE,IF(ISERROR('Model inputs'!K32&lt;1),'Model inputs'!K32&lt;1,IF('Model inputs'!K32="","",'Model inputs'!K32&lt;1))),0,MAX('Model inputs'!K77-'Model inputs'!J77*(1-'Model inputs'!B232),0))</f>
        <v>0</v>
      </c>
      <c r="L175" s="13">
        <f>IF(IF(IF(ISERROR('Model inputs'!L32&lt;1),'Model inputs'!L32&lt;1,IF('Model inputs'!L32="","",'Model inputs'!L32&lt;1))="",FALSE,IF(ISERROR('Model inputs'!L32&lt;1),'Model inputs'!L32&lt;1,IF('Model inputs'!L32="","",'Model inputs'!L32&lt;1))),0,MAX('Model inputs'!L77-'Model inputs'!K77*(1-'Model inputs'!B232),0))</f>
        <v>0</v>
      </c>
      <c r="M175" s="13">
        <f>IF(IF(IF(ISERROR('Model inputs'!M32&lt;1),'Model inputs'!M32&lt;1,IF('Model inputs'!M32="","",'Model inputs'!M32&lt;1))="",FALSE,IF(ISERROR('Model inputs'!M32&lt;1),'Model inputs'!M32&lt;1,IF('Model inputs'!M32="","",'Model inputs'!M32&lt;1))),0,MAX('Model inputs'!M77-'Model inputs'!L77*(1-'Model inputs'!B232),0))</f>
        <v>0</v>
      </c>
      <c r="N175" s="13">
        <f>IF(IF(IF(ISERROR('Model inputs'!N32&lt;1),'Model inputs'!N32&lt;1,IF('Model inputs'!N32="","",'Model inputs'!N32&lt;1))="",FALSE,IF(ISERROR('Model inputs'!N32&lt;1),'Model inputs'!N32&lt;1,IF('Model inputs'!N32="","",'Model inputs'!N32&lt;1))),0,MAX('Model inputs'!N77-'Model inputs'!M77*(1-'Model inputs'!B232),0))</f>
        <v>0</v>
      </c>
      <c r="O175" s="13">
        <f>IF(IF(IF(ISERROR('Model inputs'!O32&lt;1),'Model inputs'!O32&lt;1,IF('Model inputs'!O32="","",'Model inputs'!O32&lt;1))="",FALSE,IF(ISERROR('Model inputs'!O32&lt;1),'Model inputs'!O32&lt;1,IF('Model inputs'!O32="","",'Model inputs'!O32&lt;1))),0,MAX('Model inputs'!O77-'Model inputs'!N77*(1-'Model inputs'!B232),0))</f>
        <v>0</v>
      </c>
      <c r="P175" s="13">
        <f>IF(IF(IF(ISERROR('Model inputs'!P32&lt;1),'Model inputs'!P32&lt;1,IF('Model inputs'!P32="","",'Model inputs'!P32&lt;1))="",FALSE,IF(ISERROR('Model inputs'!P32&lt;1),'Model inputs'!P32&lt;1,IF('Model inputs'!P32="","",'Model inputs'!P32&lt;1))),0,MAX('Model inputs'!P77-'Model inputs'!O77*(1-'Model inputs'!B232),0))</f>
        <v>0</v>
      </c>
      <c r="Q175" s="13">
        <f>IF(IF(IF(ISERROR('Model inputs'!Q32&lt;1),'Model inputs'!Q32&lt;1,IF('Model inputs'!Q32="","",'Model inputs'!Q32&lt;1))="",FALSE,IF(ISERROR('Model inputs'!Q32&lt;1),'Model inputs'!Q32&lt;1,IF('Model inputs'!Q32="","",'Model inputs'!Q32&lt;1))),0,MAX('Model inputs'!Q77-'Model inputs'!P77*(1-'Model inputs'!B232),0))</f>
        <v>0</v>
      </c>
      <c r="R175" s="13">
        <f>IF(IF(IF(ISERROR('Model inputs'!R32&lt;1),'Model inputs'!R32&lt;1,IF('Model inputs'!R32="","",'Model inputs'!R32&lt;1))="",FALSE,IF(ISERROR('Model inputs'!R32&lt;1),'Model inputs'!R32&lt;1,IF('Model inputs'!R32="","",'Model inputs'!R32&lt;1))),0,MAX('Model inputs'!R77-'Model inputs'!Q77*(1-'Model inputs'!B232),0))</f>
        <v>0</v>
      </c>
      <c r="S175" s="13">
        <f>IF(IF(IF(ISERROR('Model inputs'!S32&lt;1),'Model inputs'!S32&lt;1,IF('Model inputs'!S32="","",'Model inputs'!S32&lt;1))="",FALSE,IF(ISERROR('Model inputs'!S32&lt;1),'Model inputs'!S32&lt;1,IF('Model inputs'!S32="","",'Model inputs'!S32&lt;1))),0,MAX('Model inputs'!S77-'Model inputs'!R77*(1-'Model inputs'!B232),0))</f>
        <v>0</v>
      </c>
      <c r="T175" s="13">
        <f>IF(IF(IF(ISERROR('Model inputs'!T32&lt;1),'Model inputs'!T32&lt;1,IF('Model inputs'!T32="","",'Model inputs'!T32&lt;1))="",FALSE,IF(ISERROR('Model inputs'!T32&lt;1),'Model inputs'!T32&lt;1,IF('Model inputs'!T32="","",'Model inputs'!T32&lt;1))),0,MAX('Model inputs'!T77-'Model inputs'!S77*(1-'Model inputs'!B232),0))</f>
        <v>0</v>
      </c>
      <c r="U175" s="13">
        <f>IF(IF(IF(ISERROR('Model inputs'!U32&lt;1),'Model inputs'!U32&lt;1,IF('Model inputs'!U32="","",'Model inputs'!U32&lt;1))="",FALSE,IF(ISERROR('Model inputs'!U32&lt;1),'Model inputs'!U32&lt;1,IF('Model inputs'!U32="","",'Model inputs'!U32&lt;1))),0,MAX('Model inputs'!U77-'Model inputs'!T77*(1-'Model inputs'!B232),0))</f>
        <v>0</v>
      </c>
      <c r="V175" s="13">
        <f>IF(IF(IF(ISERROR('Model inputs'!V32&lt;1),'Model inputs'!V32&lt;1,IF('Model inputs'!V32="","",'Model inputs'!V32&lt;1))="",FALSE,IF(ISERROR('Model inputs'!V32&lt;1),'Model inputs'!V32&lt;1,IF('Model inputs'!V32="","",'Model inputs'!V32&lt;1))),0,MAX('Model inputs'!V77-'Model inputs'!U77*(1-'Model inputs'!B232),0))</f>
        <v>0</v>
      </c>
    </row>
    <row r="176" outlineLevel="1">
      <c r="A176" t="inlineStr" s="18">
        <is>
          <t xml:space="preserve">New annual prepayments &gt; Launch</t>
        </is>
      </c>
      <c r="C176" s="13">
        <f>IF(IF(IF(ISERROR('Model inputs'!C32&lt;1),'Model inputs'!C32&lt;1,IF('Model inputs'!C32="","",'Model inputs'!C32&lt;1))="",FALSE,IF(ISERROR('Model inputs'!C32&lt;1),'Model inputs'!C32&lt;1,IF('Model inputs'!C32="","",'Model inputs'!C32&lt;1))),0,MAX('Model inputs'!C78-'Model inputs'!AG205*(1-'Model inputs'!B233),0))</f>
        <v>0</v>
      </c>
      <c r="D176" s="13">
        <f>IF(IF(IF(ISERROR('Model inputs'!D32&lt;1),'Model inputs'!D32&lt;1,IF('Model inputs'!D32="","",'Model inputs'!D32&lt;1))="",FALSE,IF(ISERROR('Model inputs'!D32&lt;1),'Model inputs'!D32&lt;1,IF('Model inputs'!D32="","",'Model inputs'!D32&lt;1))),0,MAX('Model inputs'!D78-'Model inputs'!C78*(1-'Model inputs'!B233),0))</f>
        <v>0</v>
      </c>
      <c r="E176" s="13">
        <f>IF(IF(IF(ISERROR('Model inputs'!E32&lt;1),'Model inputs'!E32&lt;1,IF('Model inputs'!E32="","",'Model inputs'!E32&lt;1))="",FALSE,IF(ISERROR('Model inputs'!E32&lt;1),'Model inputs'!E32&lt;1,IF('Model inputs'!E32="","",'Model inputs'!E32&lt;1))),0,MAX('Model inputs'!E78-'Model inputs'!D78*(1-'Model inputs'!B233),0))</f>
        <v>0</v>
      </c>
      <c r="F176" s="13">
        <f>IF(IF(IF(ISERROR('Model inputs'!F32&lt;1),'Model inputs'!F32&lt;1,IF('Model inputs'!F32="","",'Model inputs'!F32&lt;1))="",FALSE,IF(ISERROR('Model inputs'!F32&lt;1),'Model inputs'!F32&lt;1,IF('Model inputs'!F32="","",'Model inputs'!F32&lt;1))),0,MAX('Model inputs'!F78-'Model inputs'!E78*(1-'Model inputs'!B233),0))</f>
        <v>0.08808333333333332</v>
      </c>
      <c r="G176" s="13">
        <f>IF(IF(IF(ISERROR('Model inputs'!G32&lt;1),'Model inputs'!G32&lt;1,IF('Model inputs'!G32="","",'Model inputs'!G32&lt;1))="",FALSE,IF(ISERROR('Model inputs'!G32&lt;1),'Model inputs'!G32&lt;1,IF('Model inputs'!G32="","",'Model inputs'!G32&lt;1))),0,MAX('Model inputs'!G78-'Model inputs'!F78*(1-'Model inputs'!B233),0))</f>
        <v>0.14950039351851846</v>
      </c>
      <c r="H176" s="13">
        <f>IF(IF(IF(ISERROR('Model inputs'!H32&lt;1),'Model inputs'!H32&lt;1,IF('Model inputs'!H32="","",'Model inputs'!H32&lt;1))="",FALSE,IF(ISERROR('Model inputs'!H32&lt;1),'Model inputs'!H32&lt;1,IF('Model inputs'!H32="","",'Model inputs'!H32&lt;1))),0,MAX('Model inputs'!H78-'Model inputs'!G78*(1-'Model inputs'!B233),0))</f>
        <v>0.21300857265624992</v>
      </c>
      <c r="I176" s="13">
        <f>IF(IF(IF(ISERROR('Model inputs'!I32&lt;1),'Model inputs'!I32&lt;1,IF('Model inputs'!I32="","",'Model inputs'!I32&lt;1))="",FALSE,IF(ISERROR('Model inputs'!I32&lt;1),'Model inputs'!I32&lt;1,IF('Model inputs'!I32="","",'Model inputs'!I32&lt;1))),0,MAX('Model inputs'!I78-'Model inputs'!H78*(1-'Model inputs'!B233),0))</f>
        <v>0.27894984150853586</v>
      </c>
      <c r="J176" s="13">
        <f>IF(IF(IF(ISERROR('Model inputs'!J32&lt;1),'Model inputs'!J32&lt;1,IF('Model inputs'!J32="","",'Model inputs'!J32&lt;1))="",FALSE,IF(ISERROR('Model inputs'!J32&lt;1),'Model inputs'!J32&lt;1,IF('Model inputs'!J32="","",'Model inputs'!J32&lt;1))),0,MAX('Model inputs'!J78-'Model inputs'!I78*(1-'Model inputs'!B233),0))</f>
        <v>0.34769579376382986</v>
      </c>
      <c r="K176" s="13">
        <f>IF(IF(IF(ISERROR('Model inputs'!K32&lt;1),'Model inputs'!K32&lt;1,IF('Model inputs'!K32="","",'Model inputs'!K32&lt;1))="",FALSE,IF(ISERROR('Model inputs'!K32&lt;1),'Model inputs'!K32&lt;1,IF('Model inputs'!K32="","",'Model inputs'!K32&lt;1))),0,MAX('Model inputs'!K78-'Model inputs'!J78*(1-'Model inputs'!B233),0))</f>
        <v>0.41965235241733834</v>
      </c>
      <c r="L176" s="13">
        <f>IF(IF(IF(ISERROR('Model inputs'!L32&lt;1),'Model inputs'!L32&lt;1,IF('Model inputs'!L32="","",'Model inputs'!L32&lt;1))="",FALSE,IF(ISERROR('Model inputs'!L32&lt;1),'Model inputs'!L32&lt;1,IF('Model inputs'!L32="","",'Model inputs'!L32&lt;1))),0,MAX('Model inputs'!L78-'Model inputs'!K78*(1-'Model inputs'!B233),0))</f>
        <v>0.21924642763510693</v>
      </c>
      <c r="M176" s="13">
        <f>IF(IF(IF(ISERROR('Model inputs'!M32&lt;1),'Model inputs'!M32&lt;1,IF('Model inputs'!M32="","",'Model inputs'!M32&lt;1))="",FALSE,IF(ISERROR('Model inputs'!M32&lt;1),'Model inputs'!M32&lt;1,IF('Model inputs'!M32="","",'Model inputs'!M32&lt;1))),0,MAX('Model inputs'!M78-'Model inputs'!L78*(1-'Model inputs'!B233),0))</f>
        <v>0.22735925733219475</v>
      </c>
      <c r="N176" s="13">
        <f>IF(IF(IF(ISERROR('Model inputs'!N32&lt;1),'Model inputs'!N32&lt;1,IF('Model inputs'!N32="","",'Model inputs'!N32&lt;1))="",FALSE,IF(ISERROR('Model inputs'!N32&lt;1),'Model inputs'!N32&lt;1,IF('Model inputs'!N32="","",'Model inputs'!N32&lt;1))),0,MAX('Model inputs'!N78-'Model inputs'!M78*(1-'Model inputs'!B233),0))</f>
        <v>0.23623072168787318</v>
      </c>
      <c r="O176" s="13">
        <f>IF(IF(IF(ISERROR('Model inputs'!O32&lt;1),'Model inputs'!O32&lt;1,IF('Model inputs'!O32="","",'Model inputs'!O32&lt;1))="",FALSE,IF(ISERROR('Model inputs'!O32&lt;1),'Model inputs'!O32&lt;1,IF('Model inputs'!O32="","",'Model inputs'!O32&lt;1))),0,MAX('Model inputs'!O78-'Model inputs'!N78*(1-'Model inputs'!B233),0))</f>
        <v>0.24541433979131444</v>
      </c>
      <c r="P176" s="13">
        <f>IF(IF(IF(ISERROR('Model inputs'!P32&lt;1),'Model inputs'!P32&lt;1,IF('Model inputs'!P32="","",'Model inputs'!P32&lt;1))="",FALSE,IF(ISERROR('Model inputs'!P32&lt;1),'Model inputs'!P32&lt;1,IF('Model inputs'!P32="","",'Model inputs'!P32&lt;1))),0,MAX('Model inputs'!P78-'Model inputs'!O78*(1-'Model inputs'!B233),0))</f>
        <v>0.25491146714817825</v>
      </c>
      <c r="Q176" s="13">
        <f>IF(IF(IF(ISERROR('Model inputs'!Q32&lt;1),'Model inputs'!Q32&lt;1,IF('Model inputs'!Q32="","",'Model inputs'!Q32&lt;1))="",FALSE,IF(ISERROR('Model inputs'!Q32&lt;1),'Model inputs'!Q32&lt;1,IF('Model inputs'!Q32="","",'Model inputs'!Q32&lt;1))),0,MAX('Model inputs'!Q78-'Model inputs'!P78*(1-'Model inputs'!B233),0))</f>
        <v>0.26472473309641575</v>
      </c>
      <c r="R176" s="13">
        <f>IF(IF(IF(ISERROR('Model inputs'!R32&lt;1),'Model inputs'!R32&lt;1,IF('Model inputs'!R32="","",'Model inputs'!R32&lt;1))="",FALSE,IF(ISERROR('Model inputs'!R32&lt;1),'Model inputs'!R32&lt;1,IF('Model inputs'!R32="","",'Model inputs'!R32&lt;1))),0,MAX('Model inputs'!R78-'Model inputs'!Q78*(1-'Model inputs'!B233),0))</f>
        <v>0.2748579941351488</v>
      </c>
      <c r="S176" s="13">
        <f>IF(IF(IF(ISERROR('Model inputs'!S32&lt;1),'Model inputs'!S32&lt;1,IF('Model inputs'!S32="","",'Model inputs'!S32&lt;1))="",FALSE,IF(ISERROR('Model inputs'!S32&lt;1),'Model inputs'!S32&lt;1,IF('Model inputs'!S32="","",'Model inputs'!S32&lt;1))),0,MAX('Model inputs'!S78-'Model inputs'!R78*(1-'Model inputs'!B233),0))</f>
        <v>0.2853162924524879</v>
      </c>
      <c r="T176" s="13">
        <f>IF(IF(IF(ISERROR('Model inputs'!T32&lt;1),'Model inputs'!T32&lt;1,IF('Model inputs'!T32="","",'Model inputs'!T32&lt;1))="",FALSE,IF(ISERROR('Model inputs'!T32&lt;1),'Model inputs'!T32&lt;1,IF('Model inputs'!T32="","",'Model inputs'!T32&lt;1))),0,MAX('Model inputs'!T78-'Model inputs'!S78*(1-'Model inputs'!B233),0))</f>
        <v>0.2961058193701578</v>
      </c>
      <c r="U176" s="13">
        <f>IF(IF(IF(ISERROR('Model inputs'!U32&lt;1),'Model inputs'!U32&lt;1,IF('Model inputs'!U32="","",'Model inputs'!U32&lt;1))="",FALSE,IF(ISERROR('Model inputs'!U32&lt;1),'Model inputs'!U32&lt;1,IF('Model inputs'!U32="","",'Model inputs'!U32&lt;1))),0,MAX('Model inputs'!U78-'Model inputs'!T78*(1-'Model inputs'!B233),0))</f>
        <v>0.3072338834448147</v>
      </c>
      <c r="V176" s="13">
        <f>IF(IF(IF(ISERROR('Model inputs'!V32&lt;1),'Model inputs'!V32&lt;1,IF('Model inputs'!V32="","",'Model inputs'!V32&lt;1))="",FALSE,IF(ISERROR('Model inputs'!V32&lt;1),'Model inputs'!V32&lt;1,IF('Model inputs'!V32="","",'Model inputs'!V32&lt;1))),0,MAX('Model inputs'!V78-'Model inputs'!U78*(1-'Model inputs'!B233),0))</f>
        <v>0.318708882986646</v>
      </c>
    </row>
    <row r="177" outlineLevel="1">
      <c r="A177" t="inlineStr" s="18">
        <is>
          <t xml:space="preserve">New annual prepayments &gt; Team</t>
        </is>
      </c>
      <c r="C177" s="13">
        <f>IF(IF(IF(ISERROR('Model inputs'!C32&lt;1),'Model inputs'!C32&lt;1,IF('Model inputs'!C32="","",'Model inputs'!C32&lt;1))="",FALSE,IF(ISERROR('Model inputs'!C32&lt;1),'Model inputs'!C32&lt;1,IF('Model inputs'!C32="","",'Model inputs'!C32&lt;1))),0,MAX('Model inputs'!C79-'Model inputs'!AG206*(1-'Model inputs'!B234),0))</f>
        <v>0</v>
      </c>
      <c r="D177" s="13">
        <f>IF(IF(IF(ISERROR('Model inputs'!D32&lt;1),'Model inputs'!D32&lt;1,IF('Model inputs'!D32="","",'Model inputs'!D32&lt;1))="",FALSE,IF(ISERROR('Model inputs'!D32&lt;1),'Model inputs'!D32&lt;1,IF('Model inputs'!D32="","",'Model inputs'!D32&lt;1))),0,MAX('Model inputs'!D79-'Model inputs'!C79*(1-'Model inputs'!B234),0))</f>
        <v>0</v>
      </c>
      <c r="E177" s="13">
        <f>IF(IF(IF(ISERROR('Model inputs'!E32&lt;1),'Model inputs'!E32&lt;1,IF('Model inputs'!E32="","",'Model inputs'!E32&lt;1))="",FALSE,IF(ISERROR('Model inputs'!E32&lt;1),'Model inputs'!E32&lt;1,IF('Model inputs'!E32="","",'Model inputs'!E32&lt;1))),0,MAX('Model inputs'!E79-'Model inputs'!D79*(1-'Model inputs'!B234),0))</f>
        <v>0</v>
      </c>
      <c r="F177" s="13">
        <f>IF(IF(IF(ISERROR('Model inputs'!F32&lt;1),'Model inputs'!F32&lt;1,IF('Model inputs'!F32="","",'Model inputs'!F32&lt;1))="",FALSE,IF(ISERROR('Model inputs'!F32&lt;1),'Model inputs'!F32&lt;1,IF('Model inputs'!F32="","",'Model inputs'!F32&lt;1))),0,MAX('Model inputs'!F79-'Model inputs'!E79*(1-'Model inputs'!B234),0))</f>
        <v>0.5285972222222222</v>
      </c>
      <c r="G177" s="13">
        <f>IF(IF(IF(ISERROR('Model inputs'!G32&lt;1),'Model inputs'!G32&lt;1,IF('Model inputs'!G32="","",'Model inputs'!G32&lt;1))="",FALSE,IF(ISERROR('Model inputs'!G32&lt;1),'Model inputs'!G32&lt;1,IF('Model inputs'!G32="","",'Model inputs'!G32&lt;1))),0,MAX('Model inputs'!G79-'Model inputs'!F79*(1-'Model inputs'!B234),0))</f>
        <v>0.9511491435185185</v>
      </c>
      <c r="H177" s="13">
        <f>IF(IF(IF(ISERROR('Model inputs'!H32&lt;1),'Model inputs'!H32&lt;1,IF('Model inputs'!H32="","",'Model inputs'!H32&lt;1))="",FALSE,IF(ISERROR('Model inputs'!H32&lt;1),'Model inputs'!H32&lt;1,IF('Model inputs'!H32="","",'Model inputs'!H32&lt;1))),0,MAX('Model inputs'!H79-'Model inputs'!G79*(1-'Model inputs'!B234),0))</f>
        <v>1.4485273357349535</v>
      </c>
      <c r="I177" s="13">
        <f>IF(IF(IF(ISERROR('Model inputs'!I32&lt;1),'Model inputs'!I32&lt;1,IF('Model inputs'!I32="","",'Model inputs'!I32&lt;1))="",FALSE,IF(ISERROR('Model inputs'!I32&lt;1),'Model inputs'!I32&lt;1,IF('Model inputs'!I32="","",'Model inputs'!I32&lt;1))),0,MAX('Model inputs'!I79-'Model inputs'!H79*(1-'Model inputs'!B234),0))</f>
        <v>2.028531534657729</v>
      </c>
      <c r="J177" s="13">
        <f>IF(IF(IF(ISERROR('Model inputs'!J32&lt;1),'Model inputs'!J32&lt;1,IF('Model inputs'!J32="","",'Model inputs'!J32&lt;1))="",FALSE,IF(ISERROR('Model inputs'!J32&lt;1),'Model inputs'!J32&lt;1,IF('Model inputs'!J32="","",'Model inputs'!J32&lt;1))),0,MAX('Model inputs'!J79-'Model inputs'!I79*(1-'Model inputs'!B234),0))</f>
        <v>2.7000952379284557</v>
      </c>
      <c r="K177" s="13">
        <f>IF(IF(IF(ISERROR('Model inputs'!K32&lt;1),'Model inputs'!K32&lt;1,IF('Model inputs'!K32="","",'Model inputs'!K32&lt;1))="",FALSE,IF(ISERROR('Model inputs'!K32&lt;1),'Model inputs'!K32&lt;1,IF('Model inputs'!K32="","",'Model inputs'!K32&lt;1))),0,MAX('Model inputs'!K79-'Model inputs'!J79*(1-'Model inputs'!B234),0))</f>
        <v>3.473403222981019</v>
      </c>
      <c r="L177" s="13">
        <f>IF(IF(IF(ISERROR('Model inputs'!L32&lt;1),'Model inputs'!L32&lt;1,IF('Model inputs'!L32="","",'Model inputs'!L32&lt;1))="",FALSE,IF(ISERROR('Model inputs'!L32&lt;1),'Model inputs'!L32&lt;1,IF('Model inputs'!L32="","",'Model inputs'!L32&lt;1))),0,MAX('Model inputs'!L79-'Model inputs'!K79*(1-'Model inputs'!B234),0))</f>
        <v>2.2656534062738825</v>
      </c>
      <c r="M177" s="13">
        <f>IF(IF(IF(ISERROR('Model inputs'!M32&lt;1),'Model inputs'!M32&lt;1,IF('Model inputs'!M32="","",'Model inputs'!M32&lt;1))="",FALSE,IF(ISERROR('Model inputs'!M32&lt;1),'Model inputs'!M32&lt;1,IF('Model inputs'!M32="","",'Model inputs'!M32&lt;1))),0,MAX('Model inputs'!M79-'Model inputs'!L79*(1-'Model inputs'!B234),0))</f>
        <v>2.5061380981545973</v>
      </c>
      <c r="N177" s="13">
        <f>IF(IF(IF(ISERROR('Model inputs'!N32&lt;1),'Model inputs'!N32&lt;1,IF('Model inputs'!N32="","",'Model inputs'!N32&lt;1))="",FALSE,IF(ISERROR('Model inputs'!N32&lt;1),'Model inputs'!N32&lt;1,IF('Model inputs'!N32="","",'Model inputs'!N32&lt;1))),0,MAX('Model inputs'!N79-'Model inputs'!M79*(1-'Model inputs'!B234),0))</f>
        <v>2.644929540978609</v>
      </c>
      <c r="O177" s="13">
        <f>IF(IF(IF(ISERROR('Model inputs'!O32&lt;1),'Model inputs'!O32&lt;1,IF('Model inputs'!O32="","",'Model inputs'!O32&lt;1))="",FALSE,IF(ISERROR('Model inputs'!O32&lt;1),'Model inputs'!O32&lt;1,IF('Model inputs'!O32="","",'Model inputs'!O32&lt;1))),0,MAX('Model inputs'!O79-'Model inputs'!N79*(1-'Model inputs'!B234),0))</f>
        <v>2.786293812144688</v>
      </c>
      <c r="P177" s="13">
        <f>IF(IF(IF(ISERROR('Model inputs'!P32&lt;1),'Model inputs'!P32&lt;1,IF('Model inputs'!P32="","",'Model inputs'!P32&lt;1))="",FALSE,IF(ISERROR('Model inputs'!P32&lt;1),'Model inputs'!P32&lt;1,IF('Model inputs'!P32="","",'Model inputs'!P32&lt;1))),0,MAX('Model inputs'!P79-'Model inputs'!O79*(1-'Model inputs'!B234),0))</f>
        <v>2.930546391043947</v>
      </c>
      <c r="Q177" s="13">
        <f>IF(IF(IF(ISERROR('Model inputs'!Q32&lt;1),'Model inputs'!Q32&lt;1,IF('Model inputs'!Q32="","",'Model inputs'!Q32&lt;1))="",FALSE,IF(ISERROR('Model inputs'!Q32&lt;1),'Model inputs'!Q32&lt;1,IF('Model inputs'!Q32="","",'Model inputs'!Q32&lt;1))),0,MAX('Model inputs'!Q79-'Model inputs'!P79*(1-'Model inputs'!B234),0))</f>
        <v>3.0780007275901546</v>
      </c>
      <c r="R177" s="13">
        <f>IF(IF(IF(ISERROR('Model inputs'!R32&lt;1),'Model inputs'!R32&lt;1,IF('Model inputs'!R32="","",'Model inputs'!R32&lt;1))="",FALSE,IF(ISERROR('Model inputs'!R32&lt;1),'Model inputs'!R32&lt;1,IF('Model inputs'!R32="","",'Model inputs'!R32&lt;1))),0,MAX('Model inputs'!R79-'Model inputs'!Q79*(1-'Model inputs'!B234),0))</f>
        <v>3.2289691539345284</v>
      </c>
      <c r="S177" s="13">
        <f>IF(IF(IF(ISERROR('Model inputs'!S32&lt;1),'Model inputs'!S32&lt;1,IF('Model inputs'!S32="","",'Model inputs'!S32&lt;1))="",FALSE,IF(ISERROR('Model inputs'!S32&lt;1),'Model inputs'!S32&lt;1,IF('Model inputs'!S32="","",'Model inputs'!S32&lt;1))),0,MAX('Model inputs'!S79-'Model inputs'!R79*(1-'Model inputs'!B234),0))</f>
        <v>3.383763765898575</v>
      </c>
      <c r="T177" s="13">
        <f>IF(IF(IF(ISERROR('Model inputs'!T32&lt;1),'Model inputs'!T32&lt;1,IF('Model inputs'!T32="","",'Model inputs'!T32&lt;1))="",FALSE,IF(ISERROR('Model inputs'!T32&lt;1),'Model inputs'!T32&lt;1,IF('Model inputs'!T32="","",'Model inputs'!T32&lt;1))),0,MAX('Model inputs'!T79-'Model inputs'!S79*(1-'Model inputs'!B234),0))</f>
        <v>3.542697277382981</v>
      </c>
      <c r="U177" s="13">
        <f>IF(IF(IF(ISERROR('Model inputs'!U32&lt;1),'Model inputs'!U32&lt;1,IF('Model inputs'!U32="","",'Model inputs'!U32&lt;1))="",FALSE,IF(ISERROR('Model inputs'!U32&lt;1),'Model inputs'!U32&lt;1,IF('Model inputs'!U32="","",'Model inputs'!U32&lt;1))),0,MAX('Model inputs'!U79-'Model inputs'!T79*(1-'Model inputs'!B234),0))</f>
        <v>3.7060838508419494</v>
      </c>
      <c r="V177" s="13">
        <f>IF(IF(IF(ISERROR('Model inputs'!V32&lt;1),'Model inputs'!V32&lt;1,IF('Model inputs'!V32="","",'Model inputs'!V32&lt;1))="",FALSE,IF(ISERROR('Model inputs'!V32&lt;1),'Model inputs'!V32&lt;1,IF('Model inputs'!V32="","",'Model inputs'!V32&lt;1))),0,MAX('Model inputs'!V79-'Model inputs'!U79*(1-'Model inputs'!B234),0))</f>
        <v>3.8742399067575164</v>
      </c>
    </row>
    <row r="178">
      <c r="A178" t="inlineStr" s="16">
        <is>
          <t xml:space="preserve">Opening customers</t>
        </is>
      </c>
      <c r="C178" s="19">
        <f>SUM('Model inputs'!C179,'Model inputs'!C180,'Model inputs'!C181)</f>
        <v>0</v>
      </c>
      <c r="D178" s="19">
        <f>SUM('Model inputs'!D179,'Model inputs'!D180,'Model inputs'!D181)</f>
        <v>0</v>
      </c>
      <c r="E178" s="19">
        <f>SUM('Model inputs'!E179,'Model inputs'!E180,'Model inputs'!E181)</f>
        <v>47</v>
      </c>
      <c r="F178" s="19">
        <f>SUM('Model inputs'!F179,'Model inputs'!F180,'Model inputs'!F181)</f>
        <v>47</v>
      </c>
      <c r="G178" s="19">
        <f>SUM('Model inputs'!G179,'Model inputs'!G180,'Model inputs'!G181)</f>
        <v>84.905</v>
      </c>
      <c r="H178" s="19">
        <f>SUM('Model inputs'!H179,'Model inputs'!H180,'Model inputs'!H181)</f>
        <v>110.9505</v>
      </c>
      <c r="I178" s="19">
        <f>SUM('Model inputs'!I179,'Model inputs'!I180,'Model inputs'!I181)</f>
        <v>138.05102827083334</v>
      </c>
      <c r="J178" s="19">
        <f>SUM('Model inputs'!J179,'Model inputs'!J180,'Model inputs'!J181)</f>
        <v>166.3601248259896</v>
      </c>
      <c r="K178" s="19">
        <f>SUM('Model inputs'!K179,'Model inputs'!K180,'Model inputs'!K181)</f>
        <v>196.04006505593594</v>
      </c>
      <c r="L178" s="19">
        <f>SUM('Model inputs'!L179,'Model inputs'!L180,'Model inputs'!L181)</f>
        <v>227.2628736908502</v>
      </c>
      <c r="M178" s="19">
        <f>SUM('Model inputs'!M179,'Model inputs'!M180,'Model inputs'!M181)</f>
        <v>260.21140757088153</v>
      </c>
      <c r="N178" s="19">
        <f>SUM('Model inputs'!N179,'Model inputs'!N180,'Model inputs'!N181)</f>
        <v>295.08051439200136</v>
      </c>
      <c r="O178" s="19">
        <f>SUM('Model inputs'!O179,'Model inputs'!O180,'Model inputs'!O181)</f>
        <v>330.0136817964602</v>
      </c>
      <c r="P178" s="19">
        <f>SUM('Model inputs'!P179,'Model inputs'!P180,'Model inputs'!P181)</f>
        <v>365.0921444578123</v>
      </c>
      <c r="Q178" s="19">
        <f>SUM('Model inputs'!Q179,'Model inputs'!Q180,'Model inputs'!Q181)</f>
        <v>400.3954360097452</v>
      </c>
      <c r="R178" s="19">
        <f>SUM('Model inputs'!R179,'Model inputs'!R180,'Model inputs'!R181)</f>
        <v>436.0016417049511</v>
      </c>
      <c r="S178" s="19">
        <f>SUM('Model inputs'!S179,'Model inputs'!S180,'Model inputs'!S181)</f>
        <v>471.98764010807395</v>
      </c>
      <c r="T178" s="19">
        <f>SUM('Model inputs'!T179,'Model inputs'!T180,'Model inputs'!T181)</f>
        <v>508.42933477856207</v>
      </c>
      <c r="U178" s="19">
        <f>SUM('Model inputs'!U179,'Model inputs'!U180,'Model inputs'!U181)</f>
        <v>545.4018768448782</v>
      </c>
      <c r="V178" s="19">
        <f>SUM('Model inputs'!V179,'Model inputs'!V180,'Model inputs'!V181)</f>
        <v>582.979879321125</v>
      </c>
    </row>
    <row r="179" outlineLevel="1">
      <c r="A179" t="inlineStr" s="18">
        <is>
          <t xml:space="preserve">Opening customers &gt; Indie</t>
        </is>
      </c>
      <c r="C179" s="13">
        <f>IF(IF(IF(ISERROR('Model inputs'!C32=0),'Model inputs'!C32=0,IF('Model inputs'!C32="","",'Model inputs'!C32=0))="",FALSE,IF(ISERROR('Model inputs'!C32=0),'Model inputs'!C32=0,IF('Model inputs'!C32="","",'Model inputs'!C32=0))),IF('Model inputs'!B246="","",'Model inputs'!B246),IF('Model inputs'!AG214="","",'Model inputs'!AG214))</f>
        <v>0</v>
      </c>
      <c r="D179" s="13">
        <f>IF(IF(IF(ISERROR('Model inputs'!D32=0),'Model inputs'!D32=0,IF('Model inputs'!D32="","",'Model inputs'!D32=0))="",FALSE,IF(ISERROR('Model inputs'!D32=0),'Model inputs'!D32=0,IF('Model inputs'!D32="","",'Model inputs'!D32=0))),IF('Model inputs'!B246="","",'Model inputs'!B246),IF('Model inputs'!C20="","",'Model inputs'!C20))</f>
        <v>0</v>
      </c>
      <c r="E179" s="13">
        <f>IF(IF(IF(ISERROR('Model inputs'!E32=0),'Model inputs'!E32=0,IF('Model inputs'!E32="","",'Model inputs'!E32=0))="",FALSE,IF(ISERROR('Model inputs'!E32=0),'Model inputs'!E32=0,IF('Model inputs'!E32="","",'Model inputs'!E32=0))),IF('Model inputs'!B246="","",'Model inputs'!B246),IF('Model inputs'!D20="","",'Model inputs'!D20))</f>
        <v>40</v>
      </c>
      <c r="F179" s="13">
        <f>IF(IF(IF(ISERROR('Model inputs'!F32=0),'Model inputs'!F32=0,IF('Model inputs'!F32="","",'Model inputs'!F32=0))="",FALSE,IF(ISERROR('Model inputs'!F32=0),'Model inputs'!F32=0,IF('Model inputs'!F32="","",'Model inputs'!F32=0))),IF('Model inputs'!B246="","",'Model inputs'!B246),IF('Model inputs'!E20="","",'Model inputs'!E20))</f>
        <v>40</v>
      </c>
      <c r="G179" s="13">
        <f>IF(IF(IF(ISERROR('Model inputs'!G32=0),'Model inputs'!G32=0,IF('Model inputs'!G32="","",'Model inputs'!G32=0))="",FALSE,IF(ISERROR('Model inputs'!G32=0),'Model inputs'!G32=0,IF('Model inputs'!G32="","",'Model inputs'!G32=0))),IF('Model inputs'!B246="","",'Model inputs'!B246),IF('Model inputs'!F20="","",'Model inputs'!F20))</f>
        <v>74.33333333333333</v>
      </c>
      <c r="H179" s="13">
        <f>IF(IF(IF(ISERROR('Model inputs'!H32=0),'Model inputs'!H32=0,IF('Model inputs'!H32="","",'Model inputs'!H32=0))="",FALSE,IF(ISERROR('Model inputs'!H32=0),'Model inputs'!H32=0,IF('Model inputs'!H32="","",'Model inputs'!H32=0))),IF('Model inputs'!B246="","",'Model inputs'!B246),IF('Model inputs'!G20="","",'Model inputs'!G20))</f>
        <v>96.37777777777778</v>
      </c>
      <c r="I179" s="13">
        <f>IF(IF(IF(ISERROR('Model inputs'!I32=0),'Model inputs'!I32=0,IF('Model inputs'!I32="","",'Model inputs'!I32=0))="",FALSE,IF(ISERROR('Model inputs'!I32=0),'Model inputs'!I32=0,IF('Model inputs'!I32="","",'Model inputs'!I32=0))),IF('Model inputs'!B246="","",'Model inputs'!B246),IF('Model inputs'!H20="","",'Model inputs'!H20))</f>
        <v>119.1125925925926</v>
      </c>
      <c r="J179" s="13">
        <f>IF(IF(IF(ISERROR('Model inputs'!J32=0),'Model inputs'!J32=0,IF('Model inputs'!J32="","",'Model inputs'!J32=0))="",FALSE,IF(ISERROR('Model inputs'!J32=0),'Model inputs'!J32=0,IF('Model inputs'!J32="","",'Model inputs'!J32=0))),IF('Model inputs'!B246="","",'Model inputs'!B246),IF('Model inputs'!I20="","",'Model inputs'!I20))</f>
        <v>142.66455308641977</v>
      </c>
      <c r="K179" s="13">
        <f>IF(IF(IF(ISERROR('Model inputs'!K32=0),'Model inputs'!K32=0,IF('Model inputs'!K32="","",'Model inputs'!K32=0))="",FALSE,IF(ISERROR('Model inputs'!K32=0),'Model inputs'!K32=0,IF('Model inputs'!K32="","",'Model inputs'!K32=0))),IF('Model inputs'!B246="","",'Model inputs'!B246),IF('Model inputs'!J20="","",'Model inputs'!J20))</f>
        <v>167.16580688065847</v>
      </c>
      <c r="L179" s="13">
        <f>IF(IF(IF(ISERROR('Model inputs'!L32=0),'Model inputs'!L32=0,IF('Model inputs'!L32="","",'Model inputs'!L32=0))="",FALSE,IF(ISERROR('Model inputs'!L32=0),'Model inputs'!L32=0,IF('Model inputs'!L32="","",'Model inputs'!L32=0))),IF('Model inputs'!B246="","",'Model inputs'!B246),IF('Model inputs'!K20="","",'Model inputs'!K20))</f>
        <v>192.75462167528124</v>
      </c>
      <c r="M179" s="13">
        <f>IF(IF(IF(ISERROR('Model inputs'!M32=0),'Model inputs'!M32=0,IF('Model inputs'!M32="","",'Model inputs'!M32=0))="",FALSE,IF(ISERROR('Model inputs'!M32=0),'Model inputs'!M32=0,IF('Model inputs'!M32="","",'Model inputs'!M32=0))),IF('Model inputs'!B246="","",'Model inputs'!B246),IF('Model inputs'!L20="","",'Model inputs'!L20))</f>
        <v>219.57617163719584</v>
      </c>
      <c r="N179" s="13">
        <f>IF(IF(IF(ISERROR('Model inputs'!N32=0),'Model inputs'!N32=0,IF('Model inputs'!N32="","",'Model inputs'!N32=0))="",FALSE,IF(ISERROR('Model inputs'!N32=0),'Model inputs'!N32=0,IF('Model inputs'!N32="","",'Model inputs'!N32=0))),IF('Model inputs'!B246="","",'Model inputs'!B246),IF('Model inputs'!M20="","",'Model inputs'!M20))</f>
        <v>247.78336691420412</v>
      </c>
      <c r="O179" s="13">
        <f>IF(IF(IF(ISERROR('Model inputs'!O32=0),'Model inputs'!O32=0,IF('Model inputs'!O32="","",'Model inputs'!O32=0))="",FALSE,IF(ISERROR('Model inputs'!O32=0),'Model inputs'!O32=0,IF('Model inputs'!O32="","",'Model inputs'!O32=0))),IF('Model inputs'!B246="","",'Model inputs'!B246),IF('Model inputs'!N20="","",'Model inputs'!N20))</f>
        <v>275.8239067748581</v>
      </c>
      <c r="P179" s="13">
        <f>IF(IF(IF(ISERROR('Model inputs'!P32=0),'Model inputs'!P32=0,IF('Model inputs'!P32="","",'Model inputs'!P32=0))="",FALSE,IF(ISERROR('Model inputs'!P32=0),'Model inputs'!P32=0,IF('Model inputs'!P32="","",'Model inputs'!P32=0))),IF('Model inputs'!B246="","",'Model inputs'!B246),IF('Model inputs'!O20="","",'Model inputs'!O20))</f>
        <v>303.77745455099915</v>
      </c>
      <c r="Q179" s="13">
        <f>IF(IF(IF(ISERROR('Model inputs'!Q32=0),'Model inputs'!Q32=0,IF('Model inputs'!Q32="","",'Model inputs'!Q32=0))="",FALSE,IF(ISERROR('Model inputs'!Q32=0),'Model inputs'!Q32=0,IF('Model inputs'!Q32="","",'Model inputs'!Q32=0))),IF('Model inputs'!B246="","",'Model inputs'!B246),IF('Model inputs'!P20="","",'Model inputs'!P20))</f>
        <v>331.7211048045094</v>
      </c>
      <c r="R179" s="13">
        <f>IF(IF(IF(ISERROR('Model inputs'!R32=0),'Model inputs'!R32=0,IF('Model inputs'!R32="","",'Model inputs'!R32=0))="",FALSE,IF(ISERROR('Model inputs'!R32=0),'Model inputs'!R32=0,IF('Model inputs'!R32="","",'Model inputs'!R32=0))),IF('Model inputs'!B246="","",'Model inputs'!B246),IF('Model inputs'!Q20="","",'Model inputs'!Q20))</f>
        <v>359.72966426339536</v>
      </c>
      <c r="S179" s="13">
        <f>IF(IF(IF(ISERROR('Model inputs'!S32=0),'Model inputs'!S32=0,IF('Model inputs'!S32="","",'Model inputs'!S32=0))="",FALSE,IF(ISERROR('Model inputs'!S32=0),'Model inputs'!S32=0,IF('Model inputs'!S32="","",'Model inputs'!S32=0))),IF('Model inputs'!B246="","",'Model inputs'!B246),IF('Model inputs'!R20="","",'Model inputs'!R20))</f>
        <v>387.87591841618973</v>
      </c>
      <c r="T179" s="13">
        <f>IF(IF(IF(ISERROR('Model inputs'!T32=0),'Model inputs'!T32=0,IF('Model inputs'!T32="","",'Model inputs'!T32=0))="",FALSE,IF(ISERROR('Model inputs'!T32=0),'Model inputs'!T32=0,IF('Model inputs'!T32="","",'Model inputs'!T32=0))),IF('Model inputs'!B246="","",'Model inputs'!B246),IF('Model inputs'!S20="","",'Model inputs'!S20))</f>
        <v>416.23088489627867</v>
      </c>
      <c r="U179" s="13">
        <f>IF(IF(IF(ISERROR('Model inputs'!U32=0),'Model inputs'!U32=0,IF('Model inputs'!U32="","",'Model inputs'!U32=0))="",FALSE,IF(ISERROR('Model inputs'!U32=0),'Model inputs'!U32=0,IF('Model inputs'!U32="","",'Model inputs'!U32=0))),IF('Model inputs'!B246="","",'Model inputs'!B246),IF('Model inputs'!T20="","",'Model inputs'!T20))</f>
        <v>444.8640547193417</v>
      </c>
      <c r="V179" s="13">
        <f>IF(IF(IF(ISERROR('Model inputs'!V32=0),'Model inputs'!V32=0,IF('Model inputs'!V32="","",'Model inputs'!V32=0))="",FALSE,IF(ISERROR('Model inputs'!V32=0),'Model inputs'!V32=0,IF('Model inputs'!V32="","",'Model inputs'!V32=0))),IF('Model inputs'!B246="","",'Model inputs'!B246),IF('Model inputs'!U20="","",'Model inputs'!U20))</f>
        <v>473.8436223735132</v>
      </c>
    </row>
    <row r="180" outlineLevel="1">
      <c r="A180" t="inlineStr" s="18">
        <is>
          <t xml:space="preserve">Opening customers &gt; Launch</t>
        </is>
      </c>
      <c r="C180" s="13">
        <f>IF(IF(IF(ISERROR('Model inputs'!C32=0),'Model inputs'!C32=0,IF('Model inputs'!C32="","",'Model inputs'!C32=0))="",FALSE,IF(ISERROR('Model inputs'!C32=0),'Model inputs'!C32=0,IF('Model inputs'!C32="","",'Model inputs'!C32=0))),IF('Model inputs'!B247="","",'Model inputs'!B247),IF('Model inputs'!AG215="","",'Model inputs'!AG215))</f>
        <v>0</v>
      </c>
      <c r="D180" s="13">
        <f>IF(IF(IF(ISERROR('Model inputs'!D32=0),'Model inputs'!D32=0,IF('Model inputs'!D32="","",'Model inputs'!D32=0))="",FALSE,IF(ISERROR('Model inputs'!D32=0),'Model inputs'!D32=0,IF('Model inputs'!D32="","",'Model inputs'!D32=0))),IF('Model inputs'!B247="","",'Model inputs'!B247),IF('Model inputs'!C21="","",'Model inputs'!C21))</f>
        <v>0</v>
      </c>
      <c r="E180" s="13">
        <f>IF(IF(IF(ISERROR('Model inputs'!E32=0),'Model inputs'!E32=0,IF('Model inputs'!E32="","",'Model inputs'!E32=0))="",FALSE,IF(ISERROR('Model inputs'!E32=0),'Model inputs'!E32=0,IF('Model inputs'!E32="","",'Model inputs'!E32=0))),IF('Model inputs'!B247="","",'Model inputs'!B247),IF('Model inputs'!D21="","",'Model inputs'!D21))</f>
        <v>1</v>
      </c>
      <c r="F180" s="13">
        <f>IF(IF(IF(ISERROR('Model inputs'!F32=0),'Model inputs'!F32=0,IF('Model inputs'!F32="","",'Model inputs'!F32=0))="",FALSE,IF(ISERROR('Model inputs'!F32=0),'Model inputs'!F32=0,IF('Model inputs'!F32="","",'Model inputs'!F32=0))),IF('Model inputs'!B247="","",'Model inputs'!B247),IF('Model inputs'!E21="","",'Model inputs'!E21))</f>
        <v>1</v>
      </c>
      <c r="G180" s="13">
        <f>IF(IF(IF(ISERROR('Model inputs'!G32=0),'Model inputs'!G32=0,IF('Model inputs'!G32="","",'Model inputs'!G32=0))="",FALSE,IF(ISERROR('Model inputs'!G32=0),'Model inputs'!G32=0,IF('Model inputs'!G32="","",'Model inputs'!G32=0))),IF('Model inputs'!B247="","",'Model inputs'!B247),IF('Model inputs'!F21="","",'Model inputs'!F21))</f>
        <v>1.51</v>
      </c>
      <c r="H180" s="13">
        <f>IF(IF(IF(ISERROR('Model inputs'!H32=0),'Model inputs'!H32=0,IF('Model inputs'!H32="","",'Model inputs'!H32=0))="",FALSE,IF(ISERROR('Model inputs'!H32=0),'Model inputs'!H32=0,IF('Model inputs'!H32="","",'Model inputs'!H32=0))),IF('Model inputs'!B247="","",'Model inputs'!B247),IF('Model inputs'!G21="","",'Model inputs'!G21))</f>
        <v>2.025106944444444</v>
      </c>
      <c r="I180" s="13">
        <f>IF(IF(IF(ISERROR('Model inputs'!I32=0),'Model inputs'!I32=0,IF('Model inputs'!I32="","",'Model inputs'!I32=0))="",FALSE,IF(ISERROR('Model inputs'!I32=0),'Model inputs'!I32=0,IF('Model inputs'!I32="","",'Model inputs'!I32=0))),IF('Model inputs'!B247="","",'Model inputs'!B247),IF('Model inputs'!H21="","",'Model inputs'!H21))</f>
        <v>2.547012070601851</v>
      </c>
      <c r="J180" s="13">
        <f>IF(IF(IF(ISERROR('Model inputs'!J32=0),'Model inputs'!J32=0,IF('Model inputs'!J32="","",'Model inputs'!J32=0))="",FALSE,IF(ISERROR('Model inputs'!J32=0),'Model inputs'!J32=0,IF('Model inputs'!J32="","",'Model inputs'!J32=0))),IF('Model inputs'!B247="","",'Model inputs'!B247),IF('Model inputs'!I21="","",'Model inputs'!I21))</f>
        <v>3.0771044879079854</v>
      </c>
      <c r="K180" s="13">
        <f>IF(IF(IF(ISERROR('Model inputs'!K32=0),'Model inputs'!K32=0,IF('Model inputs'!K32="","",'Model inputs'!K32=0))="",FALSE,IF(ISERROR('Model inputs'!K32=0),'Model inputs'!K32=0,IF('Model inputs'!K32="","",'Model inputs'!K32=0))),IF('Model inputs'!B247="","",'Model inputs'!B247),IF('Model inputs'!J21="","",'Model inputs'!J21))</f>
        <v>3.6168582008046233</v>
      </c>
      <c r="L180" s="13">
        <f>IF(IF(IF(ISERROR('Model inputs'!L32=0),'Model inputs'!L32=0,IF('Model inputs'!L32="","",'Model inputs'!L32=0))="",FALSE,IF(ISERROR('Model inputs'!L32=0),'Model inputs'!L32=0,IF('Model inputs'!L32="","",'Model inputs'!L32=0))),IF('Model inputs'!B247="","",'Model inputs'!B247),IF('Model inputs'!K21="","",'Model inputs'!K21))</f>
        <v>4.167844494352857</v>
      </c>
      <c r="M180" s="13">
        <f>IF(IF(IF(ISERROR('Model inputs'!M32=0),'Model inputs'!M32=0,IF('Model inputs'!M32="","",'Model inputs'!M32=0))="",FALSE,IF(ISERROR('Model inputs'!M32=0),'Model inputs'!M32=0,IF('Model inputs'!M32="","",'Model inputs'!M32=0))),IF('Model inputs'!B247="","",'Model inputs'!B247),IF('Model inputs'!L21="","",'Model inputs'!L21))</f>
        <v>4.731745191609298</v>
      </c>
      <c r="N180" s="13">
        <f>IF(IF(IF(ISERROR('Model inputs'!N32=0),'Model inputs'!N32=0,IF('Model inputs'!N32="","",'Model inputs'!N32=0))="",FALSE,IF(ISERROR('Model inputs'!N32=0),'Model inputs'!N32=0,IF('Model inputs'!N32="","",'Model inputs'!N32=0))),IF('Model inputs'!B247="","",'Model inputs'!B247),IF('Model inputs'!M21="","",'Model inputs'!M21))</f>
        <v>5.310366891827144</v>
      </c>
      <c r="O180" s="13">
        <f>IF(IF(IF(ISERROR('Model inputs'!O32=0),'Model inputs'!O32=0,IF('Model inputs'!O32="","",'Model inputs'!O32=0))="",FALSE,IF(ISERROR('Model inputs'!O32=0),'Model inputs'!O32=0,IF('Model inputs'!O32="","",'Model inputs'!O32=0))),IF('Model inputs'!B247="","",'Model inputs'!B247),IF('Model inputs'!N21="","",'Model inputs'!N21))</f>
        <v>5.905656307557946</v>
      </c>
      <c r="P180" s="13">
        <f>IF(IF(IF(ISERROR('Model inputs'!P32=0),'Model inputs'!P32=0,IF('Model inputs'!P32="","",'Model inputs'!P32=0))="",FALSE,IF(ISERROR('Model inputs'!P32=0),'Model inputs'!P32=0,IF('Model inputs'!P32="","",'Model inputs'!P32=0))),IF('Model inputs'!B247="","",'Model inputs'!B247),IF('Model inputs'!O21="","",'Model inputs'!O21))</f>
        <v>6.51825529091976</v>
      </c>
      <c r="Q180" s="13">
        <f>IF(IF(IF(ISERROR('Model inputs'!Q32=0),'Model inputs'!Q32=0,IF('Model inputs'!Q32="","",'Model inputs'!Q32=0))="",FALSE,IF(ISERROR('Model inputs'!Q32=0),'Model inputs'!Q32=0,IF('Model inputs'!Q32="","",'Model inputs'!Q32=0))),IF('Model inputs'!B247="","",'Model inputs'!B247),IF('Model inputs'!P21="","",'Model inputs'!P21))</f>
        <v>7.148799939122187</v>
      </c>
      <c r="R180" s="13">
        <f>IF(IF(IF(ISERROR('Model inputs'!R32=0),'Model inputs'!R32=0,IF('Model inputs'!R32="","",'Model inputs'!R32=0))="",FALSE,IF(ISERROR('Model inputs'!R32=0),'Model inputs'!R32=0,IF('Model inputs'!R32="","",'Model inputs'!R32=0))),IF('Model inputs'!B247="","",'Model inputs'!B247),IF('Model inputs'!Q21="","",'Model inputs'!Q21))</f>
        <v>7.797924320310828</v>
      </c>
      <c r="S180" s="13">
        <f>IF(IF(IF(ISERROR('Model inputs'!S32=0),'Model inputs'!S32=0,IF('Model inputs'!S32="","",'Model inputs'!S32=0))="",FALSE,IF(ISERROR('Model inputs'!S32=0),'Model inputs'!S32=0,IF('Model inputs'!S32="","",'Model inputs'!S32=0))),IF('Model inputs'!B247="","",'Model inputs'!B247),IF('Model inputs'!R21="","",'Model inputs'!R21))</f>
        <v>8.466264010178019</v>
      </c>
      <c r="T180" s="13">
        <f>IF(IF(IF(ISERROR('Model inputs'!T32=0),'Model inputs'!T32=0,IF('Model inputs'!T32="","",'Model inputs'!T32=0))="",FALSE,IF(ISERROR('Model inputs'!T32=0),'Model inputs'!T32=0,IF('Model inputs'!T32="","",'Model inputs'!T32=0))),IF('Model inputs'!B247="","",'Model inputs'!B247),IF('Model inputs'!S21="","",'Model inputs'!S21))</f>
        <v>9.154459457032457</v>
      </c>
      <c r="U180" s="13">
        <f>IF(IF(IF(ISERROR('Model inputs'!U32=0),'Model inputs'!U32=0,IF('Model inputs'!U32="","",'Model inputs'!U32=0))="",FALSE,IF(ISERROR('Model inputs'!U32=0),'Model inputs'!U32=0,IF('Model inputs'!U32="","",'Model inputs'!U32=0))),IF('Model inputs'!B247="","",'Model inputs'!B247),IF('Model inputs'!T21="","",'Model inputs'!T21))</f>
        <v>9.86315919194885</v>
      </c>
      <c r="V180" s="13">
        <f>IF(IF(IF(ISERROR('Model inputs'!V32=0),'Model inputs'!V32=0,IF('Model inputs'!V32="","",'Model inputs'!V32=0))="",FALSE,IF(ISERROR('Model inputs'!V32=0),'Model inputs'!V32=0,IF('Model inputs'!V32="","",'Model inputs'!V32=0))),IF('Model inputs'!B247="","",'Model inputs'!B247),IF('Model inputs'!U21="","",'Model inputs'!U21))</f>
        <v>10.59302289962623</v>
      </c>
    </row>
    <row r="181" outlineLevel="1">
      <c r="A181" t="inlineStr" s="18">
        <is>
          <t xml:space="preserve">Opening customers &gt; Team</t>
        </is>
      </c>
      <c r="C181" s="13">
        <f>IF(IF(IF(ISERROR('Model inputs'!C32=0),'Model inputs'!C32=0,IF('Model inputs'!C32="","",'Model inputs'!C32=0))="",FALSE,IF(ISERROR('Model inputs'!C32=0),'Model inputs'!C32=0,IF('Model inputs'!C32="","",'Model inputs'!C32=0))),IF('Model inputs'!B248="","",'Model inputs'!B248),IF('Model inputs'!AG216="","",'Model inputs'!AG216))</f>
        <v>0</v>
      </c>
      <c r="D181" s="13">
        <f>IF(IF(IF(ISERROR('Model inputs'!D32=0),'Model inputs'!D32=0,IF('Model inputs'!D32="","",'Model inputs'!D32=0))="",FALSE,IF(ISERROR('Model inputs'!D32=0),'Model inputs'!D32=0,IF('Model inputs'!D32="","",'Model inputs'!D32=0))),IF('Model inputs'!B248="","",'Model inputs'!B248),IF('Model inputs'!C22="","",'Model inputs'!C22))</f>
        <v>0</v>
      </c>
      <c r="E181" s="13">
        <f>IF(IF(IF(ISERROR('Model inputs'!E32=0),'Model inputs'!E32=0,IF('Model inputs'!E32="","",'Model inputs'!E32=0))="",FALSE,IF(ISERROR('Model inputs'!E32=0),'Model inputs'!E32=0,IF('Model inputs'!E32="","",'Model inputs'!E32=0))),IF('Model inputs'!B248="","",'Model inputs'!B248),IF('Model inputs'!D22="","",'Model inputs'!D22))</f>
        <v>6</v>
      </c>
      <c r="F181" s="13">
        <f>IF(IF(IF(ISERROR('Model inputs'!F32=0),'Model inputs'!F32=0,IF('Model inputs'!F32="","",'Model inputs'!F32=0))="",FALSE,IF(ISERROR('Model inputs'!F32=0),'Model inputs'!F32=0,IF('Model inputs'!F32="","",'Model inputs'!F32=0))),IF('Model inputs'!B248="","",'Model inputs'!B248),IF('Model inputs'!E22="","",'Model inputs'!E22))</f>
        <v>6</v>
      </c>
      <c r="G181" s="13">
        <f>IF(IF(IF(ISERROR('Model inputs'!G32=0),'Model inputs'!G32=0,IF('Model inputs'!G32="","",'Model inputs'!G32=0))="",FALSE,IF(ISERROR('Model inputs'!G32=0),'Model inputs'!G32=0,IF('Model inputs'!G32="","",'Model inputs'!G32=0))),IF('Model inputs'!B248="","",'Model inputs'!B248),IF('Model inputs'!F22="","",'Model inputs'!F22))</f>
        <v>9.061666666666667</v>
      </c>
      <c r="H181" s="13">
        <f>IF(IF(IF(ISERROR('Model inputs'!H32=0),'Model inputs'!H32=0,IF('Model inputs'!H32="","",'Model inputs'!H32=0))="",FALSE,IF(ISERROR('Model inputs'!H32=0),'Model inputs'!H32=0,IF('Model inputs'!H32="","",'Model inputs'!H32=0))),IF('Model inputs'!B248="","",'Model inputs'!B248),IF('Model inputs'!G22="","",'Model inputs'!G22))</f>
        <v>12.547615277777778</v>
      </c>
      <c r="I181" s="13">
        <f>IF(IF(IF(ISERROR('Model inputs'!I32=0),'Model inputs'!I32=0,IF('Model inputs'!I32="","",'Model inputs'!I32=0))="",FALSE,IF(ISERROR('Model inputs'!I32=0),'Model inputs'!I32=0,IF('Model inputs'!I32="","",'Model inputs'!I32=0))),IF('Model inputs'!B248="","",'Model inputs'!B248),IF('Model inputs'!H22="","",'Model inputs'!H22))</f>
        <v>16.391423607638888</v>
      </c>
      <c r="J181" s="13">
        <f>IF(IF(IF(ISERROR('Model inputs'!J32=0),'Model inputs'!J32=0,IF('Model inputs'!J32="","",'Model inputs'!J32=0))="",FALSE,IF(ISERROR('Model inputs'!J32=0),'Model inputs'!J32=0,IF('Model inputs'!J32="","",'Model inputs'!J32=0))),IF('Model inputs'!B248="","",'Model inputs'!B248),IF('Model inputs'!I22="","",'Model inputs'!I22))</f>
        <v>20.618467251661844</v>
      </c>
      <c r="K181" s="13">
        <f>IF(IF(IF(ISERROR('Model inputs'!K32=0),'Model inputs'!K32=0,IF('Model inputs'!K32="","",'Model inputs'!K32=0))="",FALSE,IF(ISERROR('Model inputs'!K32=0),'Model inputs'!K32=0,IF('Model inputs'!K32="","",'Model inputs'!K32=0))),IF('Model inputs'!B248="","",'Model inputs'!B248),IF('Model inputs'!J22="","",'Model inputs'!J22))</f>
        <v>25.257399974472865</v>
      </c>
      <c r="L181" s="13">
        <f>IF(IF(IF(ISERROR('Model inputs'!L32=0),'Model inputs'!L32=0,IF('Model inputs'!L32="","",'Model inputs'!L32=0))="",FALSE,IF(ISERROR('Model inputs'!L32=0),'Model inputs'!L32=0,IF('Model inputs'!L32="","",'Model inputs'!L32=0))),IF('Model inputs'!B248="","",'Model inputs'!B248),IF('Model inputs'!K22="","",'Model inputs'!K22))</f>
        <v>30.3404075212161</v>
      </c>
      <c r="M181" s="13">
        <f>IF(IF(IF(ISERROR('Model inputs'!M32=0),'Model inputs'!M32=0,IF('Model inputs'!M32="","",'Model inputs'!M32=0))="",FALSE,IF(ISERROR('Model inputs'!M32=0),'Model inputs'!M32=0,IF('Model inputs'!M32="","",'Model inputs'!M32=0))),IF('Model inputs'!B248="","",'Model inputs'!B248),IF('Model inputs'!L22="","",'Model inputs'!L22))</f>
        <v>35.90349074207642</v>
      </c>
      <c r="N181" s="13">
        <f>IF(IF(IF(ISERROR('Model inputs'!N32=0),'Model inputs'!N32=0,IF('Model inputs'!N32="","",'Model inputs'!N32=0))="",FALSE,IF(ISERROR('Model inputs'!N32=0),'Model inputs'!N32=0,IF('Model inputs'!N32="","",'Model inputs'!N32=0))),IF('Model inputs'!B248="","",'Model inputs'!B248),IF('Model inputs'!M22="","",'Model inputs'!M22))</f>
        <v>41.986780585970116</v>
      </c>
      <c r="O181" s="13">
        <f>IF(IF(IF(ISERROR('Model inputs'!O32=0),'Model inputs'!O32=0,IF('Model inputs'!O32="","",'Model inputs'!O32=0))="",FALSE,IF(ISERROR('Model inputs'!O32=0),'Model inputs'!O32=0,IF('Model inputs'!O32="","",'Model inputs'!O32=0))),IF('Model inputs'!B248="","",'Model inputs'!B248),IF('Model inputs'!N22="","",'Model inputs'!N22))</f>
        <v>48.284118714044176</v>
      </c>
      <c r="P181" s="13">
        <f>IF(IF(IF(ISERROR('Model inputs'!P32=0),'Model inputs'!P32=0,IF('Model inputs'!P32="","",'Model inputs'!P32=0))="",FALSE,IF(ISERROR('Model inputs'!P32=0),'Model inputs'!P32=0,IF('Model inputs'!P32="","",'Model inputs'!P32=0))),IF('Model inputs'!B248="","",'Model inputs'!B248),IF('Model inputs'!O22="","",'Model inputs'!O22))</f>
        <v>54.79643461589339</v>
      </c>
      <c r="Q181" s="13">
        <f>IF(IF(IF(ISERROR('Model inputs'!Q32=0),'Model inputs'!Q32=0,IF('Model inputs'!Q32="","",'Model inputs'!Q32=0))="",FALSE,IF(ISERROR('Model inputs'!Q32=0),'Model inputs'!Q32=0,IF('Model inputs'!Q32="","",'Model inputs'!Q32=0))),IF('Model inputs'!B248="","",'Model inputs'!B248),IF('Model inputs'!P22="","",'Model inputs'!P22))</f>
        <v>61.52553126611357</v>
      </c>
      <c r="R181" s="13">
        <f>IF(IF(IF(ISERROR('Model inputs'!R32=0),'Model inputs'!R32=0,IF('Model inputs'!R32="","",'Model inputs'!R32=0))="",FALSE,IF(ISERROR('Model inputs'!R32=0),'Model inputs'!R32=0,IF('Model inputs'!R32="","",'Model inputs'!R32=0))),IF('Model inputs'!B248="","",'Model inputs'!B248),IF('Model inputs'!Q22="","",'Model inputs'!Q22))</f>
        <v>68.47405312124489</v>
      </c>
      <c r="S181" s="13">
        <f>IF(IF(IF(ISERROR('Model inputs'!S32=0),'Model inputs'!S32=0,IF('Model inputs'!S32="","",'Model inputs'!S32=0))="",FALSE,IF(ISERROR('Model inputs'!S32=0),'Model inputs'!S32=0,IF('Model inputs'!S32="","",'Model inputs'!S32=0))),IF('Model inputs'!B248="","",'Model inputs'!B248),IF('Model inputs'!R22="","",'Model inputs'!R22))</f>
        <v>75.64545768170619</v>
      </c>
      <c r="T181" s="13">
        <f>IF(IF(IF(ISERROR('Model inputs'!T32=0),'Model inputs'!T32=0,IF('Model inputs'!T32="","",'Model inputs'!T32=0))="",FALSE,IF(ISERROR('Model inputs'!T32=0),'Model inputs'!T32=0,IF('Model inputs'!T32="","",'Model inputs'!T32=0))),IF('Model inputs'!B248="","",'Model inputs'!B248),IF('Model inputs'!S22="","",'Model inputs'!S22))</f>
        <v>83.04399042525094</v>
      </c>
      <c r="U181" s="13">
        <f>IF(IF(IF(ISERROR('Model inputs'!U32=0),'Model inputs'!U32=0,IF('Model inputs'!U32="","",'Model inputs'!U32=0))="",FALSE,IF(ISERROR('Model inputs'!U32=0),'Model inputs'!U32=0,IF('Model inputs'!U32="","",'Model inputs'!U32=0))),IF('Model inputs'!B248="","",'Model inputs'!B248),IF('Model inputs'!T22="","",'Model inputs'!T22))</f>
        <v>90.67466293358764</v>
      </c>
      <c r="V181" s="13">
        <f>IF(IF(IF(ISERROR('Model inputs'!V32=0),'Model inputs'!V32=0,IF('Model inputs'!V32="","",'Model inputs'!V32=0))="",FALSE,IF(ISERROR('Model inputs'!V32=0),'Model inputs'!V32=0,IF('Model inputs'!V32="","",'Model inputs'!V32=0))),IF('Model inputs'!B248="","",'Model inputs'!B248),IF('Model inputs'!U22="","",'Model inputs'!U22))</f>
        <v>98.54323404798558</v>
      </c>
    </row>
    <row r="182">
      <c r="A182" t="inlineStr" s="16">
        <is>
          <t xml:space="preserve">Organic new logos</t>
        </is>
      </c>
      <c r="C182" s="19">
        <f>SUM('Model inputs'!C183,'Model inputs'!C184,'Model inputs'!C185)</f>
        <v>0</v>
      </c>
      <c r="D182" s="19">
        <f>SUM('Model inputs'!D183,'Model inputs'!D184,'Model inputs'!D185)</f>
        <v>0</v>
      </c>
      <c r="E182" s="19">
        <f>SUM('Model inputs'!E183,'Model inputs'!E184,'Model inputs'!E185)</f>
        <v>0</v>
      </c>
      <c r="F182" s="19">
        <f>SUM('Model inputs'!F183,'Model inputs'!F184,'Model inputs'!F185)</f>
        <v>28.5</v>
      </c>
      <c r="G182" s="19">
        <f>SUM('Model inputs'!G183,'Model inputs'!G184,'Model inputs'!G185)</f>
        <v>30.8</v>
      </c>
      <c r="H182" s="19">
        <f>SUM('Model inputs'!H183,'Model inputs'!H184,'Model inputs'!H185)</f>
        <v>33.290000000000006</v>
      </c>
      <c r="I182" s="19">
        <f>SUM('Model inputs'!I183,'Model inputs'!I184,'Model inputs'!I185)</f>
        <v>35.985800000000005</v>
      </c>
      <c r="J182" s="19">
        <f>SUM('Model inputs'!J183,'Model inputs'!J184,'Model inputs'!J185)</f>
        <v>38.90452400000001</v>
      </c>
      <c r="K182" s="19">
        <f>SUM('Model inputs'!K183,'Model inputs'!K184,'Model inputs'!K185)</f>
        <v>42.064731920000014</v>
      </c>
      <c r="L182" s="19">
        <f>SUM('Model inputs'!L183,'Model inputs'!L184,'Model inputs'!L185)</f>
        <v>45.486541073600016</v>
      </c>
      <c r="M182" s="19">
        <f>SUM('Model inputs'!M183,'Model inputs'!M184,'Model inputs'!M185)</f>
        <v>49.19175801948802</v>
      </c>
      <c r="N182" s="19">
        <f>SUM('Model inputs'!N183,'Model inputs'!N184,'Model inputs'!N185)</f>
        <v>51.13942834026755</v>
      </c>
      <c r="O182" s="19">
        <f>SUM('Model inputs'!O183,'Model inputs'!O184,'Model inputs'!O185)</f>
        <v>53.16500547387825</v>
      </c>
      <c r="P182" s="19">
        <f>SUM('Model inputs'!P183,'Model inputs'!P184,'Model inputs'!P185)</f>
        <v>55.27160569283338</v>
      </c>
      <c r="Q182" s="19">
        <f>SUM('Model inputs'!Q183,'Model inputs'!Q184,'Model inputs'!Q185)</f>
        <v>57.462469920546724</v>
      </c>
      <c r="R182" s="19">
        <f>SUM('Model inputs'!R183,'Model inputs'!R184,'Model inputs'!R185)</f>
        <v>59.740968717368595</v>
      </c>
      <c r="S182" s="19">
        <f>SUM('Model inputs'!S183,'Model inputs'!S184,'Model inputs'!S185)</f>
        <v>62.11060746606334</v>
      </c>
      <c r="T182" s="19">
        <f>SUM('Model inputs'!T183,'Model inputs'!T184,'Model inputs'!T185)</f>
        <v>64.57503176470587</v>
      </c>
      <c r="U182" s="19">
        <f>SUM('Model inputs'!U183,'Model inputs'!U184,'Model inputs'!U185)</f>
        <v>67.13803303529411</v>
      </c>
      <c r="V182" s="19">
        <f>SUM('Model inputs'!V183,'Model inputs'!V184,'Model inputs'!V185)</f>
        <v>69.80355435670587</v>
      </c>
    </row>
    <row r="183" outlineLevel="1">
      <c r="A183" t="inlineStr" s="18">
        <is>
          <t xml:space="preserve">Organic new logos &gt; Indie</t>
        </is>
      </c>
      <c r="C183" s="13">
        <f>IF(IF(IF(ISERROR('Model inputs'!C32&lt;1),'Model inputs'!C32&lt;1,IF('Model inputs'!C32="","",'Model inputs'!C32&lt;1))="",FALSE,IF(ISERROR('Model inputs'!C32&lt;1),'Model inputs'!C32&lt;1,IF('Model inputs'!C32="","",'Model inputs'!C32&lt;1))),0,IF(IF(IF(ISERROR('Model inputs'!C32=1),'Model inputs'!C32=1,IF('Model inputs'!C32="","",'Model inputs'!C32=1))="",FALSE,IF(ISERROR('Model inputs'!C32=1),'Model inputs'!C32=1,IF('Model inputs'!C32="","",'Model inputs'!C32=1))),IF('Model inputs'!B241="","",'Model inputs'!B241),'Model inputs'!AG262*(1+IF(IF(IF(IF(ISERROR('Model inputs'!C32&lt;=8),'Model inputs'!C32&lt;=8,IF('Model inputs'!C32="","",'Model inputs'!C32&lt;=8))="",FALSE,IF(ISERROR('Model inputs'!C32&lt;=8),'Model inputs'!C32&lt;=8,IF('Model inputs'!C32="","",'Model inputs'!C32&lt;=8))),IF('Model inputs'!B227="","",'Model inputs'!B227),IF('Model inputs'!B223="","",'Model inputs'!B223))="",0,IF(IF(IF(ISERROR('Model inputs'!C32&lt;=8),'Model inputs'!C32&lt;=8,IF('Model inputs'!C32="","",'Model inputs'!C32&lt;=8))="",FALSE,IF(ISERROR('Model inputs'!C32&lt;=8),'Model inputs'!C32&lt;=8,IF('Model inputs'!C32="","",'Model inputs'!C32&lt;=8))),IF('Model inputs'!B227="","",'Model inputs'!B227),IF('Model inputs'!B223="","",'Model inputs'!B223))))))</f>
        <v>0</v>
      </c>
      <c r="D183" s="13">
        <f>IF(IF(IF(ISERROR('Model inputs'!D32&lt;1),'Model inputs'!D32&lt;1,IF('Model inputs'!D32="","",'Model inputs'!D32&lt;1))="",FALSE,IF(ISERROR('Model inputs'!D32&lt;1),'Model inputs'!D32&lt;1,IF('Model inputs'!D32="","",'Model inputs'!D32&lt;1))),0,IF(IF(IF(ISERROR('Model inputs'!D32=1),'Model inputs'!D32=1,IF('Model inputs'!D32="","",'Model inputs'!D32=1))="",FALSE,IF(ISERROR('Model inputs'!D32=1),'Model inputs'!D32=1,IF('Model inputs'!D32="","",'Model inputs'!D32=1))),IF('Model inputs'!B241="","",'Model inputs'!B241),'Model inputs'!C183*(1+IF(IF(IF(IF(ISERROR('Model inputs'!D32&lt;=8),'Model inputs'!D32&lt;=8,IF('Model inputs'!D32="","",'Model inputs'!D32&lt;=8))="",FALSE,IF(ISERROR('Model inputs'!D32&lt;=8),'Model inputs'!D32&lt;=8,IF('Model inputs'!D32="","",'Model inputs'!D32&lt;=8))),IF('Model inputs'!B227="","",'Model inputs'!B227),IF('Model inputs'!B223="","",'Model inputs'!B223))="",0,IF(IF(IF(ISERROR('Model inputs'!D32&lt;=8),'Model inputs'!D32&lt;=8,IF('Model inputs'!D32="","",'Model inputs'!D32&lt;=8))="",FALSE,IF(ISERROR('Model inputs'!D32&lt;=8),'Model inputs'!D32&lt;=8,IF('Model inputs'!D32="","",'Model inputs'!D32&lt;=8))),IF('Model inputs'!B227="","",'Model inputs'!B227),IF('Model inputs'!B223="","",'Model inputs'!B223))))))</f>
        <v>0</v>
      </c>
      <c r="E183" s="13">
        <f>IF(IF(IF(ISERROR('Model inputs'!E32&lt;1),'Model inputs'!E32&lt;1,IF('Model inputs'!E32="","",'Model inputs'!E32&lt;1))="",FALSE,IF(ISERROR('Model inputs'!E32&lt;1),'Model inputs'!E32&lt;1,IF('Model inputs'!E32="","",'Model inputs'!E32&lt;1))),0,IF(IF(IF(ISERROR('Model inputs'!E32=1),'Model inputs'!E32=1,IF('Model inputs'!E32="","",'Model inputs'!E32=1))="",FALSE,IF(ISERROR('Model inputs'!E32=1),'Model inputs'!E32=1,IF('Model inputs'!E32="","",'Model inputs'!E32=1))),IF('Model inputs'!B241="","",'Model inputs'!B241),'Model inputs'!D183*(1+IF(IF(IF(IF(ISERROR('Model inputs'!E32&lt;=8),'Model inputs'!E32&lt;=8,IF('Model inputs'!E32="","",'Model inputs'!E32&lt;=8))="",FALSE,IF(ISERROR('Model inputs'!E32&lt;=8),'Model inputs'!E32&lt;=8,IF('Model inputs'!E32="","",'Model inputs'!E32&lt;=8))),IF('Model inputs'!B227="","",'Model inputs'!B227),IF('Model inputs'!B223="","",'Model inputs'!B223))="",0,IF(IF(IF(ISERROR('Model inputs'!E32&lt;=8),'Model inputs'!E32&lt;=8,IF('Model inputs'!E32="","",'Model inputs'!E32&lt;=8))="",FALSE,IF(ISERROR('Model inputs'!E32&lt;=8),'Model inputs'!E32&lt;=8,IF('Model inputs'!E32="","",'Model inputs'!E32&lt;=8))),IF('Model inputs'!B227="","",'Model inputs'!B227),IF('Model inputs'!B223="","",'Model inputs'!B223))))))</f>
        <v>0</v>
      </c>
      <c r="F183" s="13">
        <f>IF(IF(IF(ISERROR('Model inputs'!F32&lt;1),'Model inputs'!F32&lt;1,IF('Model inputs'!F32="","",'Model inputs'!F32&lt;1))="",FALSE,IF(ISERROR('Model inputs'!F32&lt;1),'Model inputs'!F32&lt;1,IF('Model inputs'!F32="","",'Model inputs'!F32&lt;1))),0,IF(IF(IF(ISERROR('Model inputs'!F32=1),'Model inputs'!F32=1,IF('Model inputs'!F32="","",'Model inputs'!F32=1))="",FALSE,IF(ISERROR('Model inputs'!F32=1),'Model inputs'!F32=1,IF('Model inputs'!F32="","",'Model inputs'!F32=1))),IF('Model inputs'!B241="","",'Model inputs'!B241),'Model inputs'!E183*(1+IF(IF(IF(IF(ISERROR('Model inputs'!F32&lt;=8),'Model inputs'!F32&lt;=8,IF('Model inputs'!F32="","",'Model inputs'!F32&lt;=8))="",FALSE,IF(ISERROR('Model inputs'!F32&lt;=8),'Model inputs'!F32&lt;=8,IF('Model inputs'!F32="","",'Model inputs'!F32&lt;=8))),IF('Model inputs'!B227="","",'Model inputs'!B227),IF('Model inputs'!B223="","",'Model inputs'!B223))="",0,IF(IF(IF(ISERROR('Model inputs'!F32&lt;=8),'Model inputs'!F32&lt;=8,IF('Model inputs'!F32="","",'Model inputs'!F32&lt;=8))="",FALSE,IF(ISERROR('Model inputs'!F32&lt;=8),'Model inputs'!F32&lt;=8,IF('Model inputs'!F32="","",'Model inputs'!F32&lt;=8))),IF('Model inputs'!B227="","",'Model inputs'!B227),IF('Model inputs'!B223="","",'Model inputs'!B223))))))</f>
        <v>25</v>
      </c>
      <c r="G183" s="13">
        <f>IF(IF(IF(ISERROR('Model inputs'!G32&lt;1),'Model inputs'!G32&lt;1,IF('Model inputs'!G32="","",'Model inputs'!G32&lt;1))="",FALSE,IF(ISERROR('Model inputs'!G32&lt;1),'Model inputs'!G32&lt;1,IF('Model inputs'!G32="","",'Model inputs'!G32&lt;1))),0,IF(IF(IF(ISERROR('Model inputs'!G32=1),'Model inputs'!G32=1,IF('Model inputs'!G32="","",'Model inputs'!G32=1))="",FALSE,IF(ISERROR('Model inputs'!G32=1),'Model inputs'!G32=1,IF('Model inputs'!G32="","",'Model inputs'!G32=1))),IF('Model inputs'!B241="","",'Model inputs'!B241),'Model inputs'!F183*(1+IF(IF(IF(IF(ISERROR('Model inputs'!G32&lt;=8),'Model inputs'!G32&lt;=8,IF('Model inputs'!G32="","",'Model inputs'!G32&lt;=8))="",FALSE,IF(ISERROR('Model inputs'!G32&lt;=8),'Model inputs'!G32&lt;=8,IF('Model inputs'!G32="","",'Model inputs'!G32&lt;=8))),IF('Model inputs'!B227="","",'Model inputs'!B227),IF('Model inputs'!B223="","",'Model inputs'!B223))="",0,IF(IF(IF(ISERROR('Model inputs'!G32&lt;=8),'Model inputs'!G32&lt;=8,IF('Model inputs'!G32="","",'Model inputs'!G32&lt;=8))="",FALSE,IF(ISERROR('Model inputs'!G32&lt;=8),'Model inputs'!G32&lt;=8,IF('Model inputs'!G32="","",'Model inputs'!G32&lt;=8))),IF('Model inputs'!B227="","",'Model inputs'!B227),IF('Model inputs'!B223="","",'Model inputs'!B223))))))</f>
        <v>27</v>
      </c>
      <c r="H183" s="13">
        <f>IF(IF(IF(ISERROR('Model inputs'!H32&lt;1),'Model inputs'!H32&lt;1,IF('Model inputs'!H32="","",'Model inputs'!H32&lt;1))="",FALSE,IF(ISERROR('Model inputs'!H32&lt;1),'Model inputs'!H32&lt;1,IF('Model inputs'!H32="","",'Model inputs'!H32&lt;1))),0,IF(IF(IF(ISERROR('Model inputs'!H32=1),'Model inputs'!H32=1,IF('Model inputs'!H32="","",'Model inputs'!H32=1))="",FALSE,IF(ISERROR('Model inputs'!H32=1),'Model inputs'!H32=1,IF('Model inputs'!H32="","",'Model inputs'!H32=1))),IF('Model inputs'!B241="","",'Model inputs'!B241),'Model inputs'!G183*(1+IF(IF(IF(IF(ISERROR('Model inputs'!H32&lt;=8),'Model inputs'!H32&lt;=8,IF('Model inputs'!H32="","",'Model inputs'!H32&lt;=8))="",FALSE,IF(ISERROR('Model inputs'!H32&lt;=8),'Model inputs'!H32&lt;=8,IF('Model inputs'!H32="","",'Model inputs'!H32&lt;=8))),IF('Model inputs'!B227="","",'Model inputs'!B227),IF('Model inputs'!B223="","",'Model inputs'!B223))="",0,IF(IF(IF(ISERROR('Model inputs'!H32&lt;=8),'Model inputs'!H32&lt;=8,IF('Model inputs'!H32="","",'Model inputs'!H32&lt;=8))="",FALSE,IF(ISERROR('Model inputs'!H32&lt;=8),'Model inputs'!H32&lt;=8,IF('Model inputs'!H32="","",'Model inputs'!H32&lt;=8))),IF('Model inputs'!B227="","",'Model inputs'!B227),IF('Model inputs'!B223="","",'Model inputs'!B223))))))</f>
        <v>29.160000000000004</v>
      </c>
      <c r="I183" s="13">
        <f>IF(IF(IF(ISERROR('Model inputs'!I32&lt;1),'Model inputs'!I32&lt;1,IF('Model inputs'!I32="","",'Model inputs'!I32&lt;1))="",FALSE,IF(ISERROR('Model inputs'!I32&lt;1),'Model inputs'!I32&lt;1,IF('Model inputs'!I32="","",'Model inputs'!I32&lt;1))),0,IF(IF(IF(ISERROR('Model inputs'!I32=1),'Model inputs'!I32=1,IF('Model inputs'!I32="","",'Model inputs'!I32=1))="",FALSE,IF(ISERROR('Model inputs'!I32=1),'Model inputs'!I32=1,IF('Model inputs'!I32="","",'Model inputs'!I32=1))),IF('Model inputs'!B241="","",'Model inputs'!B241),'Model inputs'!H183*(1+IF(IF(IF(IF(ISERROR('Model inputs'!I32&lt;=8),'Model inputs'!I32&lt;=8,IF('Model inputs'!I32="","",'Model inputs'!I32&lt;=8))="",FALSE,IF(ISERROR('Model inputs'!I32&lt;=8),'Model inputs'!I32&lt;=8,IF('Model inputs'!I32="","",'Model inputs'!I32&lt;=8))),IF('Model inputs'!B227="","",'Model inputs'!B227),IF('Model inputs'!B223="","",'Model inputs'!B223))="",0,IF(IF(IF(ISERROR('Model inputs'!I32&lt;=8),'Model inputs'!I32&lt;=8,IF('Model inputs'!I32="","",'Model inputs'!I32&lt;=8))="",FALSE,IF(ISERROR('Model inputs'!I32&lt;=8),'Model inputs'!I32&lt;=8,IF('Model inputs'!I32="","",'Model inputs'!I32&lt;=8))),IF('Model inputs'!B227="","",'Model inputs'!B227),IF('Model inputs'!B223="","",'Model inputs'!B223))))))</f>
        <v>31.492800000000006</v>
      </c>
      <c r="J183" s="13">
        <f>IF(IF(IF(ISERROR('Model inputs'!J32&lt;1),'Model inputs'!J32&lt;1,IF('Model inputs'!J32="","",'Model inputs'!J32&lt;1))="",FALSE,IF(ISERROR('Model inputs'!J32&lt;1),'Model inputs'!J32&lt;1,IF('Model inputs'!J32="","",'Model inputs'!J32&lt;1))),0,IF(IF(IF(ISERROR('Model inputs'!J32=1),'Model inputs'!J32=1,IF('Model inputs'!J32="","",'Model inputs'!J32=1))="",FALSE,IF(ISERROR('Model inputs'!J32=1),'Model inputs'!J32=1,IF('Model inputs'!J32="","",'Model inputs'!J32=1))),IF('Model inputs'!B241="","",'Model inputs'!B241),'Model inputs'!I183*(1+IF(IF(IF(IF(ISERROR('Model inputs'!J32&lt;=8),'Model inputs'!J32&lt;=8,IF('Model inputs'!J32="","",'Model inputs'!J32&lt;=8))="",FALSE,IF(ISERROR('Model inputs'!J32&lt;=8),'Model inputs'!J32&lt;=8,IF('Model inputs'!J32="","",'Model inputs'!J32&lt;=8))),IF('Model inputs'!B227="","",'Model inputs'!B227),IF('Model inputs'!B223="","",'Model inputs'!B223))="",0,IF(IF(IF(ISERROR('Model inputs'!J32&lt;=8),'Model inputs'!J32&lt;=8,IF('Model inputs'!J32="","",'Model inputs'!J32&lt;=8))="",FALSE,IF(ISERROR('Model inputs'!J32&lt;=8),'Model inputs'!J32&lt;=8,IF('Model inputs'!J32="","",'Model inputs'!J32&lt;=8))),IF('Model inputs'!B227="","",'Model inputs'!B227),IF('Model inputs'!B223="","",'Model inputs'!B223))))))</f>
        <v>34.01222400000001</v>
      </c>
      <c r="K183" s="13">
        <f>IF(IF(IF(ISERROR('Model inputs'!K32&lt;1),'Model inputs'!K32&lt;1,IF('Model inputs'!K32="","",'Model inputs'!K32&lt;1))="",FALSE,IF(ISERROR('Model inputs'!K32&lt;1),'Model inputs'!K32&lt;1,IF('Model inputs'!K32="","",'Model inputs'!K32&lt;1))),0,IF(IF(IF(ISERROR('Model inputs'!K32=1),'Model inputs'!K32=1,IF('Model inputs'!K32="","",'Model inputs'!K32=1))="",FALSE,IF(ISERROR('Model inputs'!K32=1),'Model inputs'!K32=1,IF('Model inputs'!K32="","",'Model inputs'!K32=1))),IF('Model inputs'!B241="","",'Model inputs'!B241),'Model inputs'!J183*(1+IF(IF(IF(IF(ISERROR('Model inputs'!K32&lt;=8),'Model inputs'!K32&lt;=8,IF('Model inputs'!K32="","",'Model inputs'!K32&lt;=8))="",FALSE,IF(ISERROR('Model inputs'!K32&lt;=8),'Model inputs'!K32&lt;=8,IF('Model inputs'!K32="","",'Model inputs'!K32&lt;=8))),IF('Model inputs'!B227="","",'Model inputs'!B227),IF('Model inputs'!B223="","",'Model inputs'!B223))="",0,IF(IF(IF(ISERROR('Model inputs'!K32&lt;=8),'Model inputs'!K32&lt;=8,IF('Model inputs'!K32="","",'Model inputs'!K32&lt;=8))="",FALSE,IF(ISERROR('Model inputs'!K32&lt;=8),'Model inputs'!K32&lt;=8,IF('Model inputs'!K32="","",'Model inputs'!K32&lt;=8))),IF('Model inputs'!B227="","",'Model inputs'!B227),IF('Model inputs'!B223="","",'Model inputs'!B223))))))</f>
        <v>36.73320192000001</v>
      </c>
      <c r="L183" s="13">
        <f>IF(IF(IF(ISERROR('Model inputs'!L32&lt;1),'Model inputs'!L32&lt;1,IF('Model inputs'!L32="","",'Model inputs'!L32&lt;1))="",FALSE,IF(ISERROR('Model inputs'!L32&lt;1),'Model inputs'!L32&lt;1,IF('Model inputs'!L32="","",'Model inputs'!L32&lt;1))),0,IF(IF(IF(ISERROR('Model inputs'!L32=1),'Model inputs'!L32=1,IF('Model inputs'!L32="","",'Model inputs'!L32=1))="",FALSE,IF(ISERROR('Model inputs'!L32=1),'Model inputs'!L32=1,IF('Model inputs'!L32="","",'Model inputs'!L32=1))),IF('Model inputs'!B241="","",'Model inputs'!B241),'Model inputs'!K183*(1+IF(IF(IF(IF(ISERROR('Model inputs'!L32&lt;=8),'Model inputs'!L32&lt;=8,IF('Model inputs'!L32="","",'Model inputs'!L32&lt;=8))="",FALSE,IF(ISERROR('Model inputs'!L32&lt;=8),'Model inputs'!L32&lt;=8,IF('Model inputs'!L32="","",'Model inputs'!L32&lt;=8))),IF('Model inputs'!B227="","",'Model inputs'!B227),IF('Model inputs'!B223="","",'Model inputs'!B223))="",0,IF(IF(IF(ISERROR('Model inputs'!L32&lt;=8),'Model inputs'!L32&lt;=8,IF('Model inputs'!L32="","",'Model inputs'!L32&lt;=8))="",FALSE,IF(ISERROR('Model inputs'!L32&lt;=8),'Model inputs'!L32&lt;=8,IF('Model inputs'!L32="","",'Model inputs'!L32&lt;=8))),IF('Model inputs'!B227="","",'Model inputs'!B227),IF('Model inputs'!B223="","",'Model inputs'!B223))))))</f>
        <v>39.67185807360001</v>
      </c>
      <c r="M183" s="13">
        <f>IF(IF(IF(ISERROR('Model inputs'!M32&lt;1),'Model inputs'!M32&lt;1,IF('Model inputs'!M32="","",'Model inputs'!M32&lt;1))="",FALSE,IF(ISERROR('Model inputs'!M32&lt;1),'Model inputs'!M32&lt;1,IF('Model inputs'!M32="","",'Model inputs'!M32&lt;1))),0,IF(IF(IF(ISERROR('Model inputs'!M32=1),'Model inputs'!M32=1,IF('Model inputs'!M32="","",'Model inputs'!M32=1))="",FALSE,IF(ISERROR('Model inputs'!M32=1),'Model inputs'!M32=1,IF('Model inputs'!M32="","",'Model inputs'!M32=1))),IF('Model inputs'!B241="","",'Model inputs'!B241),'Model inputs'!L183*(1+IF(IF(IF(IF(ISERROR('Model inputs'!M32&lt;=8),'Model inputs'!M32&lt;=8,IF('Model inputs'!M32="","",'Model inputs'!M32&lt;=8))="",FALSE,IF(ISERROR('Model inputs'!M32&lt;=8),'Model inputs'!M32&lt;=8,IF('Model inputs'!M32="","",'Model inputs'!M32&lt;=8))),IF('Model inputs'!B227="","",'Model inputs'!B227),IF('Model inputs'!B223="","",'Model inputs'!B223))="",0,IF(IF(IF(ISERROR('Model inputs'!M32&lt;=8),'Model inputs'!M32&lt;=8,IF('Model inputs'!M32="","",'Model inputs'!M32&lt;=8))="",FALSE,IF(ISERROR('Model inputs'!M32&lt;=8),'Model inputs'!M32&lt;=8,IF('Model inputs'!M32="","",'Model inputs'!M32&lt;=8))),IF('Model inputs'!B227="","",'Model inputs'!B227),IF('Model inputs'!B223="","",'Model inputs'!B223))))))</f>
        <v>42.84560671948802</v>
      </c>
      <c r="N183" s="13">
        <f>IF(IF(IF(ISERROR('Model inputs'!N32&lt;1),'Model inputs'!N32&lt;1,IF('Model inputs'!N32="","",'Model inputs'!N32&lt;1))="",FALSE,IF(ISERROR('Model inputs'!N32&lt;1),'Model inputs'!N32&lt;1,IF('Model inputs'!N32="","",'Model inputs'!N32&lt;1))),0,IF(IF(IF(ISERROR('Model inputs'!N32=1),'Model inputs'!N32=1,IF('Model inputs'!N32="","",'Model inputs'!N32=1))="",FALSE,IF(ISERROR('Model inputs'!N32=1),'Model inputs'!N32=1,IF('Model inputs'!N32="","",'Model inputs'!N32=1))),IF('Model inputs'!B241="","",'Model inputs'!B241),'Model inputs'!M183*(1+IF(IF(IF(IF(ISERROR('Model inputs'!N32&lt;=8),'Model inputs'!N32&lt;=8,IF('Model inputs'!N32="","",'Model inputs'!N32&lt;=8))="",FALSE,IF(ISERROR('Model inputs'!N32&lt;=8),'Model inputs'!N32&lt;=8,IF('Model inputs'!N32="","",'Model inputs'!N32&lt;=8))),IF('Model inputs'!B227="","",'Model inputs'!B227),IF('Model inputs'!B223="","",'Model inputs'!B223))="",0,IF(IF(IF(ISERROR('Model inputs'!N32&lt;=8),'Model inputs'!N32&lt;=8,IF('Model inputs'!N32="","",'Model inputs'!N32&lt;=8))="",FALSE,IF(ISERROR('Model inputs'!N32&lt;=8),'Model inputs'!N32&lt;=8,IF('Model inputs'!N32="","",'Model inputs'!N32&lt;=8))),IF('Model inputs'!B227="","",'Model inputs'!B227),IF('Model inputs'!B223="","",'Model inputs'!B223))))))</f>
        <v>44.55943098826754</v>
      </c>
      <c r="O183" s="13">
        <f>IF(IF(IF(ISERROR('Model inputs'!O32&lt;1),'Model inputs'!O32&lt;1,IF('Model inputs'!O32="","",'Model inputs'!O32&lt;1))="",FALSE,IF(ISERROR('Model inputs'!O32&lt;1),'Model inputs'!O32&lt;1,IF('Model inputs'!O32="","",'Model inputs'!O32&lt;1))),0,IF(IF(IF(ISERROR('Model inputs'!O32=1),'Model inputs'!O32=1,IF('Model inputs'!O32="","",'Model inputs'!O32=1))="",FALSE,IF(ISERROR('Model inputs'!O32=1),'Model inputs'!O32=1,IF('Model inputs'!O32="","",'Model inputs'!O32=1))),IF('Model inputs'!B241="","",'Model inputs'!B241),'Model inputs'!N183*(1+IF(IF(IF(IF(ISERROR('Model inputs'!O32&lt;=8),'Model inputs'!O32&lt;=8,IF('Model inputs'!O32="","",'Model inputs'!O32&lt;=8))="",FALSE,IF(ISERROR('Model inputs'!O32&lt;=8),'Model inputs'!O32&lt;=8,IF('Model inputs'!O32="","",'Model inputs'!O32&lt;=8))),IF('Model inputs'!B227="","",'Model inputs'!B227),IF('Model inputs'!B223="","",'Model inputs'!B223))="",0,IF(IF(IF(ISERROR('Model inputs'!O32&lt;=8),'Model inputs'!O32&lt;=8,IF('Model inputs'!O32="","",'Model inputs'!O32&lt;=8))="",FALSE,IF(ISERROR('Model inputs'!O32&lt;=8),'Model inputs'!O32&lt;=8,IF('Model inputs'!O32="","",'Model inputs'!O32&lt;=8))),IF('Model inputs'!B227="","",'Model inputs'!B227),IF('Model inputs'!B223="","",'Model inputs'!B223))))))</f>
        <v>46.341808227798246</v>
      </c>
      <c r="P183" s="13">
        <f>IF(IF(IF(ISERROR('Model inputs'!P32&lt;1),'Model inputs'!P32&lt;1,IF('Model inputs'!P32="","",'Model inputs'!P32&lt;1))="",FALSE,IF(ISERROR('Model inputs'!P32&lt;1),'Model inputs'!P32&lt;1,IF('Model inputs'!P32="","",'Model inputs'!P32&lt;1))),0,IF(IF(IF(ISERROR('Model inputs'!P32=1),'Model inputs'!P32=1,IF('Model inputs'!P32="","",'Model inputs'!P32=1))="",FALSE,IF(ISERROR('Model inputs'!P32=1),'Model inputs'!P32=1,IF('Model inputs'!P32="","",'Model inputs'!P32=1))),IF('Model inputs'!B241="","",'Model inputs'!B241),'Model inputs'!O183*(1+IF(IF(IF(IF(ISERROR('Model inputs'!P32&lt;=8),'Model inputs'!P32&lt;=8,IF('Model inputs'!P32="","",'Model inputs'!P32&lt;=8))="",FALSE,IF(ISERROR('Model inputs'!P32&lt;=8),'Model inputs'!P32&lt;=8,IF('Model inputs'!P32="","",'Model inputs'!P32&lt;=8))),IF('Model inputs'!B227="","",'Model inputs'!B227),IF('Model inputs'!B223="","",'Model inputs'!B223))="",0,IF(IF(IF(ISERROR('Model inputs'!P32&lt;=8),'Model inputs'!P32&lt;=8,IF('Model inputs'!P32="","",'Model inputs'!P32&lt;=8))="",FALSE,IF(ISERROR('Model inputs'!P32&lt;=8),'Model inputs'!P32&lt;=8,IF('Model inputs'!P32="","",'Model inputs'!P32&lt;=8))),IF('Model inputs'!B227="","",'Model inputs'!B227),IF('Model inputs'!B223="","",'Model inputs'!B223))))))</f>
        <v>48.19548055691018</v>
      </c>
      <c r="Q183" s="13">
        <f>IF(IF(IF(ISERROR('Model inputs'!Q32&lt;1),'Model inputs'!Q32&lt;1,IF('Model inputs'!Q32="","",'Model inputs'!Q32&lt;1))="",FALSE,IF(ISERROR('Model inputs'!Q32&lt;1),'Model inputs'!Q32&lt;1,IF('Model inputs'!Q32="","",'Model inputs'!Q32&lt;1))),0,IF(IF(IF(ISERROR('Model inputs'!Q32=1),'Model inputs'!Q32=1,IF('Model inputs'!Q32="","",'Model inputs'!Q32=1))="",FALSE,IF(ISERROR('Model inputs'!Q32=1),'Model inputs'!Q32=1,IF('Model inputs'!Q32="","",'Model inputs'!Q32=1))),IF('Model inputs'!B241="","",'Model inputs'!B241),'Model inputs'!P183*(1+IF(IF(IF(IF(ISERROR('Model inputs'!Q32&lt;=8),'Model inputs'!Q32&lt;=8,IF('Model inputs'!Q32="","",'Model inputs'!Q32&lt;=8))="",FALSE,IF(ISERROR('Model inputs'!Q32&lt;=8),'Model inputs'!Q32&lt;=8,IF('Model inputs'!Q32="","",'Model inputs'!Q32&lt;=8))),IF('Model inputs'!B227="","",'Model inputs'!B227),IF('Model inputs'!B223="","",'Model inputs'!B223))="",0,IF(IF(IF(ISERROR('Model inputs'!Q32&lt;=8),'Model inputs'!Q32&lt;=8,IF('Model inputs'!Q32="","",'Model inputs'!Q32&lt;=8))="",FALSE,IF(ISERROR('Model inputs'!Q32&lt;=8),'Model inputs'!Q32&lt;=8,IF('Model inputs'!Q32="","",'Model inputs'!Q32&lt;=8))),IF('Model inputs'!B227="","",'Model inputs'!B227),IF('Model inputs'!B223="","",'Model inputs'!B223))))))</f>
        <v>50.12329977918659</v>
      </c>
      <c r="R183" s="13">
        <f>IF(IF(IF(ISERROR('Model inputs'!R32&lt;1),'Model inputs'!R32&lt;1,IF('Model inputs'!R32="","",'Model inputs'!R32&lt;1))="",FALSE,IF(ISERROR('Model inputs'!R32&lt;1),'Model inputs'!R32&lt;1,IF('Model inputs'!R32="","",'Model inputs'!R32&lt;1))),0,IF(IF(IF(ISERROR('Model inputs'!R32=1),'Model inputs'!R32=1,IF('Model inputs'!R32="","",'Model inputs'!R32=1))="",FALSE,IF(ISERROR('Model inputs'!R32=1),'Model inputs'!R32=1,IF('Model inputs'!R32="","",'Model inputs'!R32=1))),IF('Model inputs'!B241="","",'Model inputs'!B241),'Model inputs'!Q183*(1+IF(IF(IF(IF(ISERROR('Model inputs'!R32&lt;=8),'Model inputs'!R32&lt;=8,IF('Model inputs'!R32="","",'Model inputs'!R32&lt;=8))="",FALSE,IF(ISERROR('Model inputs'!R32&lt;=8),'Model inputs'!R32&lt;=8,IF('Model inputs'!R32="","",'Model inputs'!R32&lt;=8))),IF('Model inputs'!B227="","",'Model inputs'!B227),IF('Model inputs'!B223="","",'Model inputs'!B223))="",0,IF(IF(IF(ISERROR('Model inputs'!R32&lt;=8),'Model inputs'!R32&lt;=8,IF('Model inputs'!R32="","",'Model inputs'!R32&lt;=8))="",FALSE,IF(ISERROR('Model inputs'!R32&lt;=8),'Model inputs'!R32&lt;=8,IF('Model inputs'!R32="","",'Model inputs'!R32&lt;=8))),IF('Model inputs'!B227="","",'Model inputs'!B227),IF('Model inputs'!B223="","",'Model inputs'!B223))))))</f>
        <v>52.128231770354056</v>
      </c>
      <c r="S183" s="13">
        <f>IF(IF(IF(ISERROR('Model inputs'!S32&lt;1),'Model inputs'!S32&lt;1,IF('Model inputs'!S32="","",'Model inputs'!S32&lt;1))="",FALSE,IF(ISERROR('Model inputs'!S32&lt;1),'Model inputs'!S32&lt;1,IF('Model inputs'!S32="","",'Model inputs'!S32&lt;1))),0,IF(IF(IF(ISERROR('Model inputs'!S32=1),'Model inputs'!S32=1,IF('Model inputs'!S32="","",'Model inputs'!S32=1))="",FALSE,IF(ISERROR('Model inputs'!S32=1),'Model inputs'!S32=1,IF('Model inputs'!S32="","",'Model inputs'!S32=1))),IF('Model inputs'!B241="","",'Model inputs'!B241),'Model inputs'!R183*(1+IF(IF(IF(IF(ISERROR('Model inputs'!S32&lt;=8),'Model inputs'!S32&lt;=8,IF('Model inputs'!S32="","",'Model inputs'!S32&lt;=8))="",FALSE,IF(ISERROR('Model inputs'!S32&lt;=8),'Model inputs'!S32&lt;=8,IF('Model inputs'!S32="","",'Model inputs'!S32&lt;=8))),IF('Model inputs'!B227="","",'Model inputs'!B227),IF('Model inputs'!B223="","",'Model inputs'!B223))="",0,IF(IF(IF(ISERROR('Model inputs'!S32&lt;=8),'Model inputs'!S32&lt;=8,IF('Model inputs'!S32="","",'Model inputs'!S32&lt;=8))="",FALSE,IF(ISERROR('Model inputs'!S32&lt;=8),'Model inputs'!S32&lt;=8,IF('Model inputs'!S32="","",'Model inputs'!S32&lt;=8))),IF('Model inputs'!B227="","",'Model inputs'!B227),IF('Model inputs'!B223="","",'Model inputs'!B223))))))</f>
        <v>54.21336104116822</v>
      </c>
      <c r="T183" s="13">
        <f>IF(IF(IF(ISERROR('Model inputs'!T32&lt;1),'Model inputs'!T32&lt;1,IF('Model inputs'!T32="","",'Model inputs'!T32&lt;1))="",FALSE,IF(ISERROR('Model inputs'!T32&lt;1),'Model inputs'!T32&lt;1,IF('Model inputs'!T32="","",'Model inputs'!T32&lt;1))),0,IF(IF(IF(ISERROR('Model inputs'!T32=1),'Model inputs'!T32=1,IF('Model inputs'!T32="","",'Model inputs'!T32=1))="",FALSE,IF(ISERROR('Model inputs'!T32=1),'Model inputs'!T32=1,IF('Model inputs'!T32="","",'Model inputs'!T32=1))),IF('Model inputs'!B241="","",'Model inputs'!B241),'Model inputs'!S183*(1+IF(IF(IF(IF(ISERROR('Model inputs'!T32&lt;=8),'Model inputs'!T32&lt;=8,IF('Model inputs'!T32="","",'Model inputs'!T32&lt;=8))="",FALSE,IF(ISERROR('Model inputs'!T32&lt;=8),'Model inputs'!T32&lt;=8,IF('Model inputs'!T32="","",'Model inputs'!T32&lt;=8))),IF('Model inputs'!B227="","",'Model inputs'!B227),IF('Model inputs'!B223="","",'Model inputs'!B223))="",0,IF(IF(IF(ISERROR('Model inputs'!T32&lt;=8),'Model inputs'!T32&lt;=8,IF('Model inputs'!T32="","",'Model inputs'!T32&lt;=8))="",FALSE,IF(ISERROR('Model inputs'!T32&lt;=8),'Model inputs'!T32&lt;=8,IF('Model inputs'!T32="","",'Model inputs'!T32&lt;=8))),IF('Model inputs'!B227="","",'Model inputs'!B227),IF('Model inputs'!B223="","",'Model inputs'!B223))))))</f>
        <v>56.38189548281495</v>
      </c>
      <c r="U183" s="13">
        <f>IF(IF(IF(ISERROR('Model inputs'!U32&lt;1),'Model inputs'!U32&lt;1,IF('Model inputs'!U32="","",'Model inputs'!U32&lt;1))="",FALSE,IF(ISERROR('Model inputs'!U32&lt;1),'Model inputs'!U32&lt;1,IF('Model inputs'!U32="","",'Model inputs'!U32&lt;1))),0,IF(IF(IF(ISERROR('Model inputs'!U32=1),'Model inputs'!U32=1,IF('Model inputs'!U32="","",'Model inputs'!U32=1))="",FALSE,IF(ISERROR('Model inputs'!U32=1),'Model inputs'!U32=1,IF('Model inputs'!U32="","",'Model inputs'!U32=1))),IF('Model inputs'!B241="","",'Model inputs'!B241),'Model inputs'!T183*(1+IF(IF(IF(IF(ISERROR('Model inputs'!U32&lt;=8),'Model inputs'!U32&lt;=8,IF('Model inputs'!U32="","",'Model inputs'!U32&lt;=8))="",FALSE,IF(ISERROR('Model inputs'!U32&lt;=8),'Model inputs'!U32&lt;=8,IF('Model inputs'!U32="","",'Model inputs'!U32&lt;=8))),IF('Model inputs'!B227="","",'Model inputs'!B227),IF('Model inputs'!B223="","",'Model inputs'!B223))="",0,IF(IF(IF(ISERROR('Model inputs'!U32&lt;=8),'Model inputs'!U32&lt;=8,IF('Model inputs'!U32="","",'Model inputs'!U32&lt;=8))="",FALSE,IF(ISERROR('Model inputs'!U32&lt;=8),'Model inputs'!U32&lt;=8,IF('Model inputs'!U32="","",'Model inputs'!U32&lt;=8))),IF('Model inputs'!B227="","",'Model inputs'!B227),IF('Model inputs'!B223="","",'Model inputs'!B223))))))</f>
        <v>58.63717130212755</v>
      </c>
      <c r="V183" s="13">
        <f>IF(IF(IF(ISERROR('Model inputs'!V32&lt;1),'Model inputs'!V32&lt;1,IF('Model inputs'!V32="","",'Model inputs'!V32&lt;1))="",FALSE,IF(ISERROR('Model inputs'!V32&lt;1),'Model inputs'!V32&lt;1,IF('Model inputs'!V32="","",'Model inputs'!V32&lt;1))),0,IF(IF(IF(ISERROR('Model inputs'!V32=1),'Model inputs'!V32=1,IF('Model inputs'!V32="","",'Model inputs'!V32=1))="",FALSE,IF(ISERROR('Model inputs'!V32=1),'Model inputs'!V32=1,IF('Model inputs'!V32="","",'Model inputs'!V32=1))),IF('Model inputs'!B241="","",'Model inputs'!B241),'Model inputs'!U183*(1+IF(IF(IF(IF(ISERROR('Model inputs'!V32&lt;=8),'Model inputs'!V32&lt;=8,IF('Model inputs'!V32="","",'Model inputs'!V32&lt;=8))="",FALSE,IF(ISERROR('Model inputs'!V32&lt;=8),'Model inputs'!V32&lt;=8,IF('Model inputs'!V32="","",'Model inputs'!V32&lt;=8))),IF('Model inputs'!B227="","",'Model inputs'!B227),IF('Model inputs'!B223="","",'Model inputs'!B223))="",0,IF(IF(IF(ISERROR('Model inputs'!V32&lt;=8),'Model inputs'!V32&lt;=8,IF('Model inputs'!V32="","",'Model inputs'!V32&lt;=8))="",FALSE,IF(ISERROR('Model inputs'!V32&lt;=8),'Model inputs'!V32&lt;=8,IF('Model inputs'!V32="","",'Model inputs'!V32&lt;=8))),IF('Model inputs'!B227="","",'Model inputs'!B227),IF('Model inputs'!B223="","",'Model inputs'!B223))))))</f>
        <v>60.98265815421265</v>
      </c>
    </row>
    <row r="184" outlineLevel="1">
      <c r="A184" t="inlineStr" s="18">
        <is>
          <t xml:space="preserve">Organic new logos &gt; Launch</t>
        </is>
      </c>
      <c r="C184" s="13">
        <f>IF(IF(IF(ISERROR('Model inputs'!C32&lt;1),'Model inputs'!C32&lt;1,IF('Model inputs'!C32="","",'Model inputs'!C32&lt;1))="",FALSE,IF(ISERROR('Model inputs'!C32&lt;1),'Model inputs'!C32&lt;1,IF('Model inputs'!C32="","",'Model inputs'!C32&lt;1))),0,IF(IF(IF(ISERROR('Model inputs'!C32=1),'Model inputs'!C32=1,IF('Model inputs'!C32="","",'Model inputs'!C32=1))="",FALSE,IF(ISERROR('Model inputs'!C32=1),'Model inputs'!C32=1,IF('Model inputs'!C32="","",'Model inputs'!C32=1))),IF('Model inputs'!B242="","",'Model inputs'!B242),'Model inputs'!AG263*(1+IF(IF(IF(IF(ISERROR('Model inputs'!C32&lt;=8),'Model inputs'!C32&lt;=8,IF('Model inputs'!C32="","",'Model inputs'!C32&lt;=8))="",FALSE,IF(ISERROR('Model inputs'!C32&lt;=8),'Model inputs'!C32&lt;=8,IF('Model inputs'!C32="","",'Model inputs'!C32&lt;=8))),IF('Model inputs'!B228="","",'Model inputs'!B228),IF('Model inputs'!B224="","",'Model inputs'!B224))="",0,IF(IF(IF(ISERROR('Model inputs'!C32&lt;=8),'Model inputs'!C32&lt;=8,IF('Model inputs'!C32="","",'Model inputs'!C32&lt;=8))="",FALSE,IF(ISERROR('Model inputs'!C32&lt;=8),'Model inputs'!C32&lt;=8,IF('Model inputs'!C32="","",'Model inputs'!C32&lt;=8))),IF('Model inputs'!B228="","",'Model inputs'!B228),IF('Model inputs'!B224="","",'Model inputs'!B224))))))</f>
        <v>0</v>
      </c>
      <c r="D184" s="13">
        <f>IF(IF(IF(ISERROR('Model inputs'!D32&lt;1),'Model inputs'!D32&lt;1,IF('Model inputs'!D32="","",'Model inputs'!D32&lt;1))="",FALSE,IF(ISERROR('Model inputs'!D32&lt;1),'Model inputs'!D32&lt;1,IF('Model inputs'!D32="","",'Model inputs'!D32&lt;1))),0,IF(IF(IF(ISERROR('Model inputs'!D32=1),'Model inputs'!D32=1,IF('Model inputs'!D32="","",'Model inputs'!D32=1))="",FALSE,IF(ISERROR('Model inputs'!D32=1),'Model inputs'!D32=1,IF('Model inputs'!D32="","",'Model inputs'!D32=1))),IF('Model inputs'!B242="","",'Model inputs'!B242),'Model inputs'!C184*(1+IF(IF(IF(IF(ISERROR('Model inputs'!D32&lt;=8),'Model inputs'!D32&lt;=8,IF('Model inputs'!D32="","",'Model inputs'!D32&lt;=8))="",FALSE,IF(ISERROR('Model inputs'!D32&lt;=8),'Model inputs'!D32&lt;=8,IF('Model inputs'!D32="","",'Model inputs'!D32&lt;=8))),IF('Model inputs'!B228="","",'Model inputs'!B228),IF('Model inputs'!B224="","",'Model inputs'!B224))="",0,IF(IF(IF(ISERROR('Model inputs'!D32&lt;=8),'Model inputs'!D32&lt;=8,IF('Model inputs'!D32="","",'Model inputs'!D32&lt;=8))="",FALSE,IF(ISERROR('Model inputs'!D32&lt;=8),'Model inputs'!D32&lt;=8,IF('Model inputs'!D32="","",'Model inputs'!D32&lt;=8))),IF('Model inputs'!B228="","",'Model inputs'!B228),IF('Model inputs'!B224="","",'Model inputs'!B224))))))</f>
        <v>0</v>
      </c>
      <c r="E184" s="13">
        <f>IF(IF(IF(ISERROR('Model inputs'!E32&lt;1),'Model inputs'!E32&lt;1,IF('Model inputs'!E32="","",'Model inputs'!E32&lt;1))="",FALSE,IF(ISERROR('Model inputs'!E32&lt;1),'Model inputs'!E32&lt;1,IF('Model inputs'!E32="","",'Model inputs'!E32&lt;1))),0,IF(IF(IF(ISERROR('Model inputs'!E32=1),'Model inputs'!E32=1,IF('Model inputs'!E32="","",'Model inputs'!E32=1))="",FALSE,IF(ISERROR('Model inputs'!E32=1),'Model inputs'!E32=1,IF('Model inputs'!E32="","",'Model inputs'!E32=1))),IF('Model inputs'!B242="","",'Model inputs'!B242),'Model inputs'!D184*(1+IF(IF(IF(IF(ISERROR('Model inputs'!E32&lt;=8),'Model inputs'!E32&lt;=8,IF('Model inputs'!E32="","",'Model inputs'!E32&lt;=8))="",FALSE,IF(ISERROR('Model inputs'!E32&lt;=8),'Model inputs'!E32&lt;=8,IF('Model inputs'!E32="","",'Model inputs'!E32&lt;=8))),IF('Model inputs'!B228="","",'Model inputs'!B228),IF('Model inputs'!B224="","",'Model inputs'!B224))="",0,IF(IF(IF(ISERROR('Model inputs'!E32&lt;=8),'Model inputs'!E32&lt;=8,IF('Model inputs'!E32="","",'Model inputs'!E32&lt;=8))="",FALSE,IF(ISERROR('Model inputs'!E32&lt;=8),'Model inputs'!E32&lt;=8,IF('Model inputs'!E32="","",'Model inputs'!E32&lt;=8))),IF('Model inputs'!B228="","",'Model inputs'!B228),IF('Model inputs'!B224="","",'Model inputs'!B224))))))</f>
        <v>0</v>
      </c>
      <c r="F184" s="13">
        <f>IF(IF(IF(ISERROR('Model inputs'!F32&lt;1),'Model inputs'!F32&lt;1,IF('Model inputs'!F32="","",'Model inputs'!F32&lt;1))="",FALSE,IF(ISERROR('Model inputs'!F32&lt;1),'Model inputs'!F32&lt;1,IF('Model inputs'!F32="","",'Model inputs'!F32&lt;1))),0,IF(IF(IF(ISERROR('Model inputs'!F32=1),'Model inputs'!F32=1,IF('Model inputs'!F32="","",'Model inputs'!F32=1))="",FALSE,IF(ISERROR('Model inputs'!F32=1),'Model inputs'!F32=1,IF('Model inputs'!F32="","",'Model inputs'!F32=1))),IF('Model inputs'!B242="","",'Model inputs'!B242),'Model inputs'!E184*(1+IF(IF(IF(IF(ISERROR('Model inputs'!F32&lt;=8),'Model inputs'!F32&lt;=8,IF('Model inputs'!F32="","",'Model inputs'!F32&lt;=8))="",FALSE,IF(ISERROR('Model inputs'!F32&lt;=8),'Model inputs'!F32&lt;=8,IF('Model inputs'!F32="","",'Model inputs'!F32&lt;=8))),IF('Model inputs'!B228="","",'Model inputs'!B228),IF('Model inputs'!B224="","",'Model inputs'!B224))="",0,IF(IF(IF(ISERROR('Model inputs'!F32&lt;=8),'Model inputs'!F32&lt;=8,IF('Model inputs'!F32="","",'Model inputs'!F32&lt;=8))="",FALSE,IF(ISERROR('Model inputs'!F32&lt;=8),'Model inputs'!F32&lt;=8,IF('Model inputs'!F32="","",'Model inputs'!F32&lt;=8))),IF('Model inputs'!B228="","",'Model inputs'!B228),IF('Model inputs'!B224="","",'Model inputs'!B224))))))</f>
        <v>0.5</v>
      </c>
      <c r="G184" s="13">
        <f>IF(IF(IF(ISERROR('Model inputs'!G32&lt;1),'Model inputs'!G32&lt;1,IF('Model inputs'!G32="","",'Model inputs'!G32&lt;1))="",FALSE,IF(ISERROR('Model inputs'!G32&lt;1),'Model inputs'!G32&lt;1,IF('Model inputs'!G32="","",'Model inputs'!G32&lt;1))),0,IF(IF(IF(ISERROR('Model inputs'!G32=1),'Model inputs'!G32=1,IF('Model inputs'!G32="","",'Model inputs'!G32=1))="",FALSE,IF(ISERROR('Model inputs'!G32=1),'Model inputs'!G32=1,IF('Model inputs'!G32="","",'Model inputs'!G32=1))),IF('Model inputs'!B242="","",'Model inputs'!B242),'Model inputs'!F184*(1+IF(IF(IF(IF(ISERROR('Model inputs'!G32&lt;=8),'Model inputs'!G32&lt;=8,IF('Model inputs'!G32="","",'Model inputs'!G32&lt;=8))="",FALSE,IF(ISERROR('Model inputs'!G32&lt;=8),'Model inputs'!G32&lt;=8,IF('Model inputs'!G32="","",'Model inputs'!G32&lt;=8))),IF('Model inputs'!B228="","",'Model inputs'!B228),IF('Model inputs'!B224="","",'Model inputs'!B224))="",0,IF(IF(IF(ISERROR('Model inputs'!G32&lt;=8),'Model inputs'!G32&lt;=8,IF('Model inputs'!G32="","",'Model inputs'!G32&lt;=8))="",FALSE,IF(ISERROR('Model inputs'!G32&lt;=8),'Model inputs'!G32&lt;=8,IF('Model inputs'!G32="","",'Model inputs'!G32&lt;=8))),IF('Model inputs'!B228="","",'Model inputs'!B228),IF('Model inputs'!B224="","",'Model inputs'!B224))))))</f>
        <v>0.5</v>
      </c>
      <c r="H184" s="13">
        <f>IF(IF(IF(ISERROR('Model inputs'!H32&lt;1),'Model inputs'!H32&lt;1,IF('Model inputs'!H32="","",'Model inputs'!H32&lt;1))="",FALSE,IF(ISERROR('Model inputs'!H32&lt;1),'Model inputs'!H32&lt;1,IF('Model inputs'!H32="","",'Model inputs'!H32&lt;1))),0,IF(IF(IF(ISERROR('Model inputs'!H32=1),'Model inputs'!H32=1,IF('Model inputs'!H32="","",'Model inputs'!H32=1))="",FALSE,IF(ISERROR('Model inputs'!H32=1),'Model inputs'!H32=1,IF('Model inputs'!H32="","",'Model inputs'!H32=1))),IF('Model inputs'!B242="","",'Model inputs'!B242),'Model inputs'!G184*(1+IF(IF(IF(IF(ISERROR('Model inputs'!H32&lt;=8),'Model inputs'!H32&lt;=8,IF('Model inputs'!H32="","",'Model inputs'!H32&lt;=8))="",FALSE,IF(ISERROR('Model inputs'!H32&lt;=8),'Model inputs'!H32&lt;=8,IF('Model inputs'!H32="","",'Model inputs'!H32&lt;=8))),IF('Model inputs'!B228="","",'Model inputs'!B228),IF('Model inputs'!B224="","",'Model inputs'!B224))="",0,IF(IF(IF(ISERROR('Model inputs'!H32&lt;=8),'Model inputs'!H32&lt;=8,IF('Model inputs'!H32="","",'Model inputs'!H32&lt;=8))="",FALSE,IF(ISERROR('Model inputs'!H32&lt;=8),'Model inputs'!H32&lt;=8,IF('Model inputs'!H32="","",'Model inputs'!H32&lt;=8))),IF('Model inputs'!B228="","",'Model inputs'!B228),IF('Model inputs'!B224="","",'Model inputs'!B224))))))</f>
        <v>0.5</v>
      </c>
      <c r="I184" s="13">
        <f>IF(IF(IF(ISERROR('Model inputs'!I32&lt;1),'Model inputs'!I32&lt;1,IF('Model inputs'!I32="","",'Model inputs'!I32&lt;1))="",FALSE,IF(ISERROR('Model inputs'!I32&lt;1),'Model inputs'!I32&lt;1,IF('Model inputs'!I32="","",'Model inputs'!I32&lt;1))),0,IF(IF(IF(ISERROR('Model inputs'!I32=1),'Model inputs'!I32=1,IF('Model inputs'!I32="","",'Model inputs'!I32=1))="",FALSE,IF(ISERROR('Model inputs'!I32=1),'Model inputs'!I32=1,IF('Model inputs'!I32="","",'Model inputs'!I32=1))),IF('Model inputs'!B242="","",'Model inputs'!B242),'Model inputs'!H184*(1+IF(IF(IF(IF(ISERROR('Model inputs'!I32&lt;=8),'Model inputs'!I32&lt;=8,IF('Model inputs'!I32="","",'Model inputs'!I32&lt;=8))="",FALSE,IF(ISERROR('Model inputs'!I32&lt;=8),'Model inputs'!I32&lt;=8,IF('Model inputs'!I32="","",'Model inputs'!I32&lt;=8))),IF('Model inputs'!B228="","",'Model inputs'!B228),IF('Model inputs'!B224="","",'Model inputs'!B224))="",0,IF(IF(IF(ISERROR('Model inputs'!I32&lt;=8),'Model inputs'!I32&lt;=8,IF('Model inputs'!I32="","",'Model inputs'!I32&lt;=8))="",FALSE,IF(ISERROR('Model inputs'!I32&lt;=8),'Model inputs'!I32&lt;=8,IF('Model inputs'!I32="","",'Model inputs'!I32&lt;=8))),IF('Model inputs'!B228="","",'Model inputs'!B228),IF('Model inputs'!B224="","",'Model inputs'!B224))))))</f>
        <v>0.5</v>
      </c>
      <c r="J184" s="13">
        <f>IF(IF(IF(ISERROR('Model inputs'!J32&lt;1),'Model inputs'!J32&lt;1,IF('Model inputs'!J32="","",'Model inputs'!J32&lt;1))="",FALSE,IF(ISERROR('Model inputs'!J32&lt;1),'Model inputs'!J32&lt;1,IF('Model inputs'!J32="","",'Model inputs'!J32&lt;1))),0,IF(IF(IF(ISERROR('Model inputs'!J32=1),'Model inputs'!J32=1,IF('Model inputs'!J32="","",'Model inputs'!J32=1))="",FALSE,IF(ISERROR('Model inputs'!J32=1),'Model inputs'!J32=1,IF('Model inputs'!J32="","",'Model inputs'!J32=1))),IF('Model inputs'!B242="","",'Model inputs'!B242),'Model inputs'!I184*(1+IF(IF(IF(IF(ISERROR('Model inputs'!J32&lt;=8),'Model inputs'!J32&lt;=8,IF('Model inputs'!J32="","",'Model inputs'!J32&lt;=8))="",FALSE,IF(ISERROR('Model inputs'!J32&lt;=8),'Model inputs'!J32&lt;=8,IF('Model inputs'!J32="","",'Model inputs'!J32&lt;=8))),IF('Model inputs'!B228="","",'Model inputs'!B228),IF('Model inputs'!B224="","",'Model inputs'!B224))="",0,IF(IF(IF(ISERROR('Model inputs'!J32&lt;=8),'Model inputs'!J32&lt;=8,IF('Model inputs'!J32="","",'Model inputs'!J32&lt;=8))="",FALSE,IF(ISERROR('Model inputs'!J32&lt;=8),'Model inputs'!J32&lt;=8,IF('Model inputs'!J32="","",'Model inputs'!J32&lt;=8))),IF('Model inputs'!B228="","",'Model inputs'!B228),IF('Model inputs'!B224="","",'Model inputs'!B224))))))</f>
        <v>0.5</v>
      </c>
      <c r="K184" s="13">
        <f>IF(IF(IF(ISERROR('Model inputs'!K32&lt;1),'Model inputs'!K32&lt;1,IF('Model inputs'!K32="","",'Model inputs'!K32&lt;1))="",FALSE,IF(ISERROR('Model inputs'!K32&lt;1),'Model inputs'!K32&lt;1,IF('Model inputs'!K32="","",'Model inputs'!K32&lt;1))),0,IF(IF(IF(ISERROR('Model inputs'!K32=1),'Model inputs'!K32=1,IF('Model inputs'!K32="","",'Model inputs'!K32=1))="",FALSE,IF(ISERROR('Model inputs'!K32=1),'Model inputs'!K32=1,IF('Model inputs'!K32="","",'Model inputs'!K32=1))),IF('Model inputs'!B242="","",'Model inputs'!B242),'Model inputs'!J184*(1+IF(IF(IF(IF(ISERROR('Model inputs'!K32&lt;=8),'Model inputs'!K32&lt;=8,IF('Model inputs'!K32="","",'Model inputs'!K32&lt;=8))="",FALSE,IF(ISERROR('Model inputs'!K32&lt;=8),'Model inputs'!K32&lt;=8,IF('Model inputs'!K32="","",'Model inputs'!K32&lt;=8))),IF('Model inputs'!B228="","",'Model inputs'!B228),IF('Model inputs'!B224="","",'Model inputs'!B224))="",0,IF(IF(IF(ISERROR('Model inputs'!K32&lt;=8),'Model inputs'!K32&lt;=8,IF('Model inputs'!K32="","",'Model inputs'!K32&lt;=8))="",FALSE,IF(ISERROR('Model inputs'!K32&lt;=8),'Model inputs'!K32&lt;=8,IF('Model inputs'!K32="","",'Model inputs'!K32&lt;=8))),IF('Model inputs'!B228="","",'Model inputs'!B228),IF('Model inputs'!B224="","",'Model inputs'!B224))))))</f>
        <v>0.5</v>
      </c>
      <c r="L184" s="13">
        <f>IF(IF(IF(ISERROR('Model inputs'!L32&lt;1),'Model inputs'!L32&lt;1,IF('Model inputs'!L32="","",'Model inputs'!L32&lt;1))="",FALSE,IF(ISERROR('Model inputs'!L32&lt;1),'Model inputs'!L32&lt;1,IF('Model inputs'!L32="","",'Model inputs'!L32&lt;1))),0,IF(IF(IF(ISERROR('Model inputs'!L32=1),'Model inputs'!L32=1,IF('Model inputs'!L32="","",'Model inputs'!L32=1))="",FALSE,IF(ISERROR('Model inputs'!L32=1),'Model inputs'!L32=1,IF('Model inputs'!L32="","",'Model inputs'!L32=1))),IF('Model inputs'!B242="","",'Model inputs'!B242),'Model inputs'!K184*(1+IF(IF(IF(IF(ISERROR('Model inputs'!L32&lt;=8),'Model inputs'!L32&lt;=8,IF('Model inputs'!L32="","",'Model inputs'!L32&lt;=8))="",FALSE,IF(ISERROR('Model inputs'!L32&lt;=8),'Model inputs'!L32&lt;=8,IF('Model inputs'!L32="","",'Model inputs'!L32&lt;=8))),IF('Model inputs'!B228="","",'Model inputs'!B228),IF('Model inputs'!B224="","",'Model inputs'!B224))="",0,IF(IF(IF(ISERROR('Model inputs'!L32&lt;=8),'Model inputs'!L32&lt;=8,IF('Model inputs'!L32="","",'Model inputs'!L32&lt;=8))="",FALSE,IF(ISERROR('Model inputs'!L32&lt;=8),'Model inputs'!L32&lt;=8,IF('Model inputs'!L32="","",'Model inputs'!L32&lt;=8))),IF('Model inputs'!B228="","",'Model inputs'!B228),IF('Model inputs'!B224="","",'Model inputs'!B224))))))</f>
        <v>0.5</v>
      </c>
      <c r="M184" s="13">
        <f>IF(IF(IF(ISERROR('Model inputs'!M32&lt;1),'Model inputs'!M32&lt;1,IF('Model inputs'!M32="","",'Model inputs'!M32&lt;1))="",FALSE,IF(ISERROR('Model inputs'!M32&lt;1),'Model inputs'!M32&lt;1,IF('Model inputs'!M32="","",'Model inputs'!M32&lt;1))),0,IF(IF(IF(ISERROR('Model inputs'!M32=1),'Model inputs'!M32=1,IF('Model inputs'!M32="","",'Model inputs'!M32=1))="",FALSE,IF(ISERROR('Model inputs'!M32=1),'Model inputs'!M32=1,IF('Model inputs'!M32="","",'Model inputs'!M32=1))),IF('Model inputs'!B242="","",'Model inputs'!B242),'Model inputs'!L184*(1+IF(IF(IF(IF(ISERROR('Model inputs'!M32&lt;=8),'Model inputs'!M32&lt;=8,IF('Model inputs'!M32="","",'Model inputs'!M32&lt;=8))="",FALSE,IF(ISERROR('Model inputs'!M32&lt;=8),'Model inputs'!M32&lt;=8,IF('Model inputs'!M32="","",'Model inputs'!M32&lt;=8))),IF('Model inputs'!B228="","",'Model inputs'!B228),IF('Model inputs'!B224="","",'Model inputs'!B224))="",0,IF(IF(IF(ISERROR('Model inputs'!M32&lt;=8),'Model inputs'!M32&lt;=8,IF('Model inputs'!M32="","",'Model inputs'!M32&lt;=8))="",FALSE,IF(ISERROR('Model inputs'!M32&lt;=8),'Model inputs'!M32&lt;=8,IF('Model inputs'!M32="","",'Model inputs'!M32&lt;=8))),IF('Model inputs'!B228="","",'Model inputs'!B228),IF('Model inputs'!B224="","",'Model inputs'!B224))))))</f>
        <v>0.5</v>
      </c>
      <c r="N184" s="13">
        <f>IF(IF(IF(ISERROR('Model inputs'!N32&lt;1),'Model inputs'!N32&lt;1,IF('Model inputs'!N32="","",'Model inputs'!N32&lt;1))="",FALSE,IF(ISERROR('Model inputs'!N32&lt;1),'Model inputs'!N32&lt;1,IF('Model inputs'!N32="","",'Model inputs'!N32&lt;1))),0,IF(IF(IF(ISERROR('Model inputs'!N32=1),'Model inputs'!N32=1,IF('Model inputs'!N32="","",'Model inputs'!N32=1))="",FALSE,IF(ISERROR('Model inputs'!N32=1),'Model inputs'!N32=1,IF('Model inputs'!N32="","",'Model inputs'!N32=1))),IF('Model inputs'!B242="","",'Model inputs'!B242),'Model inputs'!M184*(1+IF(IF(IF(IF(ISERROR('Model inputs'!N32&lt;=8),'Model inputs'!N32&lt;=8,IF('Model inputs'!N32="","",'Model inputs'!N32&lt;=8))="",FALSE,IF(ISERROR('Model inputs'!N32&lt;=8),'Model inputs'!N32&lt;=8,IF('Model inputs'!N32="","",'Model inputs'!N32&lt;=8))),IF('Model inputs'!B228="","",'Model inputs'!B228),IF('Model inputs'!B224="","",'Model inputs'!B224))="",0,IF(IF(IF(ISERROR('Model inputs'!N32&lt;=8),'Model inputs'!N32&lt;=8,IF('Model inputs'!N32="","",'Model inputs'!N32&lt;=8))="",FALSE,IF(ISERROR('Model inputs'!N32&lt;=8),'Model inputs'!N32&lt;=8,IF('Model inputs'!N32="","",'Model inputs'!N32&lt;=8))),IF('Model inputs'!B228="","",'Model inputs'!B228),IF('Model inputs'!B224="","",'Model inputs'!B224))))))</f>
        <v>0.5</v>
      </c>
      <c r="O184" s="13">
        <f>IF(IF(IF(ISERROR('Model inputs'!O32&lt;1),'Model inputs'!O32&lt;1,IF('Model inputs'!O32="","",'Model inputs'!O32&lt;1))="",FALSE,IF(ISERROR('Model inputs'!O32&lt;1),'Model inputs'!O32&lt;1,IF('Model inputs'!O32="","",'Model inputs'!O32&lt;1))),0,IF(IF(IF(ISERROR('Model inputs'!O32=1),'Model inputs'!O32=1,IF('Model inputs'!O32="","",'Model inputs'!O32=1))="",FALSE,IF(ISERROR('Model inputs'!O32=1),'Model inputs'!O32=1,IF('Model inputs'!O32="","",'Model inputs'!O32=1))),IF('Model inputs'!B242="","",'Model inputs'!B242),'Model inputs'!N184*(1+IF(IF(IF(IF(ISERROR('Model inputs'!O32&lt;=8),'Model inputs'!O32&lt;=8,IF('Model inputs'!O32="","",'Model inputs'!O32&lt;=8))="",FALSE,IF(ISERROR('Model inputs'!O32&lt;=8),'Model inputs'!O32&lt;=8,IF('Model inputs'!O32="","",'Model inputs'!O32&lt;=8))),IF('Model inputs'!B228="","",'Model inputs'!B228),IF('Model inputs'!B224="","",'Model inputs'!B224))="",0,IF(IF(IF(ISERROR('Model inputs'!O32&lt;=8),'Model inputs'!O32&lt;=8,IF('Model inputs'!O32="","",'Model inputs'!O32&lt;=8))="",FALSE,IF(ISERROR('Model inputs'!O32&lt;=8),'Model inputs'!O32&lt;=8,IF('Model inputs'!O32="","",'Model inputs'!O32&lt;=8))),IF('Model inputs'!B228="","",'Model inputs'!B228),IF('Model inputs'!B224="","",'Model inputs'!B224))))))</f>
        <v>0.5</v>
      </c>
      <c r="P184" s="13">
        <f>IF(IF(IF(ISERROR('Model inputs'!P32&lt;1),'Model inputs'!P32&lt;1,IF('Model inputs'!P32="","",'Model inputs'!P32&lt;1))="",FALSE,IF(ISERROR('Model inputs'!P32&lt;1),'Model inputs'!P32&lt;1,IF('Model inputs'!P32="","",'Model inputs'!P32&lt;1))),0,IF(IF(IF(ISERROR('Model inputs'!P32=1),'Model inputs'!P32=1,IF('Model inputs'!P32="","",'Model inputs'!P32=1))="",FALSE,IF(ISERROR('Model inputs'!P32=1),'Model inputs'!P32=1,IF('Model inputs'!P32="","",'Model inputs'!P32=1))),IF('Model inputs'!B242="","",'Model inputs'!B242),'Model inputs'!O184*(1+IF(IF(IF(IF(ISERROR('Model inputs'!P32&lt;=8),'Model inputs'!P32&lt;=8,IF('Model inputs'!P32="","",'Model inputs'!P32&lt;=8))="",FALSE,IF(ISERROR('Model inputs'!P32&lt;=8),'Model inputs'!P32&lt;=8,IF('Model inputs'!P32="","",'Model inputs'!P32&lt;=8))),IF('Model inputs'!B228="","",'Model inputs'!B228),IF('Model inputs'!B224="","",'Model inputs'!B224))="",0,IF(IF(IF(ISERROR('Model inputs'!P32&lt;=8),'Model inputs'!P32&lt;=8,IF('Model inputs'!P32="","",'Model inputs'!P32&lt;=8))="",FALSE,IF(ISERROR('Model inputs'!P32&lt;=8),'Model inputs'!P32&lt;=8,IF('Model inputs'!P32="","",'Model inputs'!P32&lt;=8))),IF('Model inputs'!B228="","",'Model inputs'!B228),IF('Model inputs'!B224="","",'Model inputs'!B224))))))</f>
        <v>0.5</v>
      </c>
      <c r="Q184" s="13">
        <f>IF(IF(IF(ISERROR('Model inputs'!Q32&lt;1),'Model inputs'!Q32&lt;1,IF('Model inputs'!Q32="","",'Model inputs'!Q32&lt;1))="",FALSE,IF(ISERROR('Model inputs'!Q32&lt;1),'Model inputs'!Q32&lt;1,IF('Model inputs'!Q32="","",'Model inputs'!Q32&lt;1))),0,IF(IF(IF(ISERROR('Model inputs'!Q32=1),'Model inputs'!Q32=1,IF('Model inputs'!Q32="","",'Model inputs'!Q32=1))="",FALSE,IF(ISERROR('Model inputs'!Q32=1),'Model inputs'!Q32=1,IF('Model inputs'!Q32="","",'Model inputs'!Q32=1))),IF('Model inputs'!B242="","",'Model inputs'!B242),'Model inputs'!P184*(1+IF(IF(IF(IF(ISERROR('Model inputs'!Q32&lt;=8),'Model inputs'!Q32&lt;=8,IF('Model inputs'!Q32="","",'Model inputs'!Q32&lt;=8))="",FALSE,IF(ISERROR('Model inputs'!Q32&lt;=8),'Model inputs'!Q32&lt;=8,IF('Model inputs'!Q32="","",'Model inputs'!Q32&lt;=8))),IF('Model inputs'!B228="","",'Model inputs'!B228),IF('Model inputs'!B224="","",'Model inputs'!B224))="",0,IF(IF(IF(ISERROR('Model inputs'!Q32&lt;=8),'Model inputs'!Q32&lt;=8,IF('Model inputs'!Q32="","",'Model inputs'!Q32&lt;=8))="",FALSE,IF(ISERROR('Model inputs'!Q32&lt;=8),'Model inputs'!Q32&lt;=8,IF('Model inputs'!Q32="","",'Model inputs'!Q32&lt;=8))),IF('Model inputs'!B228="","",'Model inputs'!B228),IF('Model inputs'!B224="","",'Model inputs'!B224))))))</f>
        <v>0.5</v>
      </c>
      <c r="R184" s="13">
        <f>IF(IF(IF(ISERROR('Model inputs'!R32&lt;1),'Model inputs'!R32&lt;1,IF('Model inputs'!R32="","",'Model inputs'!R32&lt;1))="",FALSE,IF(ISERROR('Model inputs'!R32&lt;1),'Model inputs'!R32&lt;1,IF('Model inputs'!R32="","",'Model inputs'!R32&lt;1))),0,IF(IF(IF(ISERROR('Model inputs'!R32=1),'Model inputs'!R32=1,IF('Model inputs'!R32="","",'Model inputs'!R32=1))="",FALSE,IF(ISERROR('Model inputs'!R32=1),'Model inputs'!R32=1,IF('Model inputs'!R32="","",'Model inputs'!R32=1))),IF('Model inputs'!B242="","",'Model inputs'!B242),'Model inputs'!Q184*(1+IF(IF(IF(IF(ISERROR('Model inputs'!R32&lt;=8),'Model inputs'!R32&lt;=8,IF('Model inputs'!R32="","",'Model inputs'!R32&lt;=8))="",FALSE,IF(ISERROR('Model inputs'!R32&lt;=8),'Model inputs'!R32&lt;=8,IF('Model inputs'!R32="","",'Model inputs'!R32&lt;=8))),IF('Model inputs'!B228="","",'Model inputs'!B228),IF('Model inputs'!B224="","",'Model inputs'!B224))="",0,IF(IF(IF(ISERROR('Model inputs'!R32&lt;=8),'Model inputs'!R32&lt;=8,IF('Model inputs'!R32="","",'Model inputs'!R32&lt;=8))="",FALSE,IF(ISERROR('Model inputs'!R32&lt;=8),'Model inputs'!R32&lt;=8,IF('Model inputs'!R32="","",'Model inputs'!R32&lt;=8))),IF('Model inputs'!B228="","",'Model inputs'!B228),IF('Model inputs'!B224="","",'Model inputs'!B224))))))</f>
        <v>0.5</v>
      </c>
      <c r="S184" s="13">
        <f>IF(IF(IF(ISERROR('Model inputs'!S32&lt;1),'Model inputs'!S32&lt;1,IF('Model inputs'!S32="","",'Model inputs'!S32&lt;1))="",FALSE,IF(ISERROR('Model inputs'!S32&lt;1),'Model inputs'!S32&lt;1,IF('Model inputs'!S32="","",'Model inputs'!S32&lt;1))),0,IF(IF(IF(ISERROR('Model inputs'!S32=1),'Model inputs'!S32=1,IF('Model inputs'!S32="","",'Model inputs'!S32=1))="",FALSE,IF(ISERROR('Model inputs'!S32=1),'Model inputs'!S32=1,IF('Model inputs'!S32="","",'Model inputs'!S32=1))),IF('Model inputs'!B242="","",'Model inputs'!B242),'Model inputs'!R184*(1+IF(IF(IF(IF(ISERROR('Model inputs'!S32&lt;=8),'Model inputs'!S32&lt;=8,IF('Model inputs'!S32="","",'Model inputs'!S32&lt;=8))="",FALSE,IF(ISERROR('Model inputs'!S32&lt;=8),'Model inputs'!S32&lt;=8,IF('Model inputs'!S32="","",'Model inputs'!S32&lt;=8))),IF('Model inputs'!B228="","",'Model inputs'!B228),IF('Model inputs'!B224="","",'Model inputs'!B224))="",0,IF(IF(IF(ISERROR('Model inputs'!S32&lt;=8),'Model inputs'!S32&lt;=8,IF('Model inputs'!S32="","",'Model inputs'!S32&lt;=8))="",FALSE,IF(ISERROR('Model inputs'!S32&lt;=8),'Model inputs'!S32&lt;=8,IF('Model inputs'!S32="","",'Model inputs'!S32&lt;=8))),IF('Model inputs'!B228="","",'Model inputs'!B228),IF('Model inputs'!B224="","",'Model inputs'!B224))))))</f>
        <v>0.5</v>
      </c>
      <c r="T184" s="13">
        <f>IF(IF(IF(ISERROR('Model inputs'!T32&lt;1),'Model inputs'!T32&lt;1,IF('Model inputs'!T32="","",'Model inputs'!T32&lt;1))="",FALSE,IF(ISERROR('Model inputs'!T32&lt;1),'Model inputs'!T32&lt;1,IF('Model inputs'!T32="","",'Model inputs'!T32&lt;1))),0,IF(IF(IF(ISERROR('Model inputs'!T32=1),'Model inputs'!T32=1,IF('Model inputs'!T32="","",'Model inputs'!T32=1))="",FALSE,IF(ISERROR('Model inputs'!T32=1),'Model inputs'!T32=1,IF('Model inputs'!T32="","",'Model inputs'!T32=1))),IF('Model inputs'!B242="","",'Model inputs'!B242),'Model inputs'!S184*(1+IF(IF(IF(IF(ISERROR('Model inputs'!T32&lt;=8),'Model inputs'!T32&lt;=8,IF('Model inputs'!T32="","",'Model inputs'!T32&lt;=8))="",FALSE,IF(ISERROR('Model inputs'!T32&lt;=8),'Model inputs'!T32&lt;=8,IF('Model inputs'!T32="","",'Model inputs'!T32&lt;=8))),IF('Model inputs'!B228="","",'Model inputs'!B228),IF('Model inputs'!B224="","",'Model inputs'!B224))="",0,IF(IF(IF(ISERROR('Model inputs'!T32&lt;=8),'Model inputs'!T32&lt;=8,IF('Model inputs'!T32="","",'Model inputs'!T32&lt;=8))="",FALSE,IF(ISERROR('Model inputs'!T32&lt;=8),'Model inputs'!T32&lt;=8,IF('Model inputs'!T32="","",'Model inputs'!T32&lt;=8))),IF('Model inputs'!B228="","",'Model inputs'!B228),IF('Model inputs'!B224="","",'Model inputs'!B224))))))</f>
        <v>0.5</v>
      </c>
      <c r="U184" s="13">
        <f>IF(IF(IF(ISERROR('Model inputs'!U32&lt;1),'Model inputs'!U32&lt;1,IF('Model inputs'!U32="","",'Model inputs'!U32&lt;1))="",FALSE,IF(ISERROR('Model inputs'!U32&lt;1),'Model inputs'!U32&lt;1,IF('Model inputs'!U32="","",'Model inputs'!U32&lt;1))),0,IF(IF(IF(ISERROR('Model inputs'!U32=1),'Model inputs'!U32=1,IF('Model inputs'!U32="","",'Model inputs'!U32=1))="",FALSE,IF(ISERROR('Model inputs'!U32=1),'Model inputs'!U32=1,IF('Model inputs'!U32="","",'Model inputs'!U32=1))),IF('Model inputs'!B242="","",'Model inputs'!B242),'Model inputs'!T184*(1+IF(IF(IF(IF(ISERROR('Model inputs'!U32&lt;=8),'Model inputs'!U32&lt;=8,IF('Model inputs'!U32="","",'Model inputs'!U32&lt;=8))="",FALSE,IF(ISERROR('Model inputs'!U32&lt;=8),'Model inputs'!U32&lt;=8,IF('Model inputs'!U32="","",'Model inputs'!U32&lt;=8))),IF('Model inputs'!B228="","",'Model inputs'!B228),IF('Model inputs'!B224="","",'Model inputs'!B224))="",0,IF(IF(IF(ISERROR('Model inputs'!U32&lt;=8),'Model inputs'!U32&lt;=8,IF('Model inputs'!U32="","",'Model inputs'!U32&lt;=8))="",FALSE,IF(ISERROR('Model inputs'!U32&lt;=8),'Model inputs'!U32&lt;=8,IF('Model inputs'!U32="","",'Model inputs'!U32&lt;=8))),IF('Model inputs'!B228="","",'Model inputs'!B228),IF('Model inputs'!B224="","",'Model inputs'!B224))))))</f>
        <v>0.5</v>
      </c>
      <c r="V184" s="13">
        <f>IF(IF(IF(ISERROR('Model inputs'!V32&lt;1),'Model inputs'!V32&lt;1,IF('Model inputs'!V32="","",'Model inputs'!V32&lt;1))="",FALSE,IF(ISERROR('Model inputs'!V32&lt;1),'Model inputs'!V32&lt;1,IF('Model inputs'!V32="","",'Model inputs'!V32&lt;1))),0,IF(IF(IF(ISERROR('Model inputs'!V32=1),'Model inputs'!V32=1,IF('Model inputs'!V32="","",'Model inputs'!V32=1))="",FALSE,IF(ISERROR('Model inputs'!V32=1),'Model inputs'!V32=1,IF('Model inputs'!V32="","",'Model inputs'!V32=1))),IF('Model inputs'!B242="","",'Model inputs'!B242),'Model inputs'!U184*(1+IF(IF(IF(IF(ISERROR('Model inputs'!V32&lt;=8),'Model inputs'!V32&lt;=8,IF('Model inputs'!V32="","",'Model inputs'!V32&lt;=8))="",FALSE,IF(ISERROR('Model inputs'!V32&lt;=8),'Model inputs'!V32&lt;=8,IF('Model inputs'!V32="","",'Model inputs'!V32&lt;=8))),IF('Model inputs'!B228="","",'Model inputs'!B228),IF('Model inputs'!B224="","",'Model inputs'!B224))="",0,IF(IF(IF(ISERROR('Model inputs'!V32&lt;=8),'Model inputs'!V32&lt;=8,IF('Model inputs'!V32="","",'Model inputs'!V32&lt;=8))="",FALSE,IF(ISERROR('Model inputs'!V32&lt;=8),'Model inputs'!V32&lt;=8,IF('Model inputs'!V32="","",'Model inputs'!V32&lt;=8))),IF('Model inputs'!B228="","",'Model inputs'!B228),IF('Model inputs'!B224="","",'Model inputs'!B224))))))</f>
        <v>0.5</v>
      </c>
    </row>
    <row r="185" outlineLevel="1">
      <c r="A185" t="inlineStr" s="18">
        <is>
          <t xml:space="preserve">Organic new logos &gt; Team</t>
        </is>
      </c>
      <c r="C185" s="13">
        <f>IF(IF(IF(ISERROR('Model inputs'!C32&lt;1),'Model inputs'!C32&lt;1,IF('Model inputs'!C32="","",'Model inputs'!C32&lt;1))="",FALSE,IF(ISERROR('Model inputs'!C32&lt;1),'Model inputs'!C32&lt;1,IF('Model inputs'!C32="","",'Model inputs'!C32&lt;1))),0,IF(IF(IF(ISERROR('Model inputs'!C32=1),'Model inputs'!C32=1,IF('Model inputs'!C32="","",'Model inputs'!C32=1))="",FALSE,IF(ISERROR('Model inputs'!C32=1),'Model inputs'!C32=1,IF('Model inputs'!C32="","",'Model inputs'!C32=1))),IF('Model inputs'!B243="","",'Model inputs'!B243),'Model inputs'!AG264*(1+IF(IF(IF(IF(ISERROR('Model inputs'!C32&lt;=8),'Model inputs'!C32&lt;=8,IF('Model inputs'!C32="","",'Model inputs'!C32&lt;=8))="",FALSE,IF(ISERROR('Model inputs'!C32&lt;=8),'Model inputs'!C32&lt;=8,IF('Model inputs'!C32="","",'Model inputs'!C32&lt;=8))),IF('Model inputs'!B229="","",'Model inputs'!B229),IF('Model inputs'!B225="","",'Model inputs'!B225))="",0,IF(IF(IF(ISERROR('Model inputs'!C32&lt;=8),'Model inputs'!C32&lt;=8,IF('Model inputs'!C32="","",'Model inputs'!C32&lt;=8))="",FALSE,IF(ISERROR('Model inputs'!C32&lt;=8),'Model inputs'!C32&lt;=8,IF('Model inputs'!C32="","",'Model inputs'!C32&lt;=8))),IF('Model inputs'!B229="","",'Model inputs'!B229),IF('Model inputs'!B225="","",'Model inputs'!B225))))))</f>
        <v>0</v>
      </c>
      <c r="D185" s="13">
        <f>IF(IF(IF(ISERROR('Model inputs'!D32&lt;1),'Model inputs'!D32&lt;1,IF('Model inputs'!D32="","",'Model inputs'!D32&lt;1))="",FALSE,IF(ISERROR('Model inputs'!D32&lt;1),'Model inputs'!D32&lt;1,IF('Model inputs'!D32="","",'Model inputs'!D32&lt;1))),0,IF(IF(IF(ISERROR('Model inputs'!D32=1),'Model inputs'!D32=1,IF('Model inputs'!D32="","",'Model inputs'!D32=1))="",FALSE,IF(ISERROR('Model inputs'!D32=1),'Model inputs'!D32=1,IF('Model inputs'!D32="","",'Model inputs'!D32=1))),IF('Model inputs'!B243="","",'Model inputs'!B243),'Model inputs'!C185*(1+IF(IF(IF(IF(ISERROR('Model inputs'!D32&lt;=8),'Model inputs'!D32&lt;=8,IF('Model inputs'!D32="","",'Model inputs'!D32&lt;=8))="",FALSE,IF(ISERROR('Model inputs'!D32&lt;=8),'Model inputs'!D32&lt;=8,IF('Model inputs'!D32="","",'Model inputs'!D32&lt;=8))),IF('Model inputs'!B229="","",'Model inputs'!B229),IF('Model inputs'!B225="","",'Model inputs'!B225))="",0,IF(IF(IF(ISERROR('Model inputs'!D32&lt;=8),'Model inputs'!D32&lt;=8,IF('Model inputs'!D32="","",'Model inputs'!D32&lt;=8))="",FALSE,IF(ISERROR('Model inputs'!D32&lt;=8),'Model inputs'!D32&lt;=8,IF('Model inputs'!D32="","",'Model inputs'!D32&lt;=8))),IF('Model inputs'!B229="","",'Model inputs'!B229),IF('Model inputs'!B225="","",'Model inputs'!B225))))))</f>
        <v>0</v>
      </c>
      <c r="E185" s="13">
        <f>IF(IF(IF(ISERROR('Model inputs'!E32&lt;1),'Model inputs'!E32&lt;1,IF('Model inputs'!E32="","",'Model inputs'!E32&lt;1))="",FALSE,IF(ISERROR('Model inputs'!E32&lt;1),'Model inputs'!E32&lt;1,IF('Model inputs'!E32="","",'Model inputs'!E32&lt;1))),0,IF(IF(IF(ISERROR('Model inputs'!E32=1),'Model inputs'!E32=1,IF('Model inputs'!E32="","",'Model inputs'!E32=1))="",FALSE,IF(ISERROR('Model inputs'!E32=1),'Model inputs'!E32=1,IF('Model inputs'!E32="","",'Model inputs'!E32=1))),IF('Model inputs'!B243="","",'Model inputs'!B243),'Model inputs'!D185*(1+IF(IF(IF(IF(ISERROR('Model inputs'!E32&lt;=8),'Model inputs'!E32&lt;=8,IF('Model inputs'!E32="","",'Model inputs'!E32&lt;=8))="",FALSE,IF(ISERROR('Model inputs'!E32&lt;=8),'Model inputs'!E32&lt;=8,IF('Model inputs'!E32="","",'Model inputs'!E32&lt;=8))),IF('Model inputs'!B229="","",'Model inputs'!B229),IF('Model inputs'!B225="","",'Model inputs'!B225))="",0,IF(IF(IF(ISERROR('Model inputs'!E32&lt;=8),'Model inputs'!E32&lt;=8,IF('Model inputs'!E32="","",'Model inputs'!E32&lt;=8))="",FALSE,IF(ISERROR('Model inputs'!E32&lt;=8),'Model inputs'!E32&lt;=8,IF('Model inputs'!E32="","",'Model inputs'!E32&lt;=8))),IF('Model inputs'!B229="","",'Model inputs'!B229),IF('Model inputs'!B225="","",'Model inputs'!B225))))))</f>
        <v>0</v>
      </c>
      <c r="F185" s="13">
        <f>IF(IF(IF(ISERROR('Model inputs'!F32&lt;1),'Model inputs'!F32&lt;1,IF('Model inputs'!F32="","",'Model inputs'!F32&lt;1))="",FALSE,IF(ISERROR('Model inputs'!F32&lt;1),'Model inputs'!F32&lt;1,IF('Model inputs'!F32="","",'Model inputs'!F32&lt;1))),0,IF(IF(IF(ISERROR('Model inputs'!F32=1),'Model inputs'!F32=1,IF('Model inputs'!F32="","",'Model inputs'!F32=1))="",FALSE,IF(ISERROR('Model inputs'!F32=1),'Model inputs'!F32=1,IF('Model inputs'!F32="","",'Model inputs'!F32=1))),IF('Model inputs'!B243="","",'Model inputs'!B243),'Model inputs'!E185*(1+IF(IF(IF(IF(ISERROR('Model inputs'!F32&lt;=8),'Model inputs'!F32&lt;=8,IF('Model inputs'!F32="","",'Model inputs'!F32&lt;=8))="",FALSE,IF(ISERROR('Model inputs'!F32&lt;=8),'Model inputs'!F32&lt;=8,IF('Model inputs'!F32="","",'Model inputs'!F32&lt;=8))),IF('Model inputs'!B229="","",'Model inputs'!B229),IF('Model inputs'!B225="","",'Model inputs'!B225))="",0,IF(IF(IF(ISERROR('Model inputs'!F32&lt;=8),'Model inputs'!F32&lt;=8,IF('Model inputs'!F32="","",'Model inputs'!F32&lt;=8))="",FALSE,IF(ISERROR('Model inputs'!F32&lt;=8),'Model inputs'!F32&lt;=8,IF('Model inputs'!F32="","",'Model inputs'!F32&lt;=8))),IF('Model inputs'!B229="","",'Model inputs'!B229),IF('Model inputs'!B225="","",'Model inputs'!B225))))))</f>
        <v>3</v>
      </c>
      <c r="G185" s="13">
        <f>IF(IF(IF(ISERROR('Model inputs'!G32&lt;1),'Model inputs'!G32&lt;1,IF('Model inputs'!G32="","",'Model inputs'!G32&lt;1))="",FALSE,IF(ISERROR('Model inputs'!G32&lt;1),'Model inputs'!G32&lt;1,IF('Model inputs'!G32="","",'Model inputs'!G32&lt;1))),0,IF(IF(IF(ISERROR('Model inputs'!G32=1),'Model inputs'!G32=1,IF('Model inputs'!G32="","",'Model inputs'!G32=1))="",FALSE,IF(ISERROR('Model inputs'!G32=1),'Model inputs'!G32=1,IF('Model inputs'!G32="","",'Model inputs'!G32=1))),IF('Model inputs'!B243="","",'Model inputs'!B243),'Model inputs'!F185*(1+IF(IF(IF(IF(ISERROR('Model inputs'!G32&lt;=8),'Model inputs'!G32&lt;=8,IF('Model inputs'!G32="","",'Model inputs'!G32&lt;=8))="",FALSE,IF(ISERROR('Model inputs'!G32&lt;=8),'Model inputs'!G32&lt;=8,IF('Model inputs'!G32="","",'Model inputs'!G32&lt;=8))),IF('Model inputs'!B229="","",'Model inputs'!B229),IF('Model inputs'!B225="","",'Model inputs'!B225))="",0,IF(IF(IF(ISERROR('Model inputs'!G32&lt;=8),'Model inputs'!G32&lt;=8,IF('Model inputs'!G32="","",'Model inputs'!G32&lt;=8))="",FALSE,IF(ISERROR('Model inputs'!G32&lt;=8),'Model inputs'!G32&lt;=8,IF('Model inputs'!G32="","",'Model inputs'!G32&lt;=8))),IF('Model inputs'!B229="","",'Model inputs'!B229),IF('Model inputs'!B225="","",'Model inputs'!B225))))))</f>
        <v>3.3000000000000003</v>
      </c>
      <c r="H185" s="13">
        <f>IF(IF(IF(ISERROR('Model inputs'!H32&lt;1),'Model inputs'!H32&lt;1,IF('Model inputs'!H32="","",'Model inputs'!H32&lt;1))="",FALSE,IF(ISERROR('Model inputs'!H32&lt;1),'Model inputs'!H32&lt;1,IF('Model inputs'!H32="","",'Model inputs'!H32&lt;1))),0,IF(IF(IF(ISERROR('Model inputs'!H32=1),'Model inputs'!H32=1,IF('Model inputs'!H32="","",'Model inputs'!H32=1))="",FALSE,IF(ISERROR('Model inputs'!H32=1),'Model inputs'!H32=1,IF('Model inputs'!H32="","",'Model inputs'!H32=1))),IF('Model inputs'!B243="","",'Model inputs'!B243),'Model inputs'!G185*(1+IF(IF(IF(IF(ISERROR('Model inputs'!H32&lt;=8),'Model inputs'!H32&lt;=8,IF('Model inputs'!H32="","",'Model inputs'!H32&lt;=8))="",FALSE,IF(ISERROR('Model inputs'!H32&lt;=8),'Model inputs'!H32&lt;=8,IF('Model inputs'!H32="","",'Model inputs'!H32&lt;=8))),IF('Model inputs'!B229="","",'Model inputs'!B229),IF('Model inputs'!B225="","",'Model inputs'!B225))="",0,IF(IF(IF(ISERROR('Model inputs'!H32&lt;=8),'Model inputs'!H32&lt;=8,IF('Model inputs'!H32="","",'Model inputs'!H32&lt;=8))="",FALSE,IF(ISERROR('Model inputs'!H32&lt;=8),'Model inputs'!H32&lt;=8,IF('Model inputs'!H32="","",'Model inputs'!H32&lt;=8))),IF('Model inputs'!B229="","",'Model inputs'!B229),IF('Model inputs'!B225="","",'Model inputs'!B225))))))</f>
        <v>3.630000000000001</v>
      </c>
      <c r="I185" s="13">
        <f>IF(IF(IF(ISERROR('Model inputs'!I32&lt;1),'Model inputs'!I32&lt;1,IF('Model inputs'!I32="","",'Model inputs'!I32&lt;1))="",FALSE,IF(ISERROR('Model inputs'!I32&lt;1),'Model inputs'!I32&lt;1,IF('Model inputs'!I32="","",'Model inputs'!I32&lt;1))),0,IF(IF(IF(ISERROR('Model inputs'!I32=1),'Model inputs'!I32=1,IF('Model inputs'!I32="","",'Model inputs'!I32=1))="",FALSE,IF(ISERROR('Model inputs'!I32=1),'Model inputs'!I32=1,IF('Model inputs'!I32="","",'Model inputs'!I32=1))),IF('Model inputs'!B243="","",'Model inputs'!B243),'Model inputs'!H185*(1+IF(IF(IF(IF(ISERROR('Model inputs'!I32&lt;=8),'Model inputs'!I32&lt;=8,IF('Model inputs'!I32="","",'Model inputs'!I32&lt;=8))="",FALSE,IF(ISERROR('Model inputs'!I32&lt;=8),'Model inputs'!I32&lt;=8,IF('Model inputs'!I32="","",'Model inputs'!I32&lt;=8))),IF('Model inputs'!B229="","",'Model inputs'!B229),IF('Model inputs'!B225="","",'Model inputs'!B225))="",0,IF(IF(IF(ISERROR('Model inputs'!I32&lt;=8),'Model inputs'!I32&lt;=8,IF('Model inputs'!I32="","",'Model inputs'!I32&lt;=8))="",FALSE,IF(ISERROR('Model inputs'!I32&lt;=8),'Model inputs'!I32&lt;=8,IF('Model inputs'!I32="","",'Model inputs'!I32&lt;=8))),IF('Model inputs'!B229="","",'Model inputs'!B229),IF('Model inputs'!B225="","",'Model inputs'!B225))))))</f>
        <v>3.993000000000001</v>
      </c>
      <c r="J185" s="13">
        <f>IF(IF(IF(ISERROR('Model inputs'!J32&lt;1),'Model inputs'!J32&lt;1,IF('Model inputs'!J32="","",'Model inputs'!J32&lt;1))="",FALSE,IF(ISERROR('Model inputs'!J32&lt;1),'Model inputs'!J32&lt;1,IF('Model inputs'!J32="","",'Model inputs'!J32&lt;1))),0,IF(IF(IF(ISERROR('Model inputs'!J32=1),'Model inputs'!J32=1,IF('Model inputs'!J32="","",'Model inputs'!J32=1))="",FALSE,IF(ISERROR('Model inputs'!J32=1),'Model inputs'!J32=1,IF('Model inputs'!J32="","",'Model inputs'!J32=1))),IF('Model inputs'!B243="","",'Model inputs'!B243),'Model inputs'!I185*(1+IF(IF(IF(IF(ISERROR('Model inputs'!J32&lt;=8),'Model inputs'!J32&lt;=8,IF('Model inputs'!J32="","",'Model inputs'!J32&lt;=8))="",FALSE,IF(ISERROR('Model inputs'!J32&lt;=8),'Model inputs'!J32&lt;=8,IF('Model inputs'!J32="","",'Model inputs'!J32&lt;=8))),IF('Model inputs'!B229="","",'Model inputs'!B229),IF('Model inputs'!B225="","",'Model inputs'!B225))="",0,IF(IF(IF(ISERROR('Model inputs'!J32&lt;=8),'Model inputs'!J32&lt;=8,IF('Model inputs'!J32="","",'Model inputs'!J32&lt;=8))="",FALSE,IF(ISERROR('Model inputs'!J32&lt;=8),'Model inputs'!J32&lt;=8,IF('Model inputs'!J32="","",'Model inputs'!J32&lt;=8))),IF('Model inputs'!B229="","",'Model inputs'!B229),IF('Model inputs'!B225="","",'Model inputs'!B225))))))</f>
        <v>4.392300000000001</v>
      </c>
      <c r="K185" s="13">
        <f>IF(IF(IF(ISERROR('Model inputs'!K32&lt;1),'Model inputs'!K32&lt;1,IF('Model inputs'!K32="","",'Model inputs'!K32&lt;1))="",FALSE,IF(ISERROR('Model inputs'!K32&lt;1),'Model inputs'!K32&lt;1,IF('Model inputs'!K32="","",'Model inputs'!K32&lt;1))),0,IF(IF(IF(ISERROR('Model inputs'!K32=1),'Model inputs'!K32=1,IF('Model inputs'!K32="","",'Model inputs'!K32=1))="",FALSE,IF(ISERROR('Model inputs'!K32=1),'Model inputs'!K32=1,IF('Model inputs'!K32="","",'Model inputs'!K32=1))),IF('Model inputs'!B243="","",'Model inputs'!B243),'Model inputs'!J185*(1+IF(IF(IF(IF(ISERROR('Model inputs'!K32&lt;=8),'Model inputs'!K32&lt;=8,IF('Model inputs'!K32="","",'Model inputs'!K32&lt;=8))="",FALSE,IF(ISERROR('Model inputs'!K32&lt;=8),'Model inputs'!K32&lt;=8,IF('Model inputs'!K32="","",'Model inputs'!K32&lt;=8))),IF('Model inputs'!B229="","",'Model inputs'!B229),IF('Model inputs'!B225="","",'Model inputs'!B225))="",0,IF(IF(IF(ISERROR('Model inputs'!K32&lt;=8),'Model inputs'!K32&lt;=8,IF('Model inputs'!K32="","",'Model inputs'!K32&lt;=8))="",FALSE,IF(ISERROR('Model inputs'!K32&lt;=8),'Model inputs'!K32&lt;=8,IF('Model inputs'!K32="","",'Model inputs'!K32&lt;=8))),IF('Model inputs'!B229="","",'Model inputs'!B229),IF('Model inputs'!B225="","",'Model inputs'!B225))))))</f>
        <v>4.831530000000002</v>
      </c>
      <c r="L185" s="13">
        <f>IF(IF(IF(ISERROR('Model inputs'!L32&lt;1),'Model inputs'!L32&lt;1,IF('Model inputs'!L32="","",'Model inputs'!L32&lt;1))="",FALSE,IF(ISERROR('Model inputs'!L32&lt;1),'Model inputs'!L32&lt;1,IF('Model inputs'!L32="","",'Model inputs'!L32&lt;1))),0,IF(IF(IF(ISERROR('Model inputs'!L32=1),'Model inputs'!L32=1,IF('Model inputs'!L32="","",'Model inputs'!L32=1))="",FALSE,IF(ISERROR('Model inputs'!L32=1),'Model inputs'!L32=1,IF('Model inputs'!L32="","",'Model inputs'!L32=1))),IF('Model inputs'!B243="","",'Model inputs'!B243),'Model inputs'!K185*(1+IF(IF(IF(IF(ISERROR('Model inputs'!L32&lt;=8),'Model inputs'!L32&lt;=8,IF('Model inputs'!L32="","",'Model inputs'!L32&lt;=8))="",FALSE,IF(ISERROR('Model inputs'!L32&lt;=8),'Model inputs'!L32&lt;=8,IF('Model inputs'!L32="","",'Model inputs'!L32&lt;=8))),IF('Model inputs'!B229="","",'Model inputs'!B229),IF('Model inputs'!B225="","",'Model inputs'!B225))="",0,IF(IF(IF(ISERROR('Model inputs'!L32&lt;=8),'Model inputs'!L32&lt;=8,IF('Model inputs'!L32="","",'Model inputs'!L32&lt;=8))="",FALSE,IF(ISERROR('Model inputs'!L32&lt;=8),'Model inputs'!L32&lt;=8,IF('Model inputs'!L32="","",'Model inputs'!L32&lt;=8))),IF('Model inputs'!B229="","",'Model inputs'!B229),IF('Model inputs'!B225="","",'Model inputs'!B225))))))</f>
        <v>5.314683000000002</v>
      </c>
      <c r="M185" s="13">
        <f>IF(IF(IF(ISERROR('Model inputs'!M32&lt;1),'Model inputs'!M32&lt;1,IF('Model inputs'!M32="","",'Model inputs'!M32&lt;1))="",FALSE,IF(ISERROR('Model inputs'!M32&lt;1),'Model inputs'!M32&lt;1,IF('Model inputs'!M32="","",'Model inputs'!M32&lt;1))),0,IF(IF(IF(ISERROR('Model inputs'!M32=1),'Model inputs'!M32=1,IF('Model inputs'!M32="","",'Model inputs'!M32=1))="",FALSE,IF(ISERROR('Model inputs'!M32=1),'Model inputs'!M32=1,IF('Model inputs'!M32="","",'Model inputs'!M32=1))),IF('Model inputs'!B243="","",'Model inputs'!B243),'Model inputs'!L185*(1+IF(IF(IF(IF(ISERROR('Model inputs'!M32&lt;=8),'Model inputs'!M32&lt;=8,IF('Model inputs'!M32="","",'Model inputs'!M32&lt;=8))="",FALSE,IF(ISERROR('Model inputs'!M32&lt;=8),'Model inputs'!M32&lt;=8,IF('Model inputs'!M32="","",'Model inputs'!M32&lt;=8))),IF('Model inputs'!B229="","",'Model inputs'!B229),IF('Model inputs'!B225="","",'Model inputs'!B225))="",0,IF(IF(IF(ISERROR('Model inputs'!M32&lt;=8),'Model inputs'!M32&lt;=8,IF('Model inputs'!M32="","",'Model inputs'!M32&lt;=8))="",FALSE,IF(ISERROR('Model inputs'!M32&lt;=8),'Model inputs'!M32&lt;=8,IF('Model inputs'!M32="","",'Model inputs'!M32&lt;=8))),IF('Model inputs'!B229="","",'Model inputs'!B229),IF('Model inputs'!B225="","",'Model inputs'!B225))))))</f>
        <v>5.846151300000003</v>
      </c>
      <c r="N185" s="13">
        <f>IF(IF(IF(ISERROR('Model inputs'!N32&lt;1),'Model inputs'!N32&lt;1,IF('Model inputs'!N32="","",'Model inputs'!N32&lt;1))="",FALSE,IF(ISERROR('Model inputs'!N32&lt;1),'Model inputs'!N32&lt;1,IF('Model inputs'!N32="","",'Model inputs'!N32&lt;1))),0,IF(IF(IF(ISERROR('Model inputs'!N32=1),'Model inputs'!N32=1,IF('Model inputs'!N32="","",'Model inputs'!N32=1))="",FALSE,IF(ISERROR('Model inputs'!N32=1),'Model inputs'!N32=1,IF('Model inputs'!N32="","",'Model inputs'!N32=1))),IF('Model inputs'!B243="","",'Model inputs'!B243),'Model inputs'!M185*(1+IF(IF(IF(IF(ISERROR('Model inputs'!N32&lt;=8),'Model inputs'!N32&lt;=8,IF('Model inputs'!N32="","",'Model inputs'!N32&lt;=8))="",FALSE,IF(ISERROR('Model inputs'!N32&lt;=8),'Model inputs'!N32&lt;=8,IF('Model inputs'!N32="","",'Model inputs'!N32&lt;=8))),IF('Model inputs'!B229="","",'Model inputs'!B229),IF('Model inputs'!B225="","",'Model inputs'!B225))="",0,IF(IF(IF(ISERROR('Model inputs'!N32&lt;=8),'Model inputs'!N32&lt;=8,IF('Model inputs'!N32="","",'Model inputs'!N32&lt;=8))="",FALSE,IF(ISERROR('Model inputs'!N32&lt;=8),'Model inputs'!N32&lt;=8,IF('Model inputs'!N32="","",'Model inputs'!N32&lt;=8))),IF('Model inputs'!B229="","",'Model inputs'!B229),IF('Model inputs'!B225="","",'Model inputs'!B225))))))</f>
        <v>6.079997352000004</v>
      </c>
      <c r="O185" s="13">
        <f>IF(IF(IF(ISERROR('Model inputs'!O32&lt;1),'Model inputs'!O32&lt;1,IF('Model inputs'!O32="","",'Model inputs'!O32&lt;1))="",FALSE,IF(ISERROR('Model inputs'!O32&lt;1),'Model inputs'!O32&lt;1,IF('Model inputs'!O32="","",'Model inputs'!O32&lt;1))),0,IF(IF(IF(ISERROR('Model inputs'!O32=1),'Model inputs'!O32=1,IF('Model inputs'!O32="","",'Model inputs'!O32=1))="",FALSE,IF(ISERROR('Model inputs'!O32=1),'Model inputs'!O32=1,IF('Model inputs'!O32="","",'Model inputs'!O32=1))),IF('Model inputs'!B243="","",'Model inputs'!B243),'Model inputs'!N185*(1+IF(IF(IF(IF(ISERROR('Model inputs'!O32&lt;=8),'Model inputs'!O32&lt;=8,IF('Model inputs'!O32="","",'Model inputs'!O32&lt;=8))="",FALSE,IF(ISERROR('Model inputs'!O32&lt;=8),'Model inputs'!O32&lt;=8,IF('Model inputs'!O32="","",'Model inputs'!O32&lt;=8))),IF('Model inputs'!B229="","",'Model inputs'!B229),IF('Model inputs'!B225="","",'Model inputs'!B225))="",0,IF(IF(IF(ISERROR('Model inputs'!O32&lt;=8),'Model inputs'!O32&lt;=8,IF('Model inputs'!O32="","",'Model inputs'!O32&lt;=8))="",FALSE,IF(ISERROR('Model inputs'!O32&lt;=8),'Model inputs'!O32&lt;=8,IF('Model inputs'!O32="","",'Model inputs'!O32&lt;=8))),IF('Model inputs'!B229="","",'Model inputs'!B229),IF('Model inputs'!B225="","",'Model inputs'!B225))))))</f>
        <v>6.323197246080004</v>
      </c>
      <c r="P185" s="13">
        <f>IF(IF(IF(ISERROR('Model inputs'!P32&lt;1),'Model inputs'!P32&lt;1,IF('Model inputs'!P32="","",'Model inputs'!P32&lt;1))="",FALSE,IF(ISERROR('Model inputs'!P32&lt;1),'Model inputs'!P32&lt;1,IF('Model inputs'!P32="","",'Model inputs'!P32&lt;1))),0,IF(IF(IF(ISERROR('Model inputs'!P32=1),'Model inputs'!P32=1,IF('Model inputs'!P32="","",'Model inputs'!P32=1))="",FALSE,IF(ISERROR('Model inputs'!P32=1),'Model inputs'!P32=1,IF('Model inputs'!P32="","",'Model inputs'!P32=1))),IF('Model inputs'!B243="","",'Model inputs'!B243),'Model inputs'!O185*(1+IF(IF(IF(IF(ISERROR('Model inputs'!P32&lt;=8),'Model inputs'!P32&lt;=8,IF('Model inputs'!P32="","",'Model inputs'!P32&lt;=8))="",FALSE,IF(ISERROR('Model inputs'!P32&lt;=8),'Model inputs'!P32&lt;=8,IF('Model inputs'!P32="","",'Model inputs'!P32&lt;=8))),IF('Model inputs'!B229="","",'Model inputs'!B229),IF('Model inputs'!B225="","",'Model inputs'!B225))="",0,IF(IF(IF(ISERROR('Model inputs'!P32&lt;=8),'Model inputs'!P32&lt;=8,IF('Model inputs'!P32="","",'Model inputs'!P32&lt;=8))="",FALSE,IF(ISERROR('Model inputs'!P32&lt;=8),'Model inputs'!P32&lt;=8,IF('Model inputs'!P32="","",'Model inputs'!P32&lt;=8))),IF('Model inputs'!B229="","",'Model inputs'!B229),IF('Model inputs'!B225="","",'Model inputs'!B225))))))</f>
        <v>6.5761251359232045</v>
      </c>
      <c r="Q185" s="13">
        <f>IF(IF(IF(ISERROR('Model inputs'!Q32&lt;1),'Model inputs'!Q32&lt;1,IF('Model inputs'!Q32="","",'Model inputs'!Q32&lt;1))="",FALSE,IF(ISERROR('Model inputs'!Q32&lt;1),'Model inputs'!Q32&lt;1,IF('Model inputs'!Q32="","",'Model inputs'!Q32&lt;1))),0,IF(IF(IF(ISERROR('Model inputs'!Q32=1),'Model inputs'!Q32=1,IF('Model inputs'!Q32="","",'Model inputs'!Q32=1))="",FALSE,IF(ISERROR('Model inputs'!Q32=1),'Model inputs'!Q32=1,IF('Model inputs'!Q32="","",'Model inputs'!Q32=1))),IF('Model inputs'!B243="","",'Model inputs'!B243),'Model inputs'!P185*(1+IF(IF(IF(IF(ISERROR('Model inputs'!Q32&lt;=8),'Model inputs'!Q32&lt;=8,IF('Model inputs'!Q32="","",'Model inputs'!Q32&lt;=8))="",FALSE,IF(ISERROR('Model inputs'!Q32&lt;=8),'Model inputs'!Q32&lt;=8,IF('Model inputs'!Q32="","",'Model inputs'!Q32&lt;=8))),IF('Model inputs'!B229="","",'Model inputs'!B229),IF('Model inputs'!B225="","",'Model inputs'!B225))="",0,IF(IF(IF(ISERROR('Model inputs'!Q32&lt;=8),'Model inputs'!Q32&lt;=8,IF('Model inputs'!Q32="","",'Model inputs'!Q32&lt;=8))="",FALSE,IF(ISERROR('Model inputs'!Q32&lt;=8),'Model inputs'!Q32&lt;=8,IF('Model inputs'!Q32="","",'Model inputs'!Q32&lt;=8))),IF('Model inputs'!B229="","",'Model inputs'!B229),IF('Model inputs'!B225="","",'Model inputs'!B225))))))</f>
        <v>6.839170141360133</v>
      </c>
      <c r="R185" s="13">
        <f>IF(IF(IF(ISERROR('Model inputs'!R32&lt;1),'Model inputs'!R32&lt;1,IF('Model inputs'!R32="","",'Model inputs'!R32&lt;1))="",FALSE,IF(ISERROR('Model inputs'!R32&lt;1),'Model inputs'!R32&lt;1,IF('Model inputs'!R32="","",'Model inputs'!R32&lt;1))),0,IF(IF(IF(ISERROR('Model inputs'!R32=1),'Model inputs'!R32=1,IF('Model inputs'!R32="","",'Model inputs'!R32=1))="",FALSE,IF(ISERROR('Model inputs'!R32=1),'Model inputs'!R32=1,IF('Model inputs'!R32="","",'Model inputs'!R32=1))),IF('Model inputs'!B243="","",'Model inputs'!B243),'Model inputs'!Q185*(1+IF(IF(IF(IF(ISERROR('Model inputs'!R32&lt;=8),'Model inputs'!R32&lt;=8,IF('Model inputs'!R32="","",'Model inputs'!R32&lt;=8))="",FALSE,IF(ISERROR('Model inputs'!R32&lt;=8),'Model inputs'!R32&lt;=8,IF('Model inputs'!R32="","",'Model inputs'!R32&lt;=8))),IF('Model inputs'!B229="","",'Model inputs'!B229),IF('Model inputs'!B225="","",'Model inputs'!B225))="",0,IF(IF(IF(ISERROR('Model inputs'!R32&lt;=8),'Model inputs'!R32&lt;=8,IF('Model inputs'!R32="","",'Model inputs'!R32&lt;=8))="",FALSE,IF(ISERROR('Model inputs'!R32&lt;=8),'Model inputs'!R32&lt;=8,IF('Model inputs'!R32="","",'Model inputs'!R32&lt;=8))),IF('Model inputs'!B229="","",'Model inputs'!B229),IF('Model inputs'!B225="","",'Model inputs'!B225))))))</f>
        <v>7.112736947014538</v>
      </c>
      <c r="S185" s="13">
        <f>IF(IF(IF(ISERROR('Model inputs'!S32&lt;1),'Model inputs'!S32&lt;1,IF('Model inputs'!S32="","",'Model inputs'!S32&lt;1))="",FALSE,IF(ISERROR('Model inputs'!S32&lt;1),'Model inputs'!S32&lt;1,IF('Model inputs'!S32="","",'Model inputs'!S32&lt;1))),0,IF(IF(IF(ISERROR('Model inputs'!S32=1),'Model inputs'!S32=1,IF('Model inputs'!S32="","",'Model inputs'!S32=1))="",FALSE,IF(ISERROR('Model inputs'!S32=1),'Model inputs'!S32=1,IF('Model inputs'!S32="","",'Model inputs'!S32=1))),IF('Model inputs'!B243="","",'Model inputs'!B243),'Model inputs'!R185*(1+IF(IF(IF(IF(ISERROR('Model inputs'!S32&lt;=8),'Model inputs'!S32&lt;=8,IF('Model inputs'!S32="","",'Model inputs'!S32&lt;=8))="",FALSE,IF(ISERROR('Model inputs'!S32&lt;=8),'Model inputs'!S32&lt;=8,IF('Model inputs'!S32="","",'Model inputs'!S32&lt;=8))),IF('Model inputs'!B229="","",'Model inputs'!B229),IF('Model inputs'!B225="","",'Model inputs'!B225))="",0,IF(IF(IF(ISERROR('Model inputs'!S32&lt;=8),'Model inputs'!S32&lt;=8,IF('Model inputs'!S32="","",'Model inputs'!S32&lt;=8))="",FALSE,IF(ISERROR('Model inputs'!S32&lt;=8),'Model inputs'!S32&lt;=8,IF('Model inputs'!S32="","",'Model inputs'!S32&lt;=8))),IF('Model inputs'!B229="","",'Model inputs'!B229),IF('Model inputs'!B225="","",'Model inputs'!B225))))))</f>
        <v>7.39724642489512</v>
      </c>
      <c r="T185" s="13">
        <f>IF(IF(IF(ISERROR('Model inputs'!T32&lt;1),'Model inputs'!T32&lt;1,IF('Model inputs'!T32="","",'Model inputs'!T32&lt;1))="",FALSE,IF(ISERROR('Model inputs'!T32&lt;1),'Model inputs'!T32&lt;1,IF('Model inputs'!T32="","",'Model inputs'!T32&lt;1))),0,IF(IF(IF(ISERROR('Model inputs'!T32=1),'Model inputs'!T32=1,IF('Model inputs'!T32="","",'Model inputs'!T32=1))="",FALSE,IF(ISERROR('Model inputs'!T32=1),'Model inputs'!T32=1,IF('Model inputs'!T32="","",'Model inputs'!T32=1))),IF('Model inputs'!B243="","",'Model inputs'!B243),'Model inputs'!S185*(1+IF(IF(IF(IF(ISERROR('Model inputs'!T32&lt;=8),'Model inputs'!T32&lt;=8,IF('Model inputs'!T32="","",'Model inputs'!T32&lt;=8))="",FALSE,IF(ISERROR('Model inputs'!T32&lt;=8),'Model inputs'!T32&lt;=8,IF('Model inputs'!T32="","",'Model inputs'!T32&lt;=8))),IF('Model inputs'!B229="","",'Model inputs'!B229),IF('Model inputs'!B225="","",'Model inputs'!B225))="",0,IF(IF(IF(ISERROR('Model inputs'!T32&lt;=8),'Model inputs'!T32&lt;=8,IF('Model inputs'!T32="","",'Model inputs'!T32&lt;=8))="",FALSE,IF(ISERROR('Model inputs'!T32&lt;=8),'Model inputs'!T32&lt;=8,IF('Model inputs'!T32="","",'Model inputs'!T32&lt;=8))),IF('Model inputs'!B229="","",'Model inputs'!B229),IF('Model inputs'!B225="","",'Model inputs'!B225))))))</f>
        <v>7.693136281890925</v>
      </c>
      <c r="U185" s="13">
        <f>IF(IF(IF(ISERROR('Model inputs'!U32&lt;1),'Model inputs'!U32&lt;1,IF('Model inputs'!U32="","",'Model inputs'!U32&lt;1))="",FALSE,IF(ISERROR('Model inputs'!U32&lt;1),'Model inputs'!U32&lt;1,IF('Model inputs'!U32="","",'Model inputs'!U32&lt;1))),0,IF(IF(IF(ISERROR('Model inputs'!U32=1),'Model inputs'!U32=1,IF('Model inputs'!U32="","",'Model inputs'!U32=1))="",FALSE,IF(ISERROR('Model inputs'!U32=1),'Model inputs'!U32=1,IF('Model inputs'!U32="","",'Model inputs'!U32=1))),IF('Model inputs'!B243="","",'Model inputs'!B243),'Model inputs'!T185*(1+IF(IF(IF(IF(ISERROR('Model inputs'!U32&lt;=8),'Model inputs'!U32&lt;=8,IF('Model inputs'!U32="","",'Model inputs'!U32&lt;=8))="",FALSE,IF(ISERROR('Model inputs'!U32&lt;=8),'Model inputs'!U32&lt;=8,IF('Model inputs'!U32="","",'Model inputs'!U32&lt;=8))),IF('Model inputs'!B229="","",'Model inputs'!B229),IF('Model inputs'!B225="","",'Model inputs'!B225))="",0,IF(IF(IF(ISERROR('Model inputs'!U32&lt;=8),'Model inputs'!U32&lt;=8,IF('Model inputs'!U32="","",'Model inputs'!U32&lt;=8))="",FALSE,IF(ISERROR('Model inputs'!U32&lt;=8),'Model inputs'!U32&lt;=8,IF('Model inputs'!U32="","",'Model inputs'!U32&lt;=8))),IF('Model inputs'!B229="","",'Model inputs'!B229),IF('Model inputs'!B225="","",'Model inputs'!B225))))))</f>
        <v>8.000861733166563</v>
      </c>
      <c r="V185" s="13">
        <f>IF(IF(IF(ISERROR('Model inputs'!V32&lt;1),'Model inputs'!V32&lt;1,IF('Model inputs'!V32="","",'Model inputs'!V32&lt;1))="",FALSE,IF(ISERROR('Model inputs'!V32&lt;1),'Model inputs'!V32&lt;1,IF('Model inputs'!V32="","",'Model inputs'!V32&lt;1))),0,IF(IF(IF(ISERROR('Model inputs'!V32=1),'Model inputs'!V32=1,IF('Model inputs'!V32="","",'Model inputs'!V32=1))="",FALSE,IF(ISERROR('Model inputs'!V32=1),'Model inputs'!V32=1,IF('Model inputs'!V32="","",'Model inputs'!V32=1))),IF('Model inputs'!B243="","",'Model inputs'!B243),'Model inputs'!U185*(1+IF(IF(IF(IF(ISERROR('Model inputs'!V32&lt;=8),'Model inputs'!V32&lt;=8,IF('Model inputs'!V32="","",'Model inputs'!V32&lt;=8))="",FALSE,IF(ISERROR('Model inputs'!V32&lt;=8),'Model inputs'!V32&lt;=8,IF('Model inputs'!V32="","",'Model inputs'!V32&lt;=8))),IF('Model inputs'!B229="","",'Model inputs'!B229),IF('Model inputs'!B225="","",'Model inputs'!B225))="",0,IF(IF(IF(ISERROR('Model inputs'!V32&lt;=8),'Model inputs'!V32&lt;=8,IF('Model inputs'!V32="","",'Model inputs'!V32&lt;=8))="",FALSE,IF(ISERROR('Model inputs'!V32&lt;=8),'Model inputs'!V32&lt;=8,IF('Model inputs'!V32="","",'Model inputs'!V32&lt;=8))),IF('Model inputs'!B229="","",'Model inputs'!B229),IF('Model inputs'!B225="","",'Model inputs'!B225))))))</f>
        <v>8.320896202493225</v>
      </c>
    </row>
    <row r="186">
      <c r="A186" t="inlineStr" s="16">
        <is>
          <t xml:space="preserve">Overage kits per customer</t>
        </is>
      </c>
      <c r="B186" s="19">
        <v>0</v>
      </c>
    </row>
    <row r="187" outlineLevel="1">
      <c r="A187" t="inlineStr" s="18">
        <is>
          <t xml:space="preserve">Overage kits per customer &gt; Indie</t>
        </is>
      </c>
      <c r="B187" s="13">
        <f>0.5</f>
        <v>0.5</v>
      </c>
    </row>
    <row r="188" outlineLevel="1">
      <c r="A188" t="inlineStr" s="18">
        <is>
          <t xml:space="preserve">Overage kits per customer &gt; Launch</t>
        </is>
      </c>
      <c r="B188" s="13">
        <f>6</f>
        <v>6</v>
      </c>
    </row>
    <row r="189" outlineLevel="1">
      <c r="A189" t="inlineStr" s="18">
        <is>
          <t xml:space="preserve">Overage kits per customer &gt; Team</t>
        </is>
      </c>
      <c r="B189" s="13">
        <f>2</f>
        <v>2</v>
      </c>
    </row>
    <row r="190">
      <c r="A190" t="inlineStr" s="16">
        <is>
          <t xml:space="preserve">Overage price per kit · Overage revenue</t>
        </is>
      </c>
      <c r="B190" s="20">
        <f>2.5</f>
        <v>2.5</v>
      </c>
    </row>
    <row r="191">
      <c r="A191" t="inlineStr" s="16">
        <is>
          <t xml:space="preserve">Upgrades in</t>
        </is>
      </c>
      <c r="C191" s="19">
        <f>SUM('Model inputs'!C192,'Model inputs'!C193,'Model inputs'!C194)</f>
        <v>0</v>
      </c>
      <c r="D191" s="19">
        <f>SUM('Model inputs'!D192,'Model inputs'!D193,'Model inputs'!D194)</f>
        <v>0</v>
      </c>
      <c r="E191" s="19">
        <f>SUM('Model inputs'!E192,'Model inputs'!E193,'Model inputs'!E194)</f>
        <v>0</v>
      </c>
      <c r="F191" s="19">
        <f>SUM('Model inputs'!F192,'Model inputs'!F193,'Model inputs'!F194)</f>
        <v>0.2916666666666667</v>
      </c>
      <c r="G191" s="19">
        <f>SUM('Model inputs'!G192,'Model inputs'!G193,'Model inputs'!G194)</f>
        <v>0.5333125</v>
      </c>
      <c r="H191" s="19">
        <f>SUM('Model inputs'!H192,'Model inputs'!H193,'Model inputs'!H194)</f>
        <v>0.6948002488425927</v>
      </c>
      <c r="I191" s="19">
        <f>SUM('Model inputs'!I192,'Model inputs'!I193,'Model inputs'!I194)</f>
        <v>0.8623815489824461</v>
      </c>
      <c r="J191" s="19">
        <f>SUM('Model inputs'!J192,'Model inputs'!J193,'Model inputs'!J194)</f>
        <v>1.0370073007913894</v>
      </c>
      <c r="K191" s="19">
        <f>SUM('Model inputs'!K192,'Model inputs'!K193,'Model inputs'!K194)</f>
        <v>1.2196778790980267</v>
      </c>
      <c r="L191" s="19">
        <f>SUM('Model inputs'!L192,'Model inputs'!L193,'Model inputs'!L194)</f>
        <v>1.4114491758402756</v>
      </c>
      <c r="M191" s="19">
        <f>SUM('Model inputs'!M192,'Model inputs'!M193,'Model inputs'!M194)</f>
        <v>1.6134390223399573</v>
      </c>
      <c r="N191" s="19">
        <f>SUM('Model inputs'!N192,'Model inputs'!N193,'Model inputs'!N194)</f>
        <v>1.8268340318695697</v>
      </c>
      <c r="O191" s="19">
        <f>SUM('Model inputs'!O192,'Model inputs'!O193,'Model inputs'!O194)</f>
        <v>2.0400098731409044</v>
      </c>
      <c r="P191" s="19">
        <f>SUM('Model inputs'!P192,'Model inputs'!P193,'Model inputs'!P194)</f>
        <v>2.2535015079062166</v>
      </c>
      <c r="Q191" s="19">
        <f>SUM('Model inputs'!Q192,'Model inputs'!Q193,'Model inputs'!Q194)</f>
        <v>2.467830412305536</v>
      </c>
      <c r="R191" s="19">
        <f>SUM('Model inputs'!R192,'Model inputs'!R193,'Model inputs'!R194)</f>
        <v>2.683506316427823</v>
      </c>
      <c r="S191" s="19">
        <f>SUM('Model inputs'!S192,'Model inputs'!S193,'Model inputs'!S194)</f>
        <v>2.9010288631150405</v>
      </c>
      <c r="T191" s="19">
        <f>SUM('Model inputs'!T192,'Model inputs'!T193,'Model inputs'!T194)</f>
        <v>3.12088919274707</v>
      </c>
      <c r="U191" s="19">
        <f>SUM('Model inputs'!U192,'Model inputs'!U193,'Model inputs'!U194)</f>
        <v>3.3435714603522264</v>
      </c>
      <c r="V191" s="19">
        <f>SUM('Model inputs'!V192,'Model inputs'!V193,'Model inputs'!V194)</f>
        <v>3.569554291023361</v>
      </c>
    </row>
    <row r="192" outlineLevel="1">
      <c r="A192" t="inlineStr" s="18">
        <is>
          <t xml:space="preserve">Upgrades in &gt; Indie</t>
        </is>
      </c>
      <c r="C192" s="13">
        <f>IF(EXACT("Indie","Team"),IF('Model inputs'!C196="","",'Model inputs'!C196),IF(EXACT("Indie","Launch"),IF('Model inputs'!C198="","",'Model inputs'!C198),0))</f>
        <v>0</v>
      </c>
      <c r="D192" s="13">
        <f>IF(EXACT("Indie","Team"),IF('Model inputs'!D196="","",'Model inputs'!D196),IF(EXACT("Indie","Launch"),IF('Model inputs'!D198="","",'Model inputs'!D198),0))</f>
        <v>0</v>
      </c>
      <c r="E192" s="13">
        <f>IF(EXACT("Indie","Team"),IF('Model inputs'!E196="","",'Model inputs'!E196),IF(EXACT("Indie","Launch"),IF('Model inputs'!E198="","",'Model inputs'!E198),0))</f>
        <v>0</v>
      </c>
      <c r="F192" s="13">
        <f>IF(EXACT("Indie","Team"),IF('Model inputs'!F196="","",'Model inputs'!F196),IF(EXACT("Indie","Launch"),IF('Model inputs'!F198="","",'Model inputs'!F198),0))</f>
        <v>0</v>
      </c>
      <c r="G192" s="13">
        <f>IF(EXACT("Indie","Team"),IF('Model inputs'!G196="","",'Model inputs'!G196),IF(EXACT("Indie","Launch"),IF('Model inputs'!G198="","",'Model inputs'!G198),0))</f>
        <v>0</v>
      </c>
      <c r="H192" s="13">
        <f>IF(EXACT("Indie","Team"),IF('Model inputs'!H196="","",'Model inputs'!H196),IF(EXACT("Indie","Launch"),IF('Model inputs'!H198="","",'Model inputs'!H198),0))</f>
        <v>0</v>
      </c>
      <c r="I192" s="13">
        <f>IF(EXACT("Indie","Team"),IF('Model inputs'!I196="","",'Model inputs'!I196),IF(EXACT("Indie","Launch"),IF('Model inputs'!I198="","",'Model inputs'!I198),0))</f>
        <v>0</v>
      </c>
      <c r="J192" s="13">
        <f>IF(EXACT("Indie","Team"),IF('Model inputs'!J196="","",'Model inputs'!J196),IF(EXACT("Indie","Launch"),IF('Model inputs'!J198="","",'Model inputs'!J198),0))</f>
        <v>0</v>
      </c>
      <c r="K192" s="13">
        <f>IF(EXACT("Indie","Team"),IF('Model inputs'!K196="","",'Model inputs'!K196),IF(EXACT("Indie","Launch"),IF('Model inputs'!K198="","",'Model inputs'!K198),0))</f>
        <v>0</v>
      </c>
      <c r="L192" s="13">
        <f>IF(EXACT("Indie","Team"),IF('Model inputs'!L196="","",'Model inputs'!L196),IF(EXACT("Indie","Launch"),IF('Model inputs'!L198="","",'Model inputs'!L198),0))</f>
        <v>0</v>
      </c>
      <c r="M192" s="13">
        <f>IF(EXACT("Indie","Team"),IF('Model inputs'!M196="","",'Model inputs'!M196),IF(EXACT("Indie","Launch"),IF('Model inputs'!M198="","",'Model inputs'!M198),0))</f>
        <v>0</v>
      </c>
      <c r="N192" s="13">
        <f>IF(EXACT("Indie","Team"),IF('Model inputs'!N196="","",'Model inputs'!N196),IF(EXACT("Indie","Launch"),IF('Model inputs'!N198="","",'Model inputs'!N198),0))</f>
        <v>0</v>
      </c>
      <c r="O192" s="13">
        <f>IF(EXACT("Indie","Team"),IF('Model inputs'!O196="","",'Model inputs'!O196),IF(EXACT("Indie","Launch"),IF('Model inputs'!O198="","",'Model inputs'!O198),0))</f>
        <v>0</v>
      </c>
      <c r="P192" s="13">
        <f>IF(EXACT("Indie","Team"),IF('Model inputs'!P196="","",'Model inputs'!P196),IF(EXACT("Indie","Launch"),IF('Model inputs'!P198="","",'Model inputs'!P198),0))</f>
        <v>0</v>
      </c>
      <c r="Q192" s="13">
        <f>IF(EXACT("Indie","Team"),IF('Model inputs'!Q196="","",'Model inputs'!Q196),IF(EXACT("Indie","Launch"),IF('Model inputs'!Q198="","",'Model inputs'!Q198),0))</f>
        <v>0</v>
      </c>
      <c r="R192" s="13">
        <f>IF(EXACT("Indie","Team"),IF('Model inputs'!R196="","",'Model inputs'!R196),IF(EXACT("Indie","Launch"),IF('Model inputs'!R198="","",'Model inputs'!R198),0))</f>
        <v>0</v>
      </c>
      <c r="S192" s="13">
        <f>IF(EXACT("Indie","Team"),IF('Model inputs'!S196="","",'Model inputs'!S196),IF(EXACT("Indie","Launch"),IF('Model inputs'!S198="","",'Model inputs'!S198),0))</f>
        <v>0</v>
      </c>
      <c r="T192" s="13">
        <f>IF(EXACT("Indie","Team"),IF('Model inputs'!T196="","",'Model inputs'!T196),IF(EXACT("Indie","Launch"),IF('Model inputs'!T198="","",'Model inputs'!T198),0))</f>
        <v>0</v>
      </c>
      <c r="U192" s="13">
        <f>IF(EXACT("Indie","Team"),IF('Model inputs'!U196="","",'Model inputs'!U196),IF(EXACT("Indie","Launch"),IF('Model inputs'!U198="","",'Model inputs'!U198),0))</f>
        <v>0</v>
      </c>
      <c r="V192" s="13">
        <f>IF(EXACT("Indie","Team"),IF('Model inputs'!V196="","",'Model inputs'!V196),IF(EXACT("Indie","Launch"),IF('Model inputs'!V198="","",'Model inputs'!V198),0))</f>
        <v>0</v>
      </c>
    </row>
    <row r="193" outlineLevel="1">
      <c r="A193" t="inlineStr" s="18">
        <is>
          <t xml:space="preserve">Upgrades in &gt; Launch</t>
        </is>
      </c>
      <c r="C193" s="13">
        <f>IF(EXACT("Launch","Team"),IF('Model inputs'!C196="","",'Model inputs'!C196),IF(EXACT("Launch","Launch"),IF('Model inputs'!C198="","",'Model inputs'!C198),0))</f>
        <v>0</v>
      </c>
      <c r="D193" s="13">
        <f>IF(EXACT("Launch","Team"),IF('Model inputs'!D196="","",'Model inputs'!D196),IF(EXACT("Launch","Launch"),IF('Model inputs'!D198="","",'Model inputs'!D198),0))</f>
        <v>0</v>
      </c>
      <c r="E193" s="13">
        <f>IF(EXACT("Launch","Team"),IF('Model inputs'!E196="","",'Model inputs'!E196),IF(EXACT("Launch","Launch"),IF('Model inputs'!E198="","",'Model inputs'!E198),0))</f>
        <v>0</v>
      </c>
      <c r="F193" s="13">
        <f>IF(EXACT("Launch","Team"),IF('Model inputs'!F196="","",'Model inputs'!F196),IF(EXACT("Launch","Launch"),IF('Model inputs'!F198="","",'Model inputs'!F198),0))</f>
        <v>0.025</v>
      </c>
      <c r="G193" s="13">
        <f>IF(EXACT("Launch","Team"),IF('Model inputs'!G196="","",'Model inputs'!G196),IF(EXACT("Launch","Launch"),IF('Model inputs'!G198="","",'Model inputs'!G198),0))</f>
        <v>0.03775694444444445</v>
      </c>
      <c r="H193" s="13">
        <f>IF(EXACT("Launch","Team"),IF('Model inputs'!H196="","",'Model inputs'!H196),IF(EXACT("Launch","Launch"),IF('Model inputs'!H198="","",'Model inputs'!H198),0))</f>
        <v>0.05228173032407408</v>
      </c>
      <c r="I193" s="13">
        <f>IF(EXACT("Launch","Team"),IF('Model inputs'!I196="","",'Model inputs'!I196),IF(EXACT("Launch","Launch"),IF('Model inputs'!I198="","",'Model inputs'!I198),0))</f>
        <v>0.06829759836516204</v>
      </c>
      <c r="J193" s="13">
        <f>IF(EXACT("Launch","Team"),IF('Model inputs'!J196="","",'Model inputs'!J196),IF(EXACT("Launch","Launch"),IF('Model inputs'!J198="","",'Model inputs'!J198),0))</f>
        <v>0.08591028021525769</v>
      </c>
      <c r="K193" s="13">
        <f>IF(EXACT("Launch","Team"),IF('Model inputs'!K196="","",'Model inputs'!K196),IF(EXACT("Launch","Launch"),IF('Model inputs'!K198="","",'Model inputs'!K198),0))</f>
        <v>0.10523916656030362</v>
      </c>
      <c r="L193" s="13">
        <f>IF(EXACT("Launch","Team"),IF('Model inputs'!L196="","",'Model inputs'!L196),IF(EXACT("Launch","Launch"),IF('Model inputs'!L198="","",'Model inputs'!L198),0))</f>
        <v>0.12641836467173376</v>
      </c>
      <c r="M193" s="13">
        <f>IF(EXACT("Launch","Team"),IF('Model inputs'!M196="","",'Model inputs'!M196),IF(EXACT("Launch","Launch"),IF('Model inputs'!M198="","",'Model inputs'!M198),0))</f>
        <v>0.1495978780919851</v>
      </c>
      <c r="N193" s="13">
        <f>IF(EXACT("Launch","Team"),IF('Model inputs'!N196="","",'Model inputs'!N196),IF(EXACT("Launch","Launch"),IF('Model inputs'!N198="","",'Model inputs'!N198),0))</f>
        <v>0.17494491910820884</v>
      </c>
      <c r="O193" s="13">
        <f>IF(EXACT("Launch","Team"),IF('Model inputs'!O196="","",'Model inputs'!O196),IF(EXACT("Launch","Launch"),IF('Model inputs'!O198="","",'Model inputs'!O198),0))</f>
        <v>0.20118382797518408</v>
      </c>
      <c r="P193" s="13">
        <f>IF(EXACT("Launch","Team"),IF('Model inputs'!P196="","",'Model inputs'!P196),IF(EXACT("Launch","Launch"),IF('Model inputs'!P198="","",'Model inputs'!P198),0))</f>
        <v>0.22831847756622248</v>
      </c>
      <c r="Q193" s="13">
        <f>IF(EXACT("Launch","Team"),IF('Model inputs'!Q196="","",'Model inputs'!Q196),IF(EXACT("Launch","Launch"),IF('Model inputs'!Q198="","",'Model inputs'!Q198),0))</f>
        <v>0.2563563802754732</v>
      </c>
      <c r="R193" s="13">
        <f>IF(EXACT("Launch","Team"),IF('Model inputs'!R196="","",'Model inputs'!R196),IF(EXACT("Launch","Launch"),IF('Model inputs'!R198="","",'Model inputs'!R198),0))</f>
        <v>0.28530855467185373</v>
      </c>
      <c r="S193" s="13">
        <f>IF(EXACT("Launch","Team"),IF('Model inputs'!S196="","",'Model inputs'!S196),IF(EXACT("Launch","Launch"),IF('Model inputs'!S198="","",'Model inputs'!S198),0))</f>
        <v>0.3151894070071091</v>
      </c>
      <c r="T193" s="13">
        <f>IF(EXACT("Launch","Team"),IF('Model inputs'!T196="","",'Model inputs'!T196),IF(EXACT("Launch","Launch"),IF('Model inputs'!T198="","",'Model inputs'!T198),0))</f>
        <v>0.34601662677187894</v>
      </c>
      <c r="U193" s="13">
        <f>IF(EXACT("Launch","Team"),IF('Model inputs'!U196="","",'Model inputs'!U196),IF(EXACT("Launch","Launch"),IF('Model inputs'!U198="","",'Model inputs'!U198),0))</f>
        <v>0.3778110955566152</v>
      </c>
      <c r="V193" s="13">
        <f>IF(EXACT("Launch","Team"),IF('Model inputs'!V196="","",'Model inputs'!V196),IF(EXACT("Launch","Launch"),IF('Model inputs'!V198="","",'Model inputs'!V198),0))</f>
        <v>0.41059680853327324</v>
      </c>
    </row>
    <row r="194" outlineLevel="1">
      <c r="A194" t="inlineStr" s="18">
        <is>
          <t xml:space="preserve">Upgrades in &gt; Team</t>
        </is>
      </c>
      <c r="C194" s="13">
        <f>IF(EXACT("Team","Team"),IF('Model inputs'!C196="","",'Model inputs'!C196),IF(EXACT("Team","Launch"),IF('Model inputs'!C198="","",'Model inputs'!C198),0))</f>
        <v>0</v>
      </c>
      <c r="D194" s="13">
        <f>IF(EXACT("Team","Team"),IF('Model inputs'!D196="","",'Model inputs'!D196),IF(EXACT("Team","Launch"),IF('Model inputs'!D198="","",'Model inputs'!D198),0))</f>
        <v>0</v>
      </c>
      <c r="E194" s="13">
        <f>IF(EXACT("Team","Team"),IF('Model inputs'!E196="","",'Model inputs'!E196),IF(EXACT("Team","Launch"),IF('Model inputs'!E198="","",'Model inputs'!E198),0))</f>
        <v>0</v>
      </c>
      <c r="F194" s="13">
        <f>IF(EXACT("Team","Team"),IF('Model inputs'!F196="","",'Model inputs'!F196),IF(EXACT("Team","Launch"),IF('Model inputs'!F198="","",'Model inputs'!F198),0))</f>
        <v>0.26666666666666666</v>
      </c>
      <c r="G194" s="13">
        <f>IF(EXACT("Team","Team"),IF('Model inputs'!G196="","",'Model inputs'!G196),IF(EXACT("Team","Launch"),IF('Model inputs'!G198="","",'Model inputs'!G198),0))</f>
        <v>0.4955555555555555</v>
      </c>
      <c r="H194" s="13">
        <f>IF(EXACT("Team","Team"),IF('Model inputs'!H196="","",'Model inputs'!H196),IF(EXACT("Team","Launch"),IF('Model inputs'!H198="","",'Model inputs'!H198),0))</f>
        <v>0.6425185185185186</v>
      </c>
      <c r="I194" s="13">
        <f>IF(EXACT("Team","Team"),IF('Model inputs'!I196="","",'Model inputs'!I196),IF(EXACT("Team","Launch"),IF('Model inputs'!I198="","",'Model inputs'!I198),0))</f>
        <v>0.7940839506172841</v>
      </c>
      <c r="J194" s="13">
        <f>IF(EXACT("Team","Team"),IF('Model inputs'!J196="","",'Model inputs'!J196),IF(EXACT("Team","Launch"),IF('Model inputs'!J198="","",'Model inputs'!J198),0))</f>
        <v>0.9510970205761318</v>
      </c>
      <c r="K194" s="13">
        <f>IF(EXACT("Team","Team"),IF('Model inputs'!K196="","",'Model inputs'!K196),IF(EXACT("Team","Launch"),IF('Model inputs'!K198="","",'Model inputs'!K198),0))</f>
        <v>1.114438712537723</v>
      </c>
      <c r="L194" s="13">
        <f>IF(EXACT("Team","Team"),IF('Model inputs'!L196="","",'Model inputs'!L196),IF(EXACT("Team","Launch"),IF('Model inputs'!L198="","",'Model inputs'!L198),0))</f>
        <v>1.2850308111685418</v>
      </c>
      <c r="M194" s="13">
        <f>IF(EXACT("Team","Team"),IF('Model inputs'!M196="","",'Model inputs'!M196),IF(EXACT("Team","Launch"),IF('Model inputs'!M198="","",'Model inputs'!M198),0))</f>
        <v>1.4638411442479722</v>
      </c>
      <c r="N194" s="13">
        <f>IF(EXACT("Team","Team"),IF('Model inputs'!N196="","",'Model inputs'!N196),IF(EXACT("Team","Launch"),IF('Model inputs'!N198="","",'Model inputs'!N198),0))</f>
        <v>1.6518891127613609</v>
      </c>
      <c r="O194" s="13">
        <f>IF(EXACT("Team","Team"),IF('Model inputs'!O196="","",'Model inputs'!O196),IF(EXACT("Team","Launch"),IF('Model inputs'!O198="","",'Model inputs'!O198),0))</f>
        <v>1.8388260451657203</v>
      </c>
      <c r="P194" s="13">
        <f>IF(EXACT("Team","Team"),IF('Model inputs'!P196="","",'Model inputs'!P196),IF(EXACT("Team","Launch"),IF('Model inputs'!P198="","",'Model inputs'!P198),0))</f>
        <v>2.0251830303399943</v>
      </c>
      <c r="Q194" s="13">
        <f>IF(EXACT("Team","Team"),IF('Model inputs'!Q196="","",'Model inputs'!Q196),IF(EXACT("Team","Launch"),IF('Model inputs'!Q198="","",'Model inputs'!Q198),0))</f>
        <v>2.211474032030063</v>
      </c>
      <c r="R194" s="13">
        <f>IF(EXACT("Team","Team"),IF('Model inputs'!R196="","",'Model inputs'!R196),IF(EXACT("Team","Launch"),IF('Model inputs'!R198="","",'Model inputs'!R198),0))</f>
        <v>2.398197761755969</v>
      </c>
      <c r="S194" s="13">
        <f>IF(EXACT("Team","Team"),IF('Model inputs'!S196="","",'Model inputs'!S196),IF(EXACT("Team","Launch"),IF('Model inputs'!S198="","",'Model inputs'!S198),0))</f>
        <v>2.5858394561079314</v>
      </c>
      <c r="T194" s="13">
        <f>IF(EXACT("Team","Team"),IF('Model inputs'!T196="","",'Model inputs'!T196),IF(EXACT("Team","Launch"),IF('Model inputs'!T198="","",'Model inputs'!T198),0))</f>
        <v>2.774872565975191</v>
      </c>
      <c r="U194" s="13">
        <f>IF(EXACT("Team","Team"),IF('Model inputs'!U196="","",'Model inputs'!U196),IF(EXACT("Team","Launch"),IF('Model inputs'!U198="","",'Model inputs'!U198),0))</f>
        <v>2.9657603647956114</v>
      </c>
      <c r="V194" s="13">
        <f>IF(EXACT("Team","Team"),IF('Model inputs'!V196="","",'Model inputs'!V196),IF(EXACT("Team","Launch"),IF('Model inputs'!V198="","",'Model inputs'!V198),0))</f>
        <v>3.158957482490088</v>
      </c>
    </row>
    <row r="195">
      <c r="A195" t="inlineStr" s="16">
        <is>
          <t xml:space="preserve">Upgrades out</t>
        </is>
      </c>
      <c r="C195" s="19">
        <f>SUM('Model inputs'!C196,'Model inputs'!C197,'Model inputs'!C198)</f>
        <v>0</v>
      </c>
      <c r="D195" s="19">
        <f>SUM('Model inputs'!D196,'Model inputs'!D197,'Model inputs'!D198)</f>
        <v>0</v>
      </c>
      <c r="E195" s="19">
        <f>SUM('Model inputs'!E196,'Model inputs'!E197,'Model inputs'!E198)</f>
        <v>0</v>
      </c>
      <c r="F195" s="19">
        <f>SUM('Model inputs'!F196,'Model inputs'!F197,'Model inputs'!F198)</f>
        <v>0.2916666666666667</v>
      </c>
      <c r="G195" s="19">
        <f>SUM('Model inputs'!G196,'Model inputs'!G197,'Model inputs'!G198)</f>
        <v>0.5333125</v>
      </c>
      <c r="H195" s="19">
        <f>SUM('Model inputs'!H196,'Model inputs'!H197,'Model inputs'!H198)</f>
        <v>0.6948002488425927</v>
      </c>
      <c r="I195" s="19">
        <f>SUM('Model inputs'!I196,'Model inputs'!I197,'Model inputs'!I198)</f>
        <v>0.8623815489824461</v>
      </c>
      <c r="J195" s="19">
        <f>SUM('Model inputs'!J196,'Model inputs'!J197,'Model inputs'!J198)</f>
        <v>1.0370073007913894</v>
      </c>
      <c r="K195" s="19">
        <f>SUM('Model inputs'!K196,'Model inputs'!K197,'Model inputs'!K198)</f>
        <v>1.2196778790980267</v>
      </c>
      <c r="L195" s="19">
        <f>SUM('Model inputs'!L196,'Model inputs'!L197,'Model inputs'!L198)</f>
        <v>1.4114491758402756</v>
      </c>
      <c r="M195" s="19">
        <f>SUM('Model inputs'!M196,'Model inputs'!M197,'Model inputs'!M198)</f>
        <v>1.6134390223399573</v>
      </c>
      <c r="N195" s="19">
        <f>SUM('Model inputs'!N196,'Model inputs'!N197,'Model inputs'!N198)</f>
        <v>1.8268340318695697</v>
      </c>
      <c r="O195" s="19">
        <f>SUM('Model inputs'!O196,'Model inputs'!O197,'Model inputs'!O198)</f>
        <v>2.0400098731409044</v>
      </c>
      <c r="P195" s="19">
        <f>SUM('Model inputs'!P196,'Model inputs'!P197,'Model inputs'!P198)</f>
        <v>2.2535015079062166</v>
      </c>
      <c r="Q195" s="19">
        <f>SUM('Model inputs'!Q196,'Model inputs'!Q197,'Model inputs'!Q198)</f>
        <v>2.467830412305536</v>
      </c>
      <c r="R195" s="19">
        <f>SUM('Model inputs'!R196,'Model inputs'!R197,'Model inputs'!R198)</f>
        <v>2.683506316427823</v>
      </c>
      <c r="S195" s="19">
        <f>SUM('Model inputs'!S196,'Model inputs'!S197,'Model inputs'!S198)</f>
        <v>2.9010288631150405</v>
      </c>
      <c r="T195" s="19">
        <f>SUM('Model inputs'!T196,'Model inputs'!T197,'Model inputs'!T198)</f>
        <v>3.12088919274707</v>
      </c>
      <c r="U195" s="19">
        <f>SUM('Model inputs'!U196,'Model inputs'!U197,'Model inputs'!U198)</f>
        <v>3.3435714603522264</v>
      </c>
      <c r="V195" s="19">
        <f>SUM('Model inputs'!V196,'Model inputs'!V197,'Model inputs'!V198)</f>
        <v>3.569554291023361</v>
      </c>
    </row>
    <row r="196" outlineLevel="1">
      <c r="A196" t="inlineStr" s="18">
        <is>
          <t xml:space="preserve">Upgrades out &gt; Indie</t>
        </is>
      </c>
      <c r="C196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inputs'!C179*'Model inputs'!B208/12)</f>
        <v>0</v>
      </c>
      <c r="D196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inputs'!D179*'Model inputs'!B208/12)</f>
        <v>0</v>
      </c>
      <c r="E196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inputs'!E179*'Model inputs'!B208/12)</f>
        <v>0</v>
      </c>
      <c r="F196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inputs'!F179*'Model inputs'!B208/12)</f>
        <v>0.26666666666666666</v>
      </c>
      <c r="G196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inputs'!G179*'Model inputs'!B208/12)</f>
        <v>0.4955555555555555</v>
      </c>
      <c r="H196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inputs'!H179*'Model inputs'!B208/12)</f>
        <v>0.6425185185185186</v>
      </c>
      <c r="I196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inputs'!I179*'Model inputs'!B208/12)</f>
        <v>0.7940839506172841</v>
      </c>
      <c r="J196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inputs'!J179*'Model inputs'!B208/12)</f>
        <v>0.9510970205761318</v>
      </c>
      <c r="K196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inputs'!K179*'Model inputs'!B208/12)</f>
        <v>1.114438712537723</v>
      </c>
      <c r="L196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inputs'!L179*'Model inputs'!B208/12)</f>
        <v>1.2850308111685418</v>
      </c>
      <c r="M196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inputs'!M179*'Model inputs'!B208/12)</f>
        <v>1.4638411442479722</v>
      </c>
      <c r="N196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inputs'!N179*'Model inputs'!B208/12)</f>
        <v>1.6518891127613609</v>
      </c>
      <c r="O196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inputs'!O179*'Model inputs'!B208/12)</f>
        <v>1.8388260451657203</v>
      </c>
      <c r="P196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inputs'!P179*'Model inputs'!B208/12)</f>
        <v>2.0251830303399943</v>
      </c>
      <c r="Q196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inputs'!Q179*'Model inputs'!B208/12)</f>
        <v>2.211474032030063</v>
      </c>
      <c r="R196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inputs'!R179*'Model inputs'!B208/12)</f>
        <v>2.398197761755969</v>
      </c>
      <c r="S196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inputs'!S179*'Model inputs'!B208/12)</f>
        <v>2.5858394561079314</v>
      </c>
      <c r="T196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inputs'!T179*'Model inputs'!B208/12)</f>
        <v>2.774872565975191</v>
      </c>
      <c r="U196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inputs'!U179*'Model inputs'!B208/12)</f>
        <v>2.9657603647956114</v>
      </c>
      <c r="V196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inputs'!V179*'Model inputs'!B208/12)</f>
        <v>3.158957482490088</v>
      </c>
    </row>
    <row r="197" outlineLevel="1">
      <c r="A197" t="inlineStr" s="18">
        <is>
          <t xml:space="preserve">Upgrades out &gt; Launch</t>
        </is>
      </c>
      <c r="C197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inputs'!C180*'Model inputs'!B209/12)</f>
        <v>0</v>
      </c>
      <c r="D197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inputs'!D180*'Model inputs'!B209/12)</f>
        <v>0</v>
      </c>
      <c r="E197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inputs'!E180*'Model inputs'!B209/12)</f>
        <v>0</v>
      </c>
      <c r="F197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inputs'!F180*'Model inputs'!B209/12)</f>
        <v>0</v>
      </c>
      <c r="G197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inputs'!G180*'Model inputs'!B209/12)</f>
        <v>0</v>
      </c>
      <c r="H197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inputs'!H180*'Model inputs'!B209/12)</f>
        <v>0</v>
      </c>
      <c r="I197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inputs'!I180*'Model inputs'!B209/12)</f>
        <v>0</v>
      </c>
      <c r="J197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inputs'!J180*'Model inputs'!B209/12)</f>
        <v>0</v>
      </c>
      <c r="K197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inputs'!K180*'Model inputs'!B209/12)</f>
        <v>0</v>
      </c>
      <c r="L197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inputs'!L180*'Model inputs'!B209/12)</f>
        <v>0</v>
      </c>
      <c r="M197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inputs'!M180*'Model inputs'!B209/12)</f>
        <v>0</v>
      </c>
      <c r="N197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inputs'!N180*'Model inputs'!B209/12)</f>
        <v>0</v>
      </c>
      <c r="O197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inputs'!O180*'Model inputs'!B209/12)</f>
        <v>0</v>
      </c>
      <c r="P197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inputs'!P180*'Model inputs'!B209/12)</f>
        <v>0</v>
      </c>
      <c r="Q197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inputs'!Q180*'Model inputs'!B209/12)</f>
        <v>0</v>
      </c>
      <c r="R197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inputs'!R180*'Model inputs'!B209/12)</f>
        <v>0</v>
      </c>
      <c r="S197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inputs'!S180*'Model inputs'!B209/12)</f>
        <v>0</v>
      </c>
      <c r="T197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inputs'!T180*'Model inputs'!B209/12)</f>
        <v>0</v>
      </c>
      <c r="U197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inputs'!U180*'Model inputs'!B209/12)</f>
        <v>0</v>
      </c>
      <c r="V197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inputs'!V180*'Model inputs'!B209/12)</f>
        <v>0</v>
      </c>
    </row>
    <row r="198" outlineLevel="1">
      <c r="A198" t="inlineStr" s="18">
        <is>
          <t xml:space="preserve">Upgrades out &gt; Team</t>
        </is>
      </c>
      <c r="C198" s="13">
        <f>IF(IF(IF(ISERROR('Model inputs'!C32&lt;1),'Model inputs'!C32&lt;1,IF('Model inputs'!C32="","",'Model inputs'!C32&lt;1))="",FALSE,IF(ISERROR('Model inputs'!C32&lt;1),'Model inputs'!C32&lt;1,IF('Model inputs'!C32="","",'Model inputs'!C32&lt;1))),0,'Model inputs'!C181*'Model inputs'!B210/12)</f>
        <v>0</v>
      </c>
      <c r="D198" s="13">
        <f>IF(IF(IF(ISERROR('Model inputs'!D32&lt;1),'Model inputs'!D32&lt;1,IF('Model inputs'!D32="","",'Model inputs'!D32&lt;1))="",FALSE,IF(ISERROR('Model inputs'!D32&lt;1),'Model inputs'!D32&lt;1,IF('Model inputs'!D32="","",'Model inputs'!D32&lt;1))),0,'Model inputs'!D181*'Model inputs'!B210/12)</f>
        <v>0</v>
      </c>
      <c r="E198" s="13">
        <f>IF(IF(IF(ISERROR('Model inputs'!E32&lt;1),'Model inputs'!E32&lt;1,IF('Model inputs'!E32="","",'Model inputs'!E32&lt;1))="",FALSE,IF(ISERROR('Model inputs'!E32&lt;1),'Model inputs'!E32&lt;1,IF('Model inputs'!E32="","",'Model inputs'!E32&lt;1))),0,'Model inputs'!E181*'Model inputs'!B210/12)</f>
        <v>0</v>
      </c>
      <c r="F198" s="13">
        <f>IF(IF(IF(ISERROR('Model inputs'!F32&lt;1),'Model inputs'!F32&lt;1,IF('Model inputs'!F32="","",'Model inputs'!F32&lt;1))="",FALSE,IF(ISERROR('Model inputs'!F32&lt;1),'Model inputs'!F32&lt;1,IF('Model inputs'!F32="","",'Model inputs'!F32&lt;1))),0,'Model inputs'!F181*'Model inputs'!B210/12)</f>
        <v>0.025</v>
      </c>
      <c r="G198" s="13">
        <f>IF(IF(IF(ISERROR('Model inputs'!G32&lt;1),'Model inputs'!G32&lt;1,IF('Model inputs'!G32="","",'Model inputs'!G32&lt;1))="",FALSE,IF(ISERROR('Model inputs'!G32&lt;1),'Model inputs'!G32&lt;1,IF('Model inputs'!G32="","",'Model inputs'!G32&lt;1))),0,'Model inputs'!G181*'Model inputs'!B210/12)</f>
        <v>0.03775694444444445</v>
      </c>
      <c r="H198" s="13">
        <f>IF(IF(IF(ISERROR('Model inputs'!H32&lt;1),'Model inputs'!H32&lt;1,IF('Model inputs'!H32="","",'Model inputs'!H32&lt;1))="",FALSE,IF(ISERROR('Model inputs'!H32&lt;1),'Model inputs'!H32&lt;1,IF('Model inputs'!H32="","",'Model inputs'!H32&lt;1))),0,'Model inputs'!H181*'Model inputs'!B210/12)</f>
        <v>0.05228173032407408</v>
      </c>
      <c r="I198" s="13">
        <f>IF(IF(IF(ISERROR('Model inputs'!I32&lt;1),'Model inputs'!I32&lt;1,IF('Model inputs'!I32="","",'Model inputs'!I32&lt;1))="",FALSE,IF(ISERROR('Model inputs'!I32&lt;1),'Model inputs'!I32&lt;1,IF('Model inputs'!I32="","",'Model inputs'!I32&lt;1))),0,'Model inputs'!I181*'Model inputs'!B210/12)</f>
        <v>0.06829759836516204</v>
      </c>
      <c r="J198" s="13">
        <f>IF(IF(IF(ISERROR('Model inputs'!J32&lt;1),'Model inputs'!J32&lt;1,IF('Model inputs'!J32="","",'Model inputs'!J32&lt;1))="",FALSE,IF(ISERROR('Model inputs'!J32&lt;1),'Model inputs'!J32&lt;1,IF('Model inputs'!J32="","",'Model inputs'!J32&lt;1))),0,'Model inputs'!J181*'Model inputs'!B210/12)</f>
        <v>0.08591028021525769</v>
      </c>
      <c r="K198" s="13">
        <f>IF(IF(IF(ISERROR('Model inputs'!K32&lt;1),'Model inputs'!K32&lt;1,IF('Model inputs'!K32="","",'Model inputs'!K32&lt;1))="",FALSE,IF(ISERROR('Model inputs'!K32&lt;1),'Model inputs'!K32&lt;1,IF('Model inputs'!K32="","",'Model inputs'!K32&lt;1))),0,'Model inputs'!K181*'Model inputs'!B210/12)</f>
        <v>0.10523916656030362</v>
      </c>
      <c r="L198" s="13">
        <f>IF(IF(IF(ISERROR('Model inputs'!L32&lt;1),'Model inputs'!L32&lt;1,IF('Model inputs'!L32="","",'Model inputs'!L32&lt;1))="",FALSE,IF(ISERROR('Model inputs'!L32&lt;1),'Model inputs'!L32&lt;1,IF('Model inputs'!L32="","",'Model inputs'!L32&lt;1))),0,'Model inputs'!L181*'Model inputs'!B210/12)</f>
        <v>0.12641836467173376</v>
      </c>
      <c r="M198" s="13">
        <f>IF(IF(IF(ISERROR('Model inputs'!M32&lt;1),'Model inputs'!M32&lt;1,IF('Model inputs'!M32="","",'Model inputs'!M32&lt;1))="",FALSE,IF(ISERROR('Model inputs'!M32&lt;1),'Model inputs'!M32&lt;1,IF('Model inputs'!M32="","",'Model inputs'!M32&lt;1))),0,'Model inputs'!M181*'Model inputs'!B210/12)</f>
        <v>0.1495978780919851</v>
      </c>
      <c r="N198" s="13">
        <f>IF(IF(IF(ISERROR('Model inputs'!N32&lt;1),'Model inputs'!N32&lt;1,IF('Model inputs'!N32="","",'Model inputs'!N32&lt;1))="",FALSE,IF(ISERROR('Model inputs'!N32&lt;1),'Model inputs'!N32&lt;1,IF('Model inputs'!N32="","",'Model inputs'!N32&lt;1))),0,'Model inputs'!N181*'Model inputs'!B210/12)</f>
        <v>0.17494491910820884</v>
      </c>
      <c r="O198" s="13">
        <f>IF(IF(IF(ISERROR('Model inputs'!O32&lt;1),'Model inputs'!O32&lt;1,IF('Model inputs'!O32="","",'Model inputs'!O32&lt;1))="",FALSE,IF(ISERROR('Model inputs'!O32&lt;1),'Model inputs'!O32&lt;1,IF('Model inputs'!O32="","",'Model inputs'!O32&lt;1))),0,'Model inputs'!O181*'Model inputs'!B210/12)</f>
        <v>0.20118382797518408</v>
      </c>
      <c r="P198" s="13">
        <f>IF(IF(IF(ISERROR('Model inputs'!P32&lt;1),'Model inputs'!P32&lt;1,IF('Model inputs'!P32="","",'Model inputs'!P32&lt;1))="",FALSE,IF(ISERROR('Model inputs'!P32&lt;1),'Model inputs'!P32&lt;1,IF('Model inputs'!P32="","",'Model inputs'!P32&lt;1))),0,'Model inputs'!P181*'Model inputs'!B210/12)</f>
        <v>0.22831847756622248</v>
      </c>
      <c r="Q198" s="13">
        <f>IF(IF(IF(ISERROR('Model inputs'!Q32&lt;1),'Model inputs'!Q32&lt;1,IF('Model inputs'!Q32="","",'Model inputs'!Q32&lt;1))="",FALSE,IF(ISERROR('Model inputs'!Q32&lt;1),'Model inputs'!Q32&lt;1,IF('Model inputs'!Q32="","",'Model inputs'!Q32&lt;1))),0,'Model inputs'!Q181*'Model inputs'!B210/12)</f>
        <v>0.2563563802754732</v>
      </c>
      <c r="R198" s="13">
        <f>IF(IF(IF(ISERROR('Model inputs'!R32&lt;1),'Model inputs'!R32&lt;1,IF('Model inputs'!R32="","",'Model inputs'!R32&lt;1))="",FALSE,IF(ISERROR('Model inputs'!R32&lt;1),'Model inputs'!R32&lt;1,IF('Model inputs'!R32="","",'Model inputs'!R32&lt;1))),0,'Model inputs'!R181*'Model inputs'!B210/12)</f>
        <v>0.28530855467185373</v>
      </c>
      <c r="S198" s="13">
        <f>IF(IF(IF(ISERROR('Model inputs'!S32&lt;1),'Model inputs'!S32&lt;1,IF('Model inputs'!S32="","",'Model inputs'!S32&lt;1))="",FALSE,IF(ISERROR('Model inputs'!S32&lt;1),'Model inputs'!S32&lt;1,IF('Model inputs'!S32="","",'Model inputs'!S32&lt;1))),0,'Model inputs'!S181*'Model inputs'!B210/12)</f>
        <v>0.3151894070071091</v>
      </c>
      <c r="T198" s="13">
        <f>IF(IF(IF(ISERROR('Model inputs'!T32&lt;1),'Model inputs'!T32&lt;1,IF('Model inputs'!T32="","",'Model inputs'!T32&lt;1))="",FALSE,IF(ISERROR('Model inputs'!T32&lt;1),'Model inputs'!T32&lt;1,IF('Model inputs'!T32="","",'Model inputs'!T32&lt;1))),0,'Model inputs'!T181*'Model inputs'!B210/12)</f>
        <v>0.34601662677187894</v>
      </c>
      <c r="U198" s="13">
        <f>IF(IF(IF(ISERROR('Model inputs'!U32&lt;1),'Model inputs'!U32&lt;1,IF('Model inputs'!U32="","",'Model inputs'!U32&lt;1))="",FALSE,IF(ISERROR('Model inputs'!U32&lt;1),'Model inputs'!U32&lt;1,IF('Model inputs'!U32="","",'Model inputs'!U32&lt;1))),0,'Model inputs'!U181*'Model inputs'!B210/12)</f>
        <v>0.3778110955566152</v>
      </c>
      <c r="V198" s="13">
        <f>IF(IF(IF(ISERROR('Model inputs'!V32&lt;1),'Model inputs'!V32&lt;1,IF('Model inputs'!V32="","",'Model inputs'!V32&lt;1))="",FALSE,IF(ISERROR('Model inputs'!V32&lt;1),'Model inputs'!V32&lt;1,IF('Model inputs'!V32="","",'Model inputs'!V32&lt;1))),0,'Model inputs'!V181*'Model inputs'!B210/12)</f>
        <v>0.41059680853327324</v>
      </c>
    </row>
    <row r="199">
      <c r="A199" t="inlineStr" s="16">
        <is>
          <t xml:space="preserve">Waitlist new logos</t>
        </is>
      </c>
      <c r="C199" s="19">
        <f>SUM('Model inputs'!C200,'Model inputs'!C201,'Model inputs'!C202)</f>
        <v>0</v>
      </c>
      <c r="D199" s="19">
        <f>SUM('Model inputs'!D200,'Model inputs'!D201,'Model inputs'!D202)</f>
        <v>0</v>
      </c>
      <c r="E199" s="19">
        <f>SUM('Model inputs'!E200,'Model inputs'!E201,'Model inputs'!E202)</f>
        <v>0</v>
      </c>
      <c r="F199" s="19">
        <f>SUM('Model inputs'!F200,'Model inputs'!F201,'Model inputs'!F202)</f>
        <v>12</v>
      </c>
      <c r="G199" s="19">
        <f>SUM('Model inputs'!G200,'Model inputs'!G201,'Model inputs'!G202)</f>
        <v>0</v>
      </c>
      <c r="H199" s="19">
        <f>SUM('Model inputs'!H200,'Model inputs'!H201,'Model inputs'!H202)</f>
        <v>0</v>
      </c>
      <c r="I199" s="19">
        <f>SUM('Model inputs'!I200,'Model inputs'!I201,'Model inputs'!I202)</f>
        <v>0</v>
      </c>
      <c r="J199" s="19">
        <f>SUM('Model inputs'!J200,'Model inputs'!J201,'Model inputs'!J202)</f>
        <v>0</v>
      </c>
      <c r="K199" s="19">
        <f>SUM('Model inputs'!K200,'Model inputs'!K201,'Model inputs'!K202)</f>
        <v>0</v>
      </c>
      <c r="L199" s="19">
        <f>SUM('Model inputs'!L200,'Model inputs'!L201,'Model inputs'!L202)</f>
        <v>0</v>
      </c>
      <c r="M199" s="19">
        <f>SUM('Model inputs'!M200,'Model inputs'!M201,'Model inputs'!M202)</f>
        <v>0</v>
      </c>
      <c r="N199" s="19">
        <f>SUM('Model inputs'!N200,'Model inputs'!N201,'Model inputs'!N202)</f>
        <v>0</v>
      </c>
      <c r="O199" s="19">
        <f>SUM('Model inputs'!O200,'Model inputs'!O201,'Model inputs'!O202)</f>
        <v>0</v>
      </c>
      <c r="P199" s="19">
        <f>SUM('Model inputs'!P200,'Model inputs'!P201,'Model inputs'!P202)</f>
        <v>0</v>
      </c>
      <c r="Q199" s="19">
        <f>SUM('Model inputs'!Q200,'Model inputs'!Q201,'Model inputs'!Q202)</f>
        <v>0</v>
      </c>
      <c r="R199" s="19">
        <f>SUM('Model inputs'!R200,'Model inputs'!R201,'Model inputs'!R202)</f>
        <v>0</v>
      </c>
      <c r="S199" s="19">
        <f>SUM('Model inputs'!S200,'Model inputs'!S201,'Model inputs'!S202)</f>
        <v>0</v>
      </c>
      <c r="T199" s="19">
        <f>SUM('Model inputs'!T200,'Model inputs'!T201,'Model inputs'!T202)</f>
        <v>0</v>
      </c>
      <c r="U199" s="19">
        <f>SUM('Model inputs'!U200,'Model inputs'!U201,'Model inputs'!U202)</f>
        <v>0</v>
      </c>
      <c r="V199" s="19">
        <f>SUM('Model inputs'!V200,'Model inputs'!V201,'Model inputs'!V202)</f>
        <v>0</v>
      </c>
    </row>
    <row r="200" outlineLevel="1">
      <c r="A200" t="inlineStr" s="18">
        <is>
          <t xml:space="preserve">Waitlist new logos &gt; Indie</t>
        </is>
      </c>
      <c r="C200" s="13">
        <f>IF(IF(IF(ISERROR('Model inputs'!C32=1),'Model inputs'!C32=1,IF('Model inputs'!C32="","",'Model inputs'!C32=1))="",FALSE,IF(ISERROR('Model inputs'!C32=1),'Model inputs'!C32=1,IF('Model inputs'!C32="","",'Model inputs'!C32=1))),IF('Model inputs'!B250="","",'Model inputs'!B250),0)</f>
        <v>0</v>
      </c>
      <c r="D200" s="13">
        <f>IF(IF(IF(ISERROR('Model inputs'!D32=1),'Model inputs'!D32=1,IF('Model inputs'!D32="","",'Model inputs'!D32=1))="",FALSE,IF(ISERROR('Model inputs'!D32=1),'Model inputs'!D32=1,IF('Model inputs'!D32="","",'Model inputs'!D32=1))),IF('Model inputs'!B250="","",'Model inputs'!B250),0)</f>
        <v>0</v>
      </c>
      <c r="E200" s="13">
        <f>IF(IF(IF(ISERROR('Model inputs'!E32=1),'Model inputs'!E32=1,IF('Model inputs'!E32="","",'Model inputs'!E32=1))="",FALSE,IF(ISERROR('Model inputs'!E32=1),'Model inputs'!E32=1,IF('Model inputs'!E32="","",'Model inputs'!E32=1))),IF('Model inputs'!B250="","",'Model inputs'!B250),0)</f>
        <v>0</v>
      </c>
      <c r="F200" s="13">
        <f>IF(IF(IF(ISERROR('Model inputs'!F32=1),'Model inputs'!F32=1,IF('Model inputs'!F32="","",'Model inputs'!F32=1))="",FALSE,IF(ISERROR('Model inputs'!F32=1),'Model inputs'!F32=1,IF('Model inputs'!F32="","",'Model inputs'!F32=1))),IF('Model inputs'!B250="","",'Model inputs'!B250),0)</f>
        <v>12</v>
      </c>
      <c r="G200" s="13">
        <f>IF(IF(IF(ISERROR('Model inputs'!G32=1),'Model inputs'!G32=1,IF('Model inputs'!G32="","",'Model inputs'!G32=1))="",FALSE,IF(ISERROR('Model inputs'!G32=1),'Model inputs'!G32=1,IF('Model inputs'!G32="","",'Model inputs'!G32=1))),IF('Model inputs'!B250="","",'Model inputs'!B250),0)</f>
        <v>0</v>
      </c>
      <c r="H200" s="13">
        <f>IF(IF(IF(ISERROR('Model inputs'!H32=1),'Model inputs'!H32=1,IF('Model inputs'!H32="","",'Model inputs'!H32=1))="",FALSE,IF(ISERROR('Model inputs'!H32=1),'Model inputs'!H32=1,IF('Model inputs'!H32="","",'Model inputs'!H32=1))),IF('Model inputs'!B250="","",'Model inputs'!B250),0)</f>
        <v>0</v>
      </c>
      <c r="I200" s="13">
        <f>IF(IF(IF(ISERROR('Model inputs'!I32=1),'Model inputs'!I32=1,IF('Model inputs'!I32="","",'Model inputs'!I32=1))="",FALSE,IF(ISERROR('Model inputs'!I32=1),'Model inputs'!I32=1,IF('Model inputs'!I32="","",'Model inputs'!I32=1))),IF('Model inputs'!B250="","",'Model inputs'!B250),0)</f>
        <v>0</v>
      </c>
      <c r="J200" s="13">
        <f>IF(IF(IF(ISERROR('Model inputs'!J32=1),'Model inputs'!J32=1,IF('Model inputs'!J32="","",'Model inputs'!J32=1))="",FALSE,IF(ISERROR('Model inputs'!J32=1),'Model inputs'!J32=1,IF('Model inputs'!J32="","",'Model inputs'!J32=1))),IF('Model inputs'!B250="","",'Model inputs'!B250),0)</f>
        <v>0</v>
      </c>
      <c r="K200" s="13">
        <f>IF(IF(IF(ISERROR('Model inputs'!K32=1),'Model inputs'!K32=1,IF('Model inputs'!K32="","",'Model inputs'!K32=1))="",FALSE,IF(ISERROR('Model inputs'!K32=1),'Model inputs'!K32=1,IF('Model inputs'!K32="","",'Model inputs'!K32=1))),IF('Model inputs'!B250="","",'Model inputs'!B250),0)</f>
        <v>0</v>
      </c>
      <c r="L200" s="13">
        <f>IF(IF(IF(ISERROR('Model inputs'!L32=1),'Model inputs'!L32=1,IF('Model inputs'!L32="","",'Model inputs'!L32=1))="",FALSE,IF(ISERROR('Model inputs'!L32=1),'Model inputs'!L32=1,IF('Model inputs'!L32="","",'Model inputs'!L32=1))),IF('Model inputs'!B250="","",'Model inputs'!B250),0)</f>
        <v>0</v>
      </c>
      <c r="M200" s="13">
        <f>IF(IF(IF(ISERROR('Model inputs'!M32=1),'Model inputs'!M32=1,IF('Model inputs'!M32="","",'Model inputs'!M32=1))="",FALSE,IF(ISERROR('Model inputs'!M32=1),'Model inputs'!M32=1,IF('Model inputs'!M32="","",'Model inputs'!M32=1))),IF('Model inputs'!B250="","",'Model inputs'!B250),0)</f>
        <v>0</v>
      </c>
      <c r="N200" s="13">
        <f>IF(IF(IF(ISERROR('Model inputs'!N32=1),'Model inputs'!N32=1,IF('Model inputs'!N32="","",'Model inputs'!N32=1))="",FALSE,IF(ISERROR('Model inputs'!N32=1),'Model inputs'!N32=1,IF('Model inputs'!N32="","",'Model inputs'!N32=1))),IF('Model inputs'!B250="","",'Model inputs'!B250),0)</f>
        <v>0</v>
      </c>
      <c r="O200" s="13">
        <f>IF(IF(IF(ISERROR('Model inputs'!O32=1),'Model inputs'!O32=1,IF('Model inputs'!O32="","",'Model inputs'!O32=1))="",FALSE,IF(ISERROR('Model inputs'!O32=1),'Model inputs'!O32=1,IF('Model inputs'!O32="","",'Model inputs'!O32=1))),IF('Model inputs'!B250="","",'Model inputs'!B250),0)</f>
        <v>0</v>
      </c>
      <c r="P200" s="13">
        <f>IF(IF(IF(ISERROR('Model inputs'!P32=1),'Model inputs'!P32=1,IF('Model inputs'!P32="","",'Model inputs'!P32=1))="",FALSE,IF(ISERROR('Model inputs'!P32=1),'Model inputs'!P32=1,IF('Model inputs'!P32="","",'Model inputs'!P32=1))),IF('Model inputs'!B250="","",'Model inputs'!B250),0)</f>
        <v>0</v>
      </c>
      <c r="Q200" s="13">
        <f>IF(IF(IF(ISERROR('Model inputs'!Q32=1),'Model inputs'!Q32=1,IF('Model inputs'!Q32="","",'Model inputs'!Q32=1))="",FALSE,IF(ISERROR('Model inputs'!Q32=1),'Model inputs'!Q32=1,IF('Model inputs'!Q32="","",'Model inputs'!Q32=1))),IF('Model inputs'!B250="","",'Model inputs'!B250),0)</f>
        <v>0</v>
      </c>
      <c r="R200" s="13">
        <f>IF(IF(IF(ISERROR('Model inputs'!R32=1),'Model inputs'!R32=1,IF('Model inputs'!R32="","",'Model inputs'!R32=1))="",FALSE,IF(ISERROR('Model inputs'!R32=1),'Model inputs'!R32=1,IF('Model inputs'!R32="","",'Model inputs'!R32=1))),IF('Model inputs'!B250="","",'Model inputs'!B250),0)</f>
        <v>0</v>
      </c>
      <c r="S200" s="13">
        <f>IF(IF(IF(ISERROR('Model inputs'!S32=1),'Model inputs'!S32=1,IF('Model inputs'!S32="","",'Model inputs'!S32=1))="",FALSE,IF(ISERROR('Model inputs'!S32=1),'Model inputs'!S32=1,IF('Model inputs'!S32="","",'Model inputs'!S32=1))),IF('Model inputs'!B250="","",'Model inputs'!B250),0)</f>
        <v>0</v>
      </c>
      <c r="T200" s="13">
        <f>IF(IF(IF(ISERROR('Model inputs'!T32=1),'Model inputs'!T32=1,IF('Model inputs'!T32="","",'Model inputs'!T32=1))="",FALSE,IF(ISERROR('Model inputs'!T32=1),'Model inputs'!T32=1,IF('Model inputs'!T32="","",'Model inputs'!T32=1))),IF('Model inputs'!B250="","",'Model inputs'!B250),0)</f>
        <v>0</v>
      </c>
      <c r="U200" s="13">
        <f>IF(IF(IF(ISERROR('Model inputs'!U32=1),'Model inputs'!U32=1,IF('Model inputs'!U32="","",'Model inputs'!U32=1))="",FALSE,IF(ISERROR('Model inputs'!U32=1),'Model inputs'!U32=1,IF('Model inputs'!U32="","",'Model inputs'!U32=1))),IF('Model inputs'!B250="","",'Model inputs'!B250),0)</f>
        <v>0</v>
      </c>
      <c r="V200" s="13">
        <f>IF(IF(IF(ISERROR('Model inputs'!V32=1),'Model inputs'!V32=1,IF('Model inputs'!V32="","",'Model inputs'!V32=1))="",FALSE,IF(ISERROR('Model inputs'!V32=1),'Model inputs'!V32=1,IF('Model inputs'!V32="","",'Model inputs'!V32=1))),IF('Model inputs'!B250="","",'Model inputs'!B250),0)</f>
        <v>0</v>
      </c>
    </row>
    <row r="201" outlineLevel="1">
      <c r="A201" t="inlineStr" s="18">
        <is>
          <t xml:space="preserve">Waitlist new logos &gt; Launch</t>
        </is>
      </c>
      <c r="C201" s="13">
        <f>IF(IF(IF(ISERROR('Model inputs'!C32=1),'Model inputs'!C32=1,IF('Model inputs'!C32="","",'Model inputs'!C32=1))="",FALSE,IF(ISERROR('Model inputs'!C32=1),'Model inputs'!C32=1,IF('Model inputs'!C32="","",'Model inputs'!C32=1))),IF('Model inputs'!B251="","",'Model inputs'!B251),0)</f>
        <v>0</v>
      </c>
      <c r="D201" s="13">
        <f>IF(IF(IF(ISERROR('Model inputs'!D32=1),'Model inputs'!D32=1,IF('Model inputs'!D32="","",'Model inputs'!D32=1))="",FALSE,IF(ISERROR('Model inputs'!D32=1),'Model inputs'!D32=1,IF('Model inputs'!D32="","",'Model inputs'!D32=1))),IF('Model inputs'!B251="","",'Model inputs'!B251),0)</f>
        <v>0</v>
      </c>
      <c r="E201" s="13">
        <f>IF(IF(IF(ISERROR('Model inputs'!E32=1),'Model inputs'!E32=1,IF('Model inputs'!E32="","",'Model inputs'!E32=1))="",FALSE,IF(ISERROR('Model inputs'!E32=1),'Model inputs'!E32=1,IF('Model inputs'!E32="","",'Model inputs'!E32=1))),IF('Model inputs'!B251="","",'Model inputs'!B251),0)</f>
        <v>0</v>
      </c>
      <c r="F201" s="13">
        <f>IF(IF(IF(ISERROR('Model inputs'!F32=1),'Model inputs'!F32=1,IF('Model inputs'!F32="","",'Model inputs'!F32=1))="",FALSE,IF(ISERROR('Model inputs'!F32=1),'Model inputs'!F32=1,IF('Model inputs'!F32="","",'Model inputs'!F32=1))),IF('Model inputs'!B251="","",'Model inputs'!B251),0)</f>
        <v>0</v>
      </c>
      <c r="G201" s="13">
        <f>IF(IF(IF(ISERROR('Model inputs'!G32=1),'Model inputs'!G32=1,IF('Model inputs'!G32="","",'Model inputs'!G32=1))="",FALSE,IF(ISERROR('Model inputs'!G32=1),'Model inputs'!G32=1,IF('Model inputs'!G32="","",'Model inputs'!G32=1))),IF('Model inputs'!B251="","",'Model inputs'!B251),0)</f>
        <v>0</v>
      </c>
      <c r="H201" s="13">
        <f>IF(IF(IF(ISERROR('Model inputs'!H32=1),'Model inputs'!H32=1,IF('Model inputs'!H32="","",'Model inputs'!H32=1))="",FALSE,IF(ISERROR('Model inputs'!H32=1),'Model inputs'!H32=1,IF('Model inputs'!H32="","",'Model inputs'!H32=1))),IF('Model inputs'!B251="","",'Model inputs'!B251),0)</f>
        <v>0</v>
      </c>
      <c r="I201" s="13">
        <f>IF(IF(IF(ISERROR('Model inputs'!I32=1),'Model inputs'!I32=1,IF('Model inputs'!I32="","",'Model inputs'!I32=1))="",FALSE,IF(ISERROR('Model inputs'!I32=1),'Model inputs'!I32=1,IF('Model inputs'!I32="","",'Model inputs'!I32=1))),IF('Model inputs'!B251="","",'Model inputs'!B251),0)</f>
        <v>0</v>
      </c>
      <c r="J201" s="13">
        <f>IF(IF(IF(ISERROR('Model inputs'!J32=1),'Model inputs'!J32=1,IF('Model inputs'!J32="","",'Model inputs'!J32=1))="",FALSE,IF(ISERROR('Model inputs'!J32=1),'Model inputs'!J32=1,IF('Model inputs'!J32="","",'Model inputs'!J32=1))),IF('Model inputs'!B251="","",'Model inputs'!B251),0)</f>
        <v>0</v>
      </c>
      <c r="K201" s="13">
        <f>IF(IF(IF(ISERROR('Model inputs'!K32=1),'Model inputs'!K32=1,IF('Model inputs'!K32="","",'Model inputs'!K32=1))="",FALSE,IF(ISERROR('Model inputs'!K32=1),'Model inputs'!K32=1,IF('Model inputs'!K32="","",'Model inputs'!K32=1))),IF('Model inputs'!B251="","",'Model inputs'!B251),0)</f>
        <v>0</v>
      </c>
      <c r="L201" s="13">
        <f>IF(IF(IF(ISERROR('Model inputs'!L32=1),'Model inputs'!L32=1,IF('Model inputs'!L32="","",'Model inputs'!L32=1))="",FALSE,IF(ISERROR('Model inputs'!L32=1),'Model inputs'!L32=1,IF('Model inputs'!L32="","",'Model inputs'!L32=1))),IF('Model inputs'!B251="","",'Model inputs'!B251),0)</f>
        <v>0</v>
      </c>
      <c r="M201" s="13">
        <f>IF(IF(IF(ISERROR('Model inputs'!M32=1),'Model inputs'!M32=1,IF('Model inputs'!M32="","",'Model inputs'!M32=1))="",FALSE,IF(ISERROR('Model inputs'!M32=1),'Model inputs'!M32=1,IF('Model inputs'!M32="","",'Model inputs'!M32=1))),IF('Model inputs'!B251="","",'Model inputs'!B251),0)</f>
        <v>0</v>
      </c>
      <c r="N201" s="13">
        <f>IF(IF(IF(ISERROR('Model inputs'!N32=1),'Model inputs'!N32=1,IF('Model inputs'!N32="","",'Model inputs'!N32=1))="",FALSE,IF(ISERROR('Model inputs'!N32=1),'Model inputs'!N32=1,IF('Model inputs'!N32="","",'Model inputs'!N32=1))),IF('Model inputs'!B251="","",'Model inputs'!B251),0)</f>
        <v>0</v>
      </c>
      <c r="O201" s="13">
        <f>IF(IF(IF(ISERROR('Model inputs'!O32=1),'Model inputs'!O32=1,IF('Model inputs'!O32="","",'Model inputs'!O32=1))="",FALSE,IF(ISERROR('Model inputs'!O32=1),'Model inputs'!O32=1,IF('Model inputs'!O32="","",'Model inputs'!O32=1))),IF('Model inputs'!B251="","",'Model inputs'!B251),0)</f>
        <v>0</v>
      </c>
      <c r="P201" s="13">
        <f>IF(IF(IF(ISERROR('Model inputs'!P32=1),'Model inputs'!P32=1,IF('Model inputs'!P32="","",'Model inputs'!P32=1))="",FALSE,IF(ISERROR('Model inputs'!P32=1),'Model inputs'!P32=1,IF('Model inputs'!P32="","",'Model inputs'!P32=1))),IF('Model inputs'!B251="","",'Model inputs'!B251),0)</f>
        <v>0</v>
      </c>
      <c r="Q201" s="13">
        <f>IF(IF(IF(ISERROR('Model inputs'!Q32=1),'Model inputs'!Q32=1,IF('Model inputs'!Q32="","",'Model inputs'!Q32=1))="",FALSE,IF(ISERROR('Model inputs'!Q32=1),'Model inputs'!Q32=1,IF('Model inputs'!Q32="","",'Model inputs'!Q32=1))),IF('Model inputs'!B251="","",'Model inputs'!B251),0)</f>
        <v>0</v>
      </c>
      <c r="R201" s="13">
        <f>IF(IF(IF(ISERROR('Model inputs'!R32=1),'Model inputs'!R32=1,IF('Model inputs'!R32="","",'Model inputs'!R32=1))="",FALSE,IF(ISERROR('Model inputs'!R32=1),'Model inputs'!R32=1,IF('Model inputs'!R32="","",'Model inputs'!R32=1))),IF('Model inputs'!B251="","",'Model inputs'!B251),0)</f>
        <v>0</v>
      </c>
      <c r="S201" s="13">
        <f>IF(IF(IF(ISERROR('Model inputs'!S32=1),'Model inputs'!S32=1,IF('Model inputs'!S32="","",'Model inputs'!S32=1))="",FALSE,IF(ISERROR('Model inputs'!S32=1),'Model inputs'!S32=1,IF('Model inputs'!S32="","",'Model inputs'!S32=1))),IF('Model inputs'!B251="","",'Model inputs'!B251),0)</f>
        <v>0</v>
      </c>
      <c r="T201" s="13">
        <f>IF(IF(IF(ISERROR('Model inputs'!T32=1),'Model inputs'!T32=1,IF('Model inputs'!T32="","",'Model inputs'!T32=1))="",FALSE,IF(ISERROR('Model inputs'!T32=1),'Model inputs'!T32=1,IF('Model inputs'!T32="","",'Model inputs'!T32=1))),IF('Model inputs'!B251="","",'Model inputs'!B251),0)</f>
        <v>0</v>
      </c>
      <c r="U201" s="13">
        <f>IF(IF(IF(ISERROR('Model inputs'!U32=1),'Model inputs'!U32=1,IF('Model inputs'!U32="","",'Model inputs'!U32=1))="",FALSE,IF(ISERROR('Model inputs'!U32=1),'Model inputs'!U32=1,IF('Model inputs'!U32="","",'Model inputs'!U32=1))),IF('Model inputs'!B251="","",'Model inputs'!B251),0)</f>
        <v>0</v>
      </c>
      <c r="V201" s="13">
        <f>IF(IF(IF(ISERROR('Model inputs'!V32=1),'Model inputs'!V32=1,IF('Model inputs'!V32="","",'Model inputs'!V32=1))="",FALSE,IF(ISERROR('Model inputs'!V32=1),'Model inputs'!V32=1,IF('Model inputs'!V32="","",'Model inputs'!V32=1))),IF('Model inputs'!B251="","",'Model inputs'!B251),0)</f>
        <v>0</v>
      </c>
    </row>
    <row r="202" outlineLevel="1">
      <c r="A202" t="inlineStr" s="18">
        <is>
          <t xml:space="preserve">Waitlist new logos &gt; Team</t>
        </is>
      </c>
      <c r="C202" s="13">
        <f>IF(IF(IF(ISERROR('Model inputs'!C32=1),'Model inputs'!C32=1,IF('Model inputs'!C32="","",'Model inputs'!C32=1))="",FALSE,IF(ISERROR('Model inputs'!C32=1),'Model inputs'!C32=1,IF('Model inputs'!C32="","",'Model inputs'!C32=1))),IF('Model inputs'!B252="","",'Model inputs'!B252),0)</f>
        <v>0</v>
      </c>
      <c r="D202" s="13">
        <f>IF(IF(IF(ISERROR('Model inputs'!D32=1),'Model inputs'!D32=1,IF('Model inputs'!D32="","",'Model inputs'!D32=1))="",FALSE,IF(ISERROR('Model inputs'!D32=1),'Model inputs'!D32=1,IF('Model inputs'!D32="","",'Model inputs'!D32=1))),IF('Model inputs'!B252="","",'Model inputs'!B252),0)</f>
        <v>0</v>
      </c>
      <c r="E202" s="13">
        <f>IF(IF(IF(ISERROR('Model inputs'!E32=1),'Model inputs'!E32=1,IF('Model inputs'!E32="","",'Model inputs'!E32=1))="",FALSE,IF(ISERROR('Model inputs'!E32=1),'Model inputs'!E32=1,IF('Model inputs'!E32="","",'Model inputs'!E32=1))),IF('Model inputs'!B252="","",'Model inputs'!B252),0)</f>
        <v>0</v>
      </c>
      <c r="F202" s="13">
        <f>IF(IF(IF(ISERROR('Model inputs'!F32=1),'Model inputs'!F32=1,IF('Model inputs'!F32="","",'Model inputs'!F32=1))="",FALSE,IF(ISERROR('Model inputs'!F32=1),'Model inputs'!F32=1,IF('Model inputs'!F32="","",'Model inputs'!F32=1))),IF('Model inputs'!B252="","",'Model inputs'!B252),0)</f>
        <v>0</v>
      </c>
      <c r="G202" s="13">
        <f>IF(IF(IF(ISERROR('Model inputs'!G32=1),'Model inputs'!G32=1,IF('Model inputs'!G32="","",'Model inputs'!G32=1))="",FALSE,IF(ISERROR('Model inputs'!G32=1),'Model inputs'!G32=1,IF('Model inputs'!G32="","",'Model inputs'!G32=1))),IF('Model inputs'!B252="","",'Model inputs'!B252),0)</f>
        <v>0</v>
      </c>
      <c r="H202" s="13">
        <f>IF(IF(IF(ISERROR('Model inputs'!H32=1),'Model inputs'!H32=1,IF('Model inputs'!H32="","",'Model inputs'!H32=1))="",FALSE,IF(ISERROR('Model inputs'!H32=1),'Model inputs'!H32=1,IF('Model inputs'!H32="","",'Model inputs'!H32=1))),IF('Model inputs'!B252="","",'Model inputs'!B252),0)</f>
        <v>0</v>
      </c>
      <c r="I202" s="13">
        <f>IF(IF(IF(ISERROR('Model inputs'!I32=1),'Model inputs'!I32=1,IF('Model inputs'!I32="","",'Model inputs'!I32=1))="",FALSE,IF(ISERROR('Model inputs'!I32=1),'Model inputs'!I32=1,IF('Model inputs'!I32="","",'Model inputs'!I32=1))),IF('Model inputs'!B252="","",'Model inputs'!B252),0)</f>
        <v>0</v>
      </c>
      <c r="J202" s="13">
        <f>IF(IF(IF(ISERROR('Model inputs'!J32=1),'Model inputs'!J32=1,IF('Model inputs'!J32="","",'Model inputs'!J32=1))="",FALSE,IF(ISERROR('Model inputs'!J32=1),'Model inputs'!J32=1,IF('Model inputs'!J32="","",'Model inputs'!J32=1))),IF('Model inputs'!B252="","",'Model inputs'!B252),0)</f>
        <v>0</v>
      </c>
      <c r="K202" s="13">
        <f>IF(IF(IF(ISERROR('Model inputs'!K32=1),'Model inputs'!K32=1,IF('Model inputs'!K32="","",'Model inputs'!K32=1))="",FALSE,IF(ISERROR('Model inputs'!K32=1),'Model inputs'!K32=1,IF('Model inputs'!K32="","",'Model inputs'!K32=1))),IF('Model inputs'!B252="","",'Model inputs'!B252),0)</f>
        <v>0</v>
      </c>
      <c r="L202" s="13">
        <f>IF(IF(IF(ISERROR('Model inputs'!L32=1),'Model inputs'!L32=1,IF('Model inputs'!L32="","",'Model inputs'!L32=1))="",FALSE,IF(ISERROR('Model inputs'!L32=1),'Model inputs'!L32=1,IF('Model inputs'!L32="","",'Model inputs'!L32=1))),IF('Model inputs'!B252="","",'Model inputs'!B252),0)</f>
        <v>0</v>
      </c>
      <c r="M202" s="13">
        <f>IF(IF(IF(ISERROR('Model inputs'!M32=1),'Model inputs'!M32=1,IF('Model inputs'!M32="","",'Model inputs'!M32=1))="",FALSE,IF(ISERROR('Model inputs'!M32=1),'Model inputs'!M32=1,IF('Model inputs'!M32="","",'Model inputs'!M32=1))),IF('Model inputs'!B252="","",'Model inputs'!B252),0)</f>
        <v>0</v>
      </c>
      <c r="N202" s="13">
        <f>IF(IF(IF(ISERROR('Model inputs'!N32=1),'Model inputs'!N32=1,IF('Model inputs'!N32="","",'Model inputs'!N32=1))="",FALSE,IF(ISERROR('Model inputs'!N32=1),'Model inputs'!N32=1,IF('Model inputs'!N32="","",'Model inputs'!N32=1))),IF('Model inputs'!B252="","",'Model inputs'!B252),0)</f>
        <v>0</v>
      </c>
      <c r="O202" s="13">
        <f>IF(IF(IF(ISERROR('Model inputs'!O32=1),'Model inputs'!O32=1,IF('Model inputs'!O32="","",'Model inputs'!O32=1))="",FALSE,IF(ISERROR('Model inputs'!O32=1),'Model inputs'!O32=1,IF('Model inputs'!O32="","",'Model inputs'!O32=1))),IF('Model inputs'!B252="","",'Model inputs'!B252),0)</f>
        <v>0</v>
      </c>
      <c r="P202" s="13">
        <f>IF(IF(IF(ISERROR('Model inputs'!P32=1),'Model inputs'!P32=1,IF('Model inputs'!P32="","",'Model inputs'!P32=1))="",FALSE,IF(ISERROR('Model inputs'!P32=1),'Model inputs'!P32=1,IF('Model inputs'!P32="","",'Model inputs'!P32=1))),IF('Model inputs'!B252="","",'Model inputs'!B252),0)</f>
        <v>0</v>
      </c>
      <c r="Q202" s="13">
        <f>IF(IF(IF(ISERROR('Model inputs'!Q32=1),'Model inputs'!Q32=1,IF('Model inputs'!Q32="","",'Model inputs'!Q32=1))="",FALSE,IF(ISERROR('Model inputs'!Q32=1),'Model inputs'!Q32=1,IF('Model inputs'!Q32="","",'Model inputs'!Q32=1))),IF('Model inputs'!B252="","",'Model inputs'!B252),0)</f>
        <v>0</v>
      </c>
      <c r="R202" s="13">
        <f>IF(IF(IF(ISERROR('Model inputs'!R32=1),'Model inputs'!R32=1,IF('Model inputs'!R32="","",'Model inputs'!R32=1))="",FALSE,IF(ISERROR('Model inputs'!R32=1),'Model inputs'!R32=1,IF('Model inputs'!R32="","",'Model inputs'!R32=1))),IF('Model inputs'!B252="","",'Model inputs'!B252),0)</f>
        <v>0</v>
      </c>
      <c r="S202" s="13">
        <f>IF(IF(IF(ISERROR('Model inputs'!S32=1),'Model inputs'!S32=1,IF('Model inputs'!S32="","",'Model inputs'!S32=1))="",FALSE,IF(ISERROR('Model inputs'!S32=1),'Model inputs'!S32=1,IF('Model inputs'!S32="","",'Model inputs'!S32=1))),IF('Model inputs'!B252="","",'Model inputs'!B252),0)</f>
        <v>0</v>
      </c>
      <c r="T202" s="13">
        <f>IF(IF(IF(ISERROR('Model inputs'!T32=1),'Model inputs'!T32=1,IF('Model inputs'!T32="","",'Model inputs'!T32=1))="",FALSE,IF(ISERROR('Model inputs'!T32=1),'Model inputs'!T32=1,IF('Model inputs'!T32="","",'Model inputs'!T32=1))),IF('Model inputs'!B252="","",'Model inputs'!B252),0)</f>
        <v>0</v>
      </c>
      <c r="U202" s="13">
        <f>IF(IF(IF(ISERROR('Model inputs'!U32=1),'Model inputs'!U32=1,IF('Model inputs'!U32="","",'Model inputs'!U32=1))="",FALSE,IF(ISERROR('Model inputs'!U32=1),'Model inputs'!U32=1,IF('Model inputs'!U32="","",'Model inputs'!U32=1))),IF('Model inputs'!B252="","",'Model inputs'!B252),0)</f>
        <v>0</v>
      </c>
      <c r="V202" s="13">
        <f>IF(IF(IF(ISERROR('Model inputs'!V32=1),'Model inputs'!V32=1,IF('Model inputs'!V32="","",'Model inputs'!V32=1))="",FALSE,IF(ISERROR('Model inputs'!V32=1),'Model inputs'!V32=1,IF('Model inputs'!V32="","",'Model inputs'!V32=1))),IF('Model inputs'!B252="","",'Model inputs'!B252),0)</f>
        <v>0</v>
      </c>
    </row>
    <row r="203">
      <c r="A203" t="inlineStr" s="16">
        <is>
          <t xml:space="preserve">Annual payers</t>
        </is>
      </c>
      <c r="C203" s="19">
        <f>IF('Model inputs'!C76="","",'Model inputs'!C76)</f>
        <v>0</v>
      </c>
      <c r="D203" s="19">
        <f>IF('Model inputs'!D76="","",'Model inputs'!D76)</f>
        <v>0</v>
      </c>
      <c r="E203" s="19">
        <f>IF('Model inputs'!E76="","",'Model inputs'!E76)</f>
        <v>0</v>
      </c>
      <c r="F203" s="19">
        <f>IF('Model inputs'!F76="","",'Model inputs'!F76)</f>
        <v>0.6166805555555555</v>
      </c>
      <c r="G203" s="19">
        <f>IF('Model inputs'!G76="","",'Model inputs'!G76)</f>
        <v>1.7001509259259258</v>
      </c>
      <c r="H203" s="19">
        <f>IF('Model inputs'!H76="","",'Model inputs'!H76)</f>
        <v>3.3142262436921293</v>
      </c>
      <c r="I203" s="19">
        <f>IF('Model inputs'!I76="","",'Model inputs'!I76)</f>
        <v>5.52896673923296</v>
      </c>
      <c r="J203" s="19">
        <f>IF('Model inputs'!J76="","",'Model inputs'!J76)</f>
        <v>8.421658634455934</v>
      </c>
      <c r="K203" s="19">
        <f>IF('Model inputs'!K76="","",'Model inputs'!K76)</f>
        <v>12.077888205449133</v>
      </c>
      <c r="L203" s="19">
        <f>IF('Model inputs'!L76="","",'Model inputs'!L76)</f>
        <v>14.22233257679</v>
      </c>
      <c r="M203" s="19">
        <f>IF('Model inputs'!M76="","",'Model inputs'!M76)</f>
        <v>16.55400161722904</v>
      </c>
      <c r="N203" s="19">
        <f>IF('Model inputs'!N76="","",'Model inputs'!N76)</f>
        <v>18.966421257560743</v>
      </c>
      <c r="O203" s="19">
        <f>IF('Model inputs'!O76="","",'Model inputs'!O76)</f>
        <v>21.4601414673846</v>
      </c>
      <c r="P203" s="19">
        <f>IF('Model inputs'!P76="","",'Model inputs'!P76)</f>
        <v>24.036015921832515</v>
      </c>
      <c r="Q203" s="19">
        <f>IF('Model inputs'!Q76="","",'Model inputs'!Q76)</f>
        <v>26.6951921045445</v>
      </c>
      <c r="R203" s="19">
        <f>IF('Model inputs'!R76="","",'Model inputs'!R76)</f>
        <v>29.439102592159472</v>
      </c>
      <c r="S203" s="19">
        <f>IF('Model inputs'!S76="","",'Model inputs'!S76)</f>
        <v>32.26945745879919</v>
      </c>
      <c r="T203" s="19">
        <f>IF('Model inputs'!T76="","",'Model inputs'!T76)</f>
        <v>35.18823774393777</v>
      </c>
      <c r="U203" s="19">
        <f>IF('Model inputs'!U76="","",'Model inputs'!U76)</f>
        <v>38.19768993166413</v>
      </c>
      <c r="V203" s="19">
        <f>IF('Model inputs'!V76="","",'Model inputs'!V76)</f>
        <v>41.30032139368141</v>
      </c>
      <c r="W203" s="19">
        <f>SUM('Model inputs'!W204,'Model inputs'!W205,'Model inputs'!W206)</f>
        <v>0</v>
      </c>
      <c r="X203" s="19">
        <f>SUM('Model inputs'!X204,'Model inputs'!X205,'Model inputs'!X206)</f>
        <v>0</v>
      </c>
      <c r="Y203" s="19">
        <f>SUM('Model inputs'!Y204,'Model inputs'!Y205,'Model inputs'!Y206)</f>
        <v>0</v>
      </c>
      <c r="Z203" s="19">
        <f>SUM('Model inputs'!Z204,'Model inputs'!Z205,'Model inputs'!Z206)</f>
        <v>0</v>
      </c>
      <c r="AA203" s="19">
        <f>SUM('Model inputs'!AA204,'Model inputs'!AA205,'Model inputs'!AA206)</f>
        <v>0</v>
      </c>
      <c r="AB203" s="19">
        <f>SUM('Model inputs'!AB204,'Model inputs'!AB205,'Model inputs'!AB206)</f>
        <v>0</v>
      </c>
      <c r="AC203" s="19">
        <f>SUM('Model inputs'!AC204,'Model inputs'!AC205,'Model inputs'!AC206)</f>
        <v>0</v>
      </c>
      <c r="AD203" s="19">
        <f>SUM('Model inputs'!AD204,'Model inputs'!AD205,'Model inputs'!AD206)</f>
        <v>0</v>
      </c>
      <c r="AE203" s="19">
        <f>SUM('Model inputs'!AE204,'Model inputs'!AE205,'Model inputs'!AE206)</f>
        <v>0</v>
      </c>
      <c r="AF203" s="19">
        <f>SUM('Model inputs'!AF204,'Model inputs'!AF205,'Model inputs'!AF206)</f>
        <v>0</v>
      </c>
      <c r="AG203" s="19">
        <f>SUM('Model inputs'!AG204,'Model inputs'!AG205,'Model inputs'!AG206)</f>
        <v>0</v>
      </c>
    </row>
    <row r="204" outlineLevel="1">
      <c r="A204" t="inlineStr" s="18">
        <is>
          <t xml:space="preserve">Annual payers &gt; Indie</t>
        </is>
      </c>
      <c r="C204" s="13">
        <f>IF('Model inputs'!C77="","",'Model inputs'!C77)</f>
        <v>0</v>
      </c>
      <c r="D204" s="13">
        <f>IF('Model inputs'!D77="","",'Model inputs'!D77)</f>
        <v>0</v>
      </c>
      <c r="E204" s="13">
        <f>IF('Model inputs'!E77="","",'Model inputs'!E77)</f>
        <v>0</v>
      </c>
      <c r="F204" s="13">
        <f>IF('Model inputs'!F77="","",'Model inputs'!F77)</f>
        <v>0</v>
      </c>
      <c r="G204" s="13">
        <f>IF('Model inputs'!G77="","",'Model inputs'!G77)</f>
        <v>0</v>
      </c>
      <c r="H204" s="13">
        <f>IF('Model inputs'!H77="","",'Model inputs'!H77)</f>
        <v>0</v>
      </c>
      <c r="I204" s="13">
        <f>IF('Model inputs'!I77="","",'Model inputs'!I77)</f>
        <v>0</v>
      </c>
      <c r="J204" s="13">
        <f>IF('Model inputs'!J77="","",'Model inputs'!J77)</f>
        <v>0</v>
      </c>
      <c r="K204" s="13">
        <f>IF('Model inputs'!K77="","",'Model inputs'!K77)</f>
        <v>0</v>
      </c>
      <c r="L204" s="13">
        <f>IF('Model inputs'!L77="","",'Model inputs'!L77)</f>
        <v>0</v>
      </c>
      <c r="M204" s="13">
        <f>IF('Model inputs'!M77="","",'Model inputs'!M77)</f>
        <v>0</v>
      </c>
      <c r="N204" s="13">
        <f>IF('Model inputs'!N77="","",'Model inputs'!N77)</f>
        <v>0</v>
      </c>
      <c r="O204" s="13">
        <f>IF('Model inputs'!O77="","",'Model inputs'!O77)</f>
        <v>0</v>
      </c>
      <c r="P204" s="13">
        <f>IF('Model inputs'!P77="","",'Model inputs'!P77)</f>
        <v>0</v>
      </c>
      <c r="Q204" s="13">
        <f>IF('Model inputs'!Q77="","",'Model inputs'!Q77)</f>
        <v>0</v>
      </c>
      <c r="R204" s="13">
        <f>IF('Model inputs'!R77="","",'Model inputs'!R77)</f>
        <v>0</v>
      </c>
      <c r="S204" s="13">
        <f>IF('Model inputs'!S77="","",'Model inputs'!S77)</f>
        <v>0</v>
      </c>
      <c r="T204" s="13">
        <f>IF('Model inputs'!T77="","",'Model inputs'!T77)</f>
        <v>0</v>
      </c>
      <c r="U204" s="13">
        <f>IF('Model inputs'!U77="","",'Model inputs'!U77)</f>
        <v>0</v>
      </c>
      <c r="V204" s="13">
        <f>IF('Model inputs'!V77="","",'Model inputs'!V77)</f>
        <v>0</v>
      </c>
      <c r="W204" s="13">
        <f>'Model inputs'!W214*'Model inputs'!W254</f>
        <v>0</v>
      </c>
      <c r="X204" s="13">
        <f>'Model inputs'!X214*'Model inputs'!X254</f>
        <v>0</v>
      </c>
      <c r="Y204" s="13">
        <f>'Model inputs'!Y214*'Model inputs'!Y254</f>
        <v>0</v>
      </c>
      <c r="Z204" s="13">
        <f>'Model inputs'!Z214*'Model inputs'!Z254</f>
        <v>0</v>
      </c>
      <c r="AA204" s="13">
        <f>'Model inputs'!AA214*'Model inputs'!AA254</f>
        <v>0</v>
      </c>
      <c r="AB204" s="13">
        <f>'Model inputs'!AB214*'Model inputs'!AB254</f>
        <v>0</v>
      </c>
      <c r="AC204" s="13">
        <f>'Model inputs'!AC214*'Model inputs'!AC254</f>
        <v>0</v>
      </c>
      <c r="AD204" s="13">
        <f>'Model inputs'!AD214*'Model inputs'!AD254</f>
        <v>0</v>
      </c>
      <c r="AE204" s="13">
        <f>'Model inputs'!AE214*'Model inputs'!AE254</f>
        <v>0</v>
      </c>
      <c r="AF204" s="13">
        <f>'Model inputs'!AF214*'Model inputs'!AF254</f>
        <v>0</v>
      </c>
      <c r="AG204" s="13">
        <f>'Model inputs'!AG214*'Model inputs'!AG254</f>
        <v>0</v>
      </c>
    </row>
    <row r="205" outlineLevel="1">
      <c r="A205" t="inlineStr" s="18">
        <is>
          <t xml:space="preserve">Annual payers &gt; Launch</t>
        </is>
      </c>
      <c r="C205" s="13">
        <f>IF('Model inputs'!C78="","",'Model inputs'!C78)</f>
        <v>0</v>
      </c>
      <c r="D205" s="13">
        <f>IF('Model inputs'!D78="","",'Model inputs'!D78)</f>
        <v>0</v>
      </c>
      <c r="E205" s="13">
        <f>IF('Model inputs'!E78="","",'Model inputs'!E78)</f>
        <v>0</v>
      </c>
      <c r="F205" s="13">
        <f>IF('Model inputs'!F78="","",'Model inputs'!F78)</f>
        <v>0.08808333333333332</v>
      </c>
      <c r="G205" s="13">
        <f>IF('Model inputs'!G78="","",'Model inputs'!G78)</f>
        <v>0.23626247685185178</v>
      </c>
      <c r="H205" s="13">
        <f>IF('Model inputs'!H78="","",'Model inputs'!H78)</f>
        <v>0.4457271123553239</v>
      </c>
      <c r="I205" s="13">
        <f>IF('Model inputs'!I78="","",'Model inputs'!I78)</f>
        <v>0.7179910471785299</v>
      </c>
      <c r="J205" s="13">
        <f>IF('Model inputs'!J78="","",'Model inputs'!J78)</f>
        <v>1.0549169752346819</v>
      </c>
      <c r="K205" s="13">
        <f>IF('Model inputs'!K78="","",'Model inputs'!K78)</f>
        <v>1.4587455730235</v>
      </c>
      <c r="L205" s="13">
        <f>IF('Model inputs'!L78="","",'Model inputs'!L78)</f>
        <v>1.6561108170632544</v>
      </c>
      <c r="M205" s="13">
        <f>IF('Model inputs'!M78="","",'Model inputs'!M78)</f>
        <v>1.8586284121395003</v>
      </c>
      <c r="N205" s="13">
        <f>IF('Model inputs'!N78="","",'Model inputs'!N78)</f>
        <v>2.066979707645281</v>
      </c>
      <c r="O205" s="13">
        <f>IF('Model inputs'!O78="","",'Model inputs'!O78)</f>
        <v>2.281389351821916</v>
      </c>
      <c r="P205" s="13">
        <f>IF('Model inputs'!P78="","",'Model inputs'!P78)</f>
        <v>2.502079978692765</v>
      </c>
      <c r="Q205" s="13">
        <f>IF('Model inputs'!Q78="","",'Model inputs'!Q78)</f>
        <v>2.7292735121087897</v>
      </c>
      <c r="R205" s="13">
        <f>IF('Model inputs'!R78="","",'Model inputs'!R78)</f>
        <v>2.9631924035623065</v>
      </c>
      <c r="S205" s="13">
        <f>IF('Model inputs'!S78="","",'Model inputs'!S78)</f>
        <v>3.20406080996136</v>
      </c>
      <c r="T205" s="13">
        <f>IF('Model inputs'!T78="","",'Model inputs'!T78)</f>
        <v>3.4521057171820972</v>
      </c>
      <c r="U205" s="13">
        <f>IF('Model inputs'!U78="","",'Model inputs'!U78)</f>
        <v>3.7075580148691807</v>
      </c>
      <c r="V205" s="13">
        <f>IF('Model inputs'!V78="","",'Model inputs'!V78)</f>
        <v>3.970653527632789</v>
      </c>
      <c r="W205" s="13">
        <f>'Model inputs'!W215*'Model inputs'!W255</f>
        <v>0</v>
      </c>
      <c r="X205" s="13">
        <f>'Model inputs'!X215*'Model inputs'!X255</f>
        <v>0</v>
      </c>
      <c r="Y205" s="13">
        <f>'Model inputs'!Y215*'Model inputs'!Y255</f>
        <v>0</v>
      </c>
      <c r="Z205" s="13">
        <f>'Model inputs'!Z215*'Model inputs'!Z255</f>
        <v>0</v>
      </c>
      <c r="AA205" s="13">
        <f>'Model inputs'!AA215*'Model inputs'!AA255</f>
        <v>0</v>
      </c>
      <c r="AB205" s="13">
        <f>'Model inputs'!AB215*'Model inputs'!AB255</f>
        <v>0</v>
      </c>
      <c r="AC205" s="13">
        <f>'Model inputs'!AC215*'Model inputs'!AC255</f>
        <v>0</v>
      </c>
      <c r="AD205" s="13">
        <f>'Model inputs'!AD215*'Model inputs'!AD255</f>
        <v>0</v>
      </c>
      <c r="AE205" s="13">
        <f>'Model inputs'!AE215*'Model inputs'!AE255</f>
        <v>0</v>
      </c>
      <c r="AF205" s="13">
        <f>'Model inputs'!AF215*'Model inputs'!AF255</f>
        <v>0</v>
      </c>
      <c r="AG205" s="13">
        <f>'Model inputs'!AG215*'Model inputs'!AG255</f>
        <v>0</v>
      </c>
    </row>
    <row r="206" outlineLevel="1">
      <c r="A206" t="inlineStr" s="18">
        <is>
          <t xml:space="preserve">Annual payers &gt; Team</t>
        </is>
      </c>
      <c r="C206" s="13">
        <f>IF('Model inputs'!C79="","",'Model inputs'!C79)</f>
        <v>0</v>
      </c>
      <c r="D206" s="13">
        <f>IF('Model inputs'!D79="","",'Model inputs'!D79)</f>
        <v>0</v>
      </c>
      <c r="E206" s="13">
        <f>IF('Model inputs'!E79="","",'Model inputs'!E79)</f>
        <v>0</v>
      </c>
      <c r="F206" s="13">
        <f>IF('Model inputs'!F79="","",'Model inputs'!F79)</f>
        <v>0.5285972222222222</v>
      </c>
      <c r="G206" s="13">
        <f>IF('Model inputs'!G79="","",'Model inputs'!G79)</f>
        <v>1.463888449074074</v>
      </c>
      <c r="H206" s="13">
        <f>IF('Model inputs'!H79="","",'Model inputs'!H79)</f>
        <v>2.8684991313368053</v>
      </c>
      <c r="I206" s="13">
        <f>IF('Model inputs'!I79="","",'Model inputs'!I79)</f>
        <v>4.81097569205443</v>
      </c>
      <c r="J206" s="13">
        <f>IF('Model inputs'!J79="","",'Model inputs'!J79)</f>
        <v>7.366741659221253</v>
      </c>
      <c r="K206" s="13">
        <f>IF('Model inputs'!K79="","",'Model inputs'!K79)</f>
        <v>10.619142632425634</v>
      </c>
      <c r="L206" s="13">
        <f>IF('Model inputs'!L79="","",'Model inputs'!L79)</f>
        <v>12.566221759726746</v>
      </c>
      <c r="M206" s="13">
        <f>IF('Model inputs'!M79="","",'Model inputs'!M79)</f>
        <v>14.69537320508954</v>
      </c>
      <c r="N206" s="13">
        <f>IF('Model inputs'!N79="","",'Model inputs'!N79)</f>
        <v>16.899441549915462</v>
      </c>
      <c r="O206" s="13">
        <f>IF('Model inputs'!O79="","",'Model inputs'!O79)</f>
        <v>19.178752115562684</v>
      </c>
      <c r="P206" s="13">
        <f>IF('Model inputs'!P79="","",'Model inputs'!P79)</f>
        <v>21.53393594313975</v>
      </c>
      <c r="Q206" s="13">
        <f>IF('Model inputs'!Q79="","",'Model inputs'!Q79)</f>
        <v>23.96591859243571</v>
      </c>
      <c r="R206" s="13">
        <f>IF('Model inputs'!R79="","",'Model inputs'!R79)</f>
        <v>26.475910188597165</v>
      </c>
      <c r="S206" s="13">
        <f>IF('Model inputs'!S79="","",'Model inputs'!S79)</f>
        <v>29.065396648837826</v>
      </c>
      <c r="T206" s="13">
        <f>IF('Model inputs'!T79="","",'Model inputs'!T79)</f>
        <v>31.736132026755673</v>
      </c>
      <c r="U206" s="13">
        <f>IF('Model inputs'!U79="","",'Model inputs'!U79)</f>
        <v>34.49013191679495</v>
      </c>
      <c r="V206" s="13">
        <f>IF('Model inputs'!V79="","",'Model inputs'!V79)</f>
        <v>37.32966786604862</v>
      </c>
      <c r="W206" s="13">
        <f>'Model inputs'!W216*'Model inputs'!W256</f>
        <v>0</v>
      </c>
      <c r="X206" s="13">
        <f>'Model inputs'!X216*'Model inputs'!X256</f>
        <v>0</v>
      </c>
      <c r="Y206" s="13">
        <f>'Model inputs'!Y216*'Model inputs'!Y256</f>
        <v>0</v>
      </c>
      <c r="Z206" s="13">
        <f>'Model inputs'!Z216*'Model inputs'!Z256</f>
        <v>0</v>
      </c>
      <c r="AA206" s="13">
        <f>'Model inputs'!AA216*'Model inputs'!AA256</f>
        <v>0</v>
      </c>
      <c r="AB206" s="13">
        <f>'Model inputs'!AB216*'Model inputs'!AB256</f>
        <v>0</v>
      </c>
      <c r="AC206" s="13">
        <f>'Model inputs'!AC216*'Model inputs'!AC256</f>
        <v>0</v>
      </c>
      <c r="AD206" s="13">
        <f>'Model inputs'!AD216*'Model inputs'!AD256</f>
        <v>0</v>
      </c>
      <c r="AE206" s="13">
        <f>'Model inputs'!AE216*'Model inputs'!AE256</f>
        <v>0</v>
      </c>
      <c r="AF206" s="13">
        <f>'Model inputs'!AF216*'Model inputs'!AF256</f>
        <v>0</v>
      </c>
      <c r="AG206" s="13">
        <f>'Model inputs'!AG216*'Model inputs'!AG256</f>
        <v>0</v>
      </c>
    </row>
    <row r="207">
      <c r="A207" t="inlineStr" s="16">
        <is>
          <t xml:space="preserve">Annual upgrade rate to next plan</t>
        </is>
      </c>
      <c r="B207" s="22">
        <v>0</v>
      </c>
    </row>
    <row r="208" outlineLevel="1">
      <c r="A208" t="inlineStr" s="18">
        <is>
          <t xml:space="preserve">Annual upgrade rate to next plan &gt; Indie</t>
        </is>
      </c>
      <c r="B208" s="21">
        <f>0.08</f>
        <v>0.08</v>
      </c>
    </row>
    <row r="209" outlineLevel="1">
      <c r="A209" t="inlineStr" s="18">
        <is>
          <t xml:space="preserve">Annual upgrade rate to next plan &gt; Launch</t>
        </is>
      </c>
      <c r="B209" s="21">
        <f>0</f>
        <v>0</v>
      </c>
    </row>
    <row r="210" outlineLevel="1">
      <c r="A210" t="inlineStr" s="18">
        <is>
          <t xml:space="preserve">Annual upgrade rate to next plan &gt; Team</t>
        </is>
      </c>
      <c r="B210" s="21">
        <f>0.05</f>
        <v>0.05</v>
      </c>
    </row>
    <row r="211">
      <c r="A211" t="inlineStr" s="16">
        <is>
          <t xml:space="preserve">Cost optimization from month · COGS per kit · Kit COGS</t>
        </is>
      </c>
      <c r="B211" s="17">
        <f>7</f>
        <v>7</v>
      </c>
    </row>
    <row r="212">
      <c r="A212" t="inlineStr" s="16">
        <is>
          <t xml:space="preserve">Cost optimization on · COGS per kit · Kit COGS</t>
        </is>
      </c>
      <c r="B212" s="17">
        <f>0</f>
        <v>0</v>
      </c>
    </row>
    <row r="213">
      <c r="A213" t="inlineStr" s="16">
        <is>
          <t xml:space="preserve">Ending customers</t>
        </is>
      </c>
      <c r="C213" s="19">
        <f>IF('Model inputs'!C19="","",'Model inputs'!C19)</f>
        <v>0</v>
      </c>
      <c r="D213" s="19">
        <f>IF('Model inputs'!D19="","",'Model inputs'!D19)</f>
        <v>0</v>
      </c>
      <c r="E213" s="19">
        <f>IF('Model inputs'!E19="","",'Model inputs'!E19)</f>
        <v>47</v>
      </c>
      <c r="F213" s="19">
        <f>IF('Model inputs'!F19="","",'Model inputs'!F19)</f>
        <v>84.905</v>
      </c>
      <c r="G213" s="19">
        <f>IF('Model inputs'!G19="","",'Model inputs'!G19)</f>
        <v>110.9505</v>
      </c>
      <c r="H213" s="19">
        <f>IF('Model inputs'!H19="","",'Model inputs'!H19)</f>
        <v>138.05102827083334</v>
      </c>
      <c r="I213" s="19">
        <f>IF('Model inputs'!I19="","",'Model inputs'!I19)</f>
        <v>166.3601248259896</v>
      </c>
      <c r="J213" s="19">
        <f>IF('Model inputs'!J19="","",'Model inputs'!J19)</f>
        <v>196.04006505593594</v>
      </c>
      <c r="K213" s="19">
        <f>IF('Model inputs'!K19="","",'Model inputs'!K19)</f>
        <v>227.2628736908502</v>
      </c>
      <c r="L213" s="19">
        <f>IF('Model inputs'!L19="","",'Model inputs'!L19)</f>
        <v>260.21140757088153</v>
      </c>
      <c r="M213" s="19">
        <f>IF('Model inputs'!M19="","",'Model inputs'!M19)</f>
        <v>295.08051439200136</v>
      </c>
      <c r="N213" s="19">
        <f>IF('Model inputs'!N19="","",'Model inputs'!N19)</f>
        <v>330.0136817964602</v>
      </c>
      <c r="O213" s="19">
        <f>IF('Model inputs'!O19="","",'Model inputs'!O19)</f>
        <v>365.0921444578123</v>
      </c>
      <c r="P213" s="19">
        <f>IF('Model inputs'!P19="","",'Model inputs'!P19)</f>
        <v>400.3954360097452</v>
      </c>
      <c r="Q213" s="19">
        <f>IF('Model inputs'!Q19="","",'Model inputs'!Q19)</f>
        <v>436.0016417049511</v>
      </c>
      <c r="R213" s="19">
        <f>IF('Model inputs'!R19="","",'Model inputs'!R19)</f>
        <v>471.98764010807395</v>
      </c>
      <c r="S213" s="19">
        <f>IF('Model inputs'!S19="","",'Model inputs'!S19)</f>
        <v>508.42933477856207</v>
      </c>
      <c r="T213" s="19">
        <f>IF('Model inputs'!T19="","",'Model inputs'!T19)</f>
        <v>545.4018768448782</v>
      </c>
      <c r="U213" s="19">
        <f>IF('Model inputs'!U19="","",'Model inputs'!U19)</f>
        <v>582.979879321125</v>
      </c>
      <c r="V213" s="19">
        <f>IF('Model inputs'!V19="","",'Model inputs'!V19)</f>
        <v>621.2376239704861</v>
      </c>
      <c r="W213" s="19">
        <f>SUM('Model inputs'!W214,'Model inputs'!W215,'Model inputs'!W216)</f>
        <v>0</v>
      </c>
      <c r="X213" s="19">
        <f>SUM('Model inputs'!X214,'Model inputs'!X215,'Model inputs'!X216)</f>
        <v>0</v>
      </c>
      <c r="Y213" s="19">
        <f>SUM('Model inputs'!Y214,'Model inputs'!Y215,'Model inputs'!Y216)</f>
        <v>0</v>
      </c>
      <c r="Z213" s="19">
        <f>SUM('Model inputs'!Z214,'Model inputs'!Z215,'Model inputs'!Z216)</f>
        <v>0</v>
      </c>
      <c r="AA213" s="19">
        <f>SUM('Model inputs'!AA214,'Model inputs'!AA215,'Model inputs'!AA216)</f>
        <v>0</v>
      </c>
      <c r="AB213" s="19">
        <f>SUM('Model inputs'!AB214,'Model inputs'!AB215,'Model inputs'!AB216)</f>
        <v>0</v>
      </c>
      <c r="AC213" s="19">
        <f>SUM('Model inputs'!AC214,'Model inputs'!AC215,'Model inputs'!AC216)</f>
        <v>0</v>
      </c>
      <c r="AD213" s="19">
        <f>SUM('Model inputs'!AD214,'Model inputs'!AD215,'Model inputs'!AD216)</f>
        <v>0</v>
      </c>
      <c r="AE213" s="19">
        <f>SUM('Model inputs'!AE214,'Model inputs'!AE215,'Model inputs'!AE216)</f>
        <v>0</v>
      </c>
      <c r="AF213" s="19">
        <f>SUM('Model inputs'!AF214,'Model inputs'!AF215,'Model inputs'!AF216)</f>
        <v>0</v>
      </c>
      <c r="AG213" s="19">
        <f>SUM('Model inputs'!AG214,'Model inputs'!AG215,'Model inputs'!AG216)</f>
        <v>0</v>
      </c>
    </row>
    <row r="214" outlineLevel="1">
      <c r="A214" t="inlineStr" s="18">
        <is>
          <t xml:space="preserve">Ending customers &gt; Indie</t>
        </is>
      </c>
      <c r="C214" s="13">
        <f>IF('Model inputs'!C20="","",'Model inputs'!C20)</f>
        <v>0</v>
      </c>
      <c r="D214" s="13">
        <f>IF('Model inputs'!D20="","",'Model inputs'!D20)</f>
        <v>0</v>
      </c>
      <c r="E214" s="13">
        <f>IF('Model inputs'!E20="","",'Model inputs'!E20)</f>
        <v>40</v>
      </c>
      <c r="F214" s="13">
        <f>IF('Model inputs'!F20="","",'Model inputs'!F20)</f>
        <v>74.33333333333333</v>
      </c>
      <c r="G214" s="13">
        <f>IF('Model inputs'!G20="","",'Model inputs'!G20)</f>
        <v>96.37777777777778</v>
      </c>
      <c r="H214" s="13">
        <f>IF('Model inputs'!H20="","",'Model inputs'!H20)</f>
        <v>119.1125925925926</v>
      </c>
      <c r="I214" s="13">
        <f>IF('Model inputs'!I20="","",'Model inputs'!I20)</f>
        <v>142.66455308641977</v>
      </c>
      <c r="J214" s="13">
        <f>IF('Model inputs'!J20="","",'Model inputs'!J20)</f>
        <v>167.16580688065847</v>
      </c>
      <c r="K214" s="13">
        <f>IF('Model inputs'!K20="","",'Model inputs'!K20)</f>
        <v>192.75462167528124</v>
      </c>
      <c r="L214" s="13">
        <f>IF('Model inputs'!L20="","",'Model inputs'!L20)</f>
        <v>219.57617163719584</v>
      </c>
      <c r="M214" s="13">
        <f>IF('Model inputs'!M20="","",'Model inputs'!M20)</f>
        <v>247.78336691420412</v>
      </c>
      <c r="N214" s="13">
        <f>IF('Model inputs'!N20="","",'Model inputs'!N20)</f>
        <v>275.8239067748581</v>
      </c>
      <c r="O214" s="13">
        <f>IF('Model inputs'!O20="","",'Model inputs'!O20)</f>
        <v>303.77745455099915</v>
      </c>
      <c r="P214" s="13">
        <f>IF('Model inputs'!P20="","",'Model inputs'!P20)</f>
        <v>331.7211048045094</v>
      </c>
      <c r="Q214" s="13">
        <f>IF('Model inputs'!Q20="","",'Model inputs'!Q20)</f>
        <v>359.72966426339536</v>
      </c>
      <c r="R214" s="13">
        <f>IF('Model inputs'!R20="","",'Model inputs'!R20)</f>
        <v>387.87591841618973</v>
      </c>
      <c r="S214" s="13">
        <f>IF('Model inputs'!S20="","",'Model inputs'!S20)</f>
        <v>416.23088489627867</v>
      </c>
      <c r="T214" s="13">
        <f>IF('Model inputs'!T20="","",'Model inputs'!T20)</f>
        <v>444.8640547193417</v>
      </c>
      <c r="U214" s="13">
        <f>IF('Model inputs'!U20="","",'Model inputs'!U20)</f>
        <v>473.8436223735132</v>
      </c>
      <c r="V214" s="13">
        <f>IF('Model inputs'!V20="","",'Model inputs'!V20)</f>
        <v>503.23670570282496</v>
      </c>
      <c r="W214" s="13">
        <f>IF('Model inputs'!W258="",0,'Model inputs'!W258)+'Model inputs'!W262+'Model inputs'!W274+'Model inputs'!W266-'Model inputs'!W287-'Model inputs'!W270</f>
        <v>0</v>
      </c>
      <c r="X214" s="13">
        <f>'Model inputs'!X258+'Model inputs'!X262+'Model inputs'!X274+'Model inputs'!X266-'Model inputs'!X287-'Model inputs'!X270</f>
        <v>0</v>
      </c>
      <c r="Y214" s="13">
        <f>'Model inputs'!Y258+'Model inputs'!Y262+'Model inputs'!Y274+'Model inputs'!Y266-'Model inputs'!Y287-'Model inputs'!Y270</f>
        <v>0</v>
      </c>
      <c r="Z214" s="13">
        <f>'Model inputs'!Z258+'Model inputs'!Z262+'Model inputs'!Z274+'Model inputs'!Z266-'Model inputs'!Z287-'Model inputs'!Z270</f>
        <v>0</v>
      </c>
      <c r="AA214" s="13">
        <f>'Model inputs'!AA258+'Model inputs'!AA262+'Model inputs'!AA274+'Model inputs'!AA266-'Model inputs'!AA287-'Model inputs'!AA270</f>
        <v>0</v>
      </c>
      <c r="AB214" s="13">
        <f>'Model inputs'!AB258+'Model inputs'!AB262+'Model inputs'!AB274+'Model inputs'!AB266-'Model inputs'!AB287-'Model inputs'!AB270</f>
        <v>0</v>
      </c>
      <c r="AC214" s="13">
        <f>'Model inputs'!AC258+'Model inputs'!AC262+'Model inputs'!AC274+'Model inputs'!AC266-'Model inputs'!AC287-'Model inputs'!AC270</f>
        <v>0</v>
      </c>
      <c r="AD214" s="13">
        <f>'Model inputs'!AD258+'Model inputs'!AD262+'Model inputs'!AD274+'Model inputs'!AD266-'Model inputs'!AD287-'Model inputs'!AD270</f>
        <v>0</v>
      </c>
      <c r="AE214" s="13">
        <f>'Model inputs'!AE258+'Model inputs'!AE262+'Model inputs'!AE274+'Model inputs'!AE266-'Model inputs'!AE287-'Model inputs'!AE270</f>
        <v>0</v>
      </c>
      <c r="AF214" s="13">
        <f>'Model inputs'!AF258+'Model inputs'!AF262+'Model inputs'!AF274+'Model inputs'!AF266-'Model inputs'!AF287-'Model inputs'!AF270</f>
        <v>0</v>
      </c>
      <c r="AG214" s="13">
        <f>'Model inputs'!AG258+'Model inputs'!AG262+'Model inputs'!AG274+'Model inputs'!AG266-'Model inputs'!AG287-'Model inputs'!AG270</f>
        <v>0</v>
      </c>
    </row>
    <row r="215" outlineLevel="1">
      <c r="A215" t="inlineStr" s="18">
        <is>
          <t xml:space="preserve">Ending customers &gt; Launch</t>
        </is>
      </c>
      <c r="C215" s="13">
        <f>IF('Model inputs'!C21="","",'Model inputs'!C21)</f>
        <v>0</v>
      </c>
      <c r="D215" s="13">
        <f>IF('Model inputs'!D21="","",'Model inputs'!D21)</f>
        <v>0</v>
      </c>
      <c r="E215" s="13">
        <f>IF('Model inputs'!E21="","",'Model inputs'!E21)</f>
        <v>1</v>
      </c>
      <c r="F215" s="13">
        <f>IF('Model inputs'!F21="","",'Model inputs'!F21)</f>
        <v>1.51</v>
      </c>
      <c r="G215" s="13">
        <f>IF('Model inputs'!G21="","",'Model inputs'!G21)</f>
        <v>2.025106944444444</v>
      </c>
      <c r="H215" s="13">
        <f>IF('Model inputs'!H21="","",'Model inputs'!H21)</f>
        <v>2.547012070601851</v>
      </c>
      <c r="I215" s="13">
        <f>IF('Model inputs'!I21="","",'Model inputs'!I21)</f>
        <v>3.0771044879079854</v>
      </c>
      <c r="J215" s="13">
        <f>IF('Model inputs'!J21="","",'Model inputs'!J21)</f>
        <v>3.6168582008046233</v>
      </c>
      <c r="K215" s="13">
        <f>IF('Model inputs'!K21="","",'Model inputs'!K21)</f>
        <v>4.167844494352857</v>
      </c>
      <c r="L215" s="13">
        <f>IF('Model inputs'!L21="","",'Model inputs'!L21)</f>
        <v>4.731745191609298</v>
      </c>
      <c r="M215" s="13">
        <f>IF('Model inputs'!M21="","",'Model inputs'!M21)</f>
        <v>5.310366891827144</v>
      </c>
      <c r="N215" s="13">
        <f>IF('Model inputs'!N21="","",'Model inputs'!N21)</f>
        <v>5.905656307557946</v>
      </c>
      <c r="O215" s="13">
        <f>IF('Model inputs'!O21="","",'Model inputs'!O21)</f>
        <v>6.51825529091976</v>
      </c>
      <c r="P215" s="13">
        <f>IF('Model inputs'!P21="","",'Model inputs'!P21)</f>
        <v>7.148799939122187</v>
      </c>
      <c r="Q215" s="13">
        <f>IF('Model inputs'!Q21="","",'Model inputs'!Q21)</f>
        <v>7.797924320310828</v>
      </c>
      <c r="R215" s="13">
        <f>IF('Model inputs'!R21="","",'Model inputs'!R21)</f>
        <v>8.466264010178019</v>
      </c>
      <c r="S215" s="13">
        <f>IF('Model inputs'!S21="","",'Model inputs'!S21)</f>
        <v>9.154459457032457</v>
      </c>
      <c r="T215" s="13">
        <f>IF('Model inputs'!T21="","",'Model inputs'!T21)</f>
        <v>9.86315919194885</v>
      </c>
      <c r="U215" s="13">
        <f>IF('Model inputs'!U21="","",'Model inputs'!U21)</f>
        <v>10.59302289962623</v>
      </c>
      <c r="V215" s="13">
        <f>IF('Model inputs'!V21="","",'Model inputs'!V21)</f>
        <v>11.344724364665112</v>
      </c>
      <c r="W215" s="13">
        <f>IF('Model inputs'!W259="",0,'Model inputs'!W259)+'Model inputs'!W263+'Model inputs'!W275+'Model inputs'!W267-'Model inputs'!W288-'Model inputs'!W271</f>
        <v>0</v>
      </c>
      <c r="X215" s="13">
        <f>'Model inputs'!X259+'Model inputs'!X263+'Model inputs'!X275+'Model inputs'!X267-'Model inputs'!X288-'Model inputs'!X271</f>
        <v>0</v>
      </c>
      <c r="Y215" s="13">
        <f>'Model inputs'!Y259+'Model inputs'!Y263+'Model inputs'!Y275+'Model inputs'!Y267-'Model inputs'!Y288-'Model inputs'!Y271</f>
        <v>0</v>
      </c>
      <c r="Z215" s="13">
        <f>'Model inputs'!Z259+'Model inputs'!Z263+'Model inputs'!Z275+'Model inputs'!Z267-'Model inputs'!Z288-'Model inputs'!Z271</f>
        <v>0</v>
      </c>
      <c r="AA215" s="13">
        <f>'Model inputs'!AA259+'Model inputs'!AA263+'Model inputs'!AA275+'Model inputs'!AA267-'Model inputs'!AA288-'Model inputs'!AA271</f>
        <v>0</v>
      </c>
      <c r="AB215" s="13">
        <f>'Model inputs'!AB259+'Model inputs'!AB263+'Model inputs'!AB275+'Model inputs'!AB267-'Model inputs'!AB288-'Model inputs'!AB271</f>
        <v>0</v>
      </c>
      <c r="AC215" s="13">
        <f>'Model inputs'!AC259+'Model inputs'!AC263+'Model inputs'!AC275+'Model inputs'!AC267-'Model inputs'!AC288-'Model inputs'!AC271</f>
        <v>0</v>
      </c>
      <c r="AD215" s="13">
        <f>'Model inputs'!AD259+'Model inputs'!AD263+'Model inputs'!AD275+'Model inputs'!AD267-'Model inputs'!AD288-'Model inputs'!AD271</f>
        <v>0</v>
      </c>
      <c r="AE215" s="13">
        <f>'Model inputs'!AE259+'Model inputs'!AE263+'Model inputs'!AE275+'Model inputs'!AE267-'Model inputs'!AE288-'Model inputs'!AE271</f>
        <v>0</v>
      </c>
      <c r="AF215" s="13">
        <f>'Model inputs'!AF259+'Model inputs'!AF263+'Model inputs'!AF275+'Model inputs'!AF267-'Model inputs'!AF288-'Model inputs'!AF271</f>
        <v>0</v>
      </c>
      <c r="AG215" s="13">
        <f>'Model inputs'!AG259+'Model inputs'!AG263+'Model inputs'!AG275+'Model inputs'!AG267-'Model inputs'!AG288-'Model inputs'!AG271</f>
        <v>0</v>
      </c>
    </row>
    <row r="216" outlineLevel="1">
      <c r="A216" t="inlineStr" s="18">
        <is>
          <t xml:space="preserve">Ending customers &gt; Team</t>
        </is>
      </c>
      <c r="C216" s="13">
        <f>IF('Model inputs'!C22="","",'Model inputs'!C22)</f>
        <v>0</v>
      </c>
      <c r="D216" s="13">
        <f>IF('Model inputs'!D22="","",'Model inputs'!D22)</f>
        <v>0</v>
      </c>
      <c r="E216" s="13">
        <f>IF('Model inputs'!E22="","",'Model inputs'!E22)</f>
        <v>6</v>
      </c>
      <c r="F216" s="13">
        <f>IF('Model inputs'!F22="","",'Model inputs'!F22)</f>
        <v>9.061666666666667</v>
      </c>
      <c r="G216" s="13">
        <f>IF('Model inputs'!G22="","",'Model inputs'!G22)</f>
        <v>12.547615277777778</v>
      </c>
      <c r="H216" s="13">
        <f>IF('Model inputs'!H22="","",'Model inputs'!H22)</f>
        <v>16.391423607638888</v>
      </c>
      <c r="I216" s="13">
        <f>IF('Model inputs'!I22="","",'Model inputs'!I22)</f>
        <v>20.618467251661844</v>
      </c>
      <c r="J216" s="13">
        <f>IF('Model inputs'!J22="","",'Model inputs'!J22)</f>
        <v>25.257399974472865</v>
      </c>
      <c r="K216" s="13">
        <f>IF('Model inputs'!K22="","",'Model inputs'!K22)</f>
        <v>30.3404075212161</v>
      </c>
      <c r="L216" s="13">
        <f>IF('Model inputs'!L22="","",'Model inputs'!L22)</f>
        <v>35.90349074207642</v>
      </c>
      <c r="M216" s="13">
        <f>IF('Model inputs'!M22="","",'Model inputs'!M22)</f>
        <v>41.986780585970116</v>
      </c>
      <c r="N216" s="13">
        <f>IF('Model inputs'!N22="","",'Model inputs'!N22)</f>
        <v>48.284118714044176</v>
      </c>
      <c r="O216" s="13">
        <f>IF('Model inputs'!O22="","",'Model inputs'!O22)</f>
        <v>54.79643461589339</v>
      </c>
      <c r="P216" s="13">
        <f>IF('Model inputs'!P22="","",'Model inputs'!P22)</f>
        <v>61.52553126611357</v>
      </c>
      <c r="Q216" s="13">
        <f>IF('Model inputs'!Q22="","",'Model inputs'!Q22)</f>
        <v>68.47405312124489</v>
      </c>
      <c r="R216" s="13">
        <f>IF('Model inputs'!R22="","",'Model inputs'!R22)</f>
        <v>75.64545768170619</v>
      </c>
      <c r="S216" s="13">
        <f>IF('Model inputs'!S22="","",'Model inputs'!S22)</f>
        <v>83.04399042525094</v>
      </c>
      <c r="T216" s="13">
        <f>IF('Model inputs'!T22="","",'Model inputs'!T22)</f>
        <v>90.67466293358764</v>
      </c>
      <c r="U216" s="13">
        <f>IF('Model inputs'!U22="","",'Model inputs'!U22)</f>
        <v>98.54323404798558</v>
      </c>
      <c r="V216" s="13">
        <f>IF('Model inputs'!V22="","",'Model inputs'!V22)</f>
        <v>106.65619390299605</v>
      </c>
      <c r="W216" s="13">
        <f>IF('Model inputs'!W260="",0,'Model inputs'!W260)+'Model inputs'!W264+'Model inputs'!W276+'Model inputs'!W268-'Model inputs'!W289-'Model inputs'!W272</f>
        <v>0</v>
      </c>
      <c r="X216" s="13">
        <f>'Model inputs'!X260+'Model inputs'!X264+'Model inputs'!X276+'Model inputs'!X268-'Model inputs'!X289-'Model inputs'!X272</f>
        <v>0</v>
      </c>
      <c r="Y216" s="13">
        <f>'Model inputs'!Y260+'Model inputs'!Y264+'Model inputs'!Y276+'Model inputs'!Y268-'Model inputs'!Y289-'Model inputs'!Y272</f>
        <v>0</v>
      </c>
      <c r="Z216" s="13">
        <f>'Model inputs'!Z260+'Model inputs'!Z264+'Model inputs'!Z276+'Model inputs'!Z268-'Model inputs'!Z289-'Model inputs'!Z272</f>
        <v>0</v>
      </c>
      <c r="AA216" s="13">
        <f>'Model inputs'!AA260+'Model inputs'!AA264+'Model inputs'!AA276+'Model inputs'!AA268-'Model inputs'!AA289-'Model inputs'!AA272</f>
        <v>0</v>
      </c>
      <c r="AB216" s="13">
        <f>'Model inputs'!AB260+'Model inputs'!AB264+'Model inputs'!AB276+'Model inputs'!AB268-'Model inputs'!AB289-'Model inputs'!AB272</f>
        <v>0</v>
      </c>
      <c r="AC216" s="13">
        <f>'Model inputs'!AC260+'Model inputs'!AC264+'Model inputs'!AC276+'Model inputs'!AC268-'Model inputs'!AC289-'Model inputs'!AC272</f>
        <v>0</v>
      </c>
      <c r="AD216" s="13">
        <f>'Model inputs'!AD260+'Model inputs'!AD264+'Model inputs'!AD276+'Model inputs'!AD268-'Model inputs'!AD289-'Model inputs'!AD272</f>
        <v>0</v>
      </c>
      <c r="AE216" s="13">
        <f>'Model inputs'!AE260+'Model inputs'!AE264+'Model inputs'!AE276+'Model inputs'!AE268-'Model inputs'!AE289-'Model inputs'!AE272</f>
        <v>0</v>
      </c>
      <c r="AF216" s="13">
        <f>'Model inputs'!AF260+'Model inputs'!AF264+'Model inputs'!AF276+'Model inputs'!AF268-'Model inputs'!AF289-'Model inputs'!AF272</f>
        <v>0</v>
      </c>
      <c r="AG216" s="13">
        <f>'Model inputs'!AG260+'Model inputs'!AG264+'Model inputs'!AG276+'Model inputs'!AG268-'Model inputs'!AG289-'Model inputs'!AG272</f>
        <v>0</v>
      </c>
    </row>
    <row r="217">
      <c r="A217" t="inlineStr" s="16">
        <is>
          <t xml:space="preserve">Kits used per customer</t>
        </is>
      </c>
      <c r="B217" s="19">
        <v>0</v>
      </c>
    </row>
    <row r="218" outlineLevel="1">
      <c r="A218" t="inlineStr" s="18">
        <is>
          <t xml:space="preserve">Kits used per customer &gt; Indie</t>
        </is>
      </c>
      <c r="B218" s="13">
        <f>8</f>
        <v>8</v>
      </c>
    </row>
    <row r="219" outlineLevel="1">
      <c r="A219" t="inlineStr" s="18">
        <is>
          <t xml:space="preserve">Kits used per customer &gt; Launch</t>
        </is>
      </c>
      <c r="B219" s="13">
        <f>200</f>
        <v>200</v>
      </c>
    </row>
    <row r="220" outlineLevel="1">
      <c r="A220" t="inlineStr" s="18">
        <is>
          <t xml:space="preserve">Kits used per customer &gt; Team</t>
        </is>
      </c>
      <c r="B220" s="13">
        <f>45</f>
        <v>45</v>
      </c>
    </row>
    <row r="221">
      <c r="A221" t="inlineStr" s="16">
        <is>
          <t xml:space="preserve">Loaded COGS per kit · COGS per kit · Kit COGS</t>
        </is>
      </c>
      <c r="B221" s="20">
        <f>'Model inputs'!B297+'Model inputs'!B291+'Model inputs'!B315+'Model inputs'!B298+'Model inputs'!B296</f>
        <v>0.24</v>
      </c>
    </row>
    <row r="222">
      <c r="A222" t="inlineStr" s="16">
        <is>
          <t xml:space="preserve">Logo growth after month 8</t>
        </is>
      </c>
      <c r="B222" s="22">
        <v>0</v>
      </c>
    </row>
    <row r="223" outlineLevel="1">
      <c r="A223" t="inlineStr" s="18">
        <is>
          <t xml:space="preserve">Logo growth after month 8 &gt; Indie</t>
        </is>
      </c>
      <c r="B223" s="21">
        <f>0.04</f>
        <v>0.04</v>
      </c>
    </row>
    <row r="224" outlineLevel="1">
      <c r="A224" t="inlineStr" s="18">
        <is>
          <t xml:space="preserve">Logo growth after month 8 &gt; Launch</t>
        </is>
      </c>
      <c r="B224" s="21">
        <f>0</f>
        <v>0</v>
      </c>
    </row>
    <row r="225" outlineLevel="1">
      <c r="A225" t="inlineStr" s="18">
        <is>
          <t xml:space="preserve">Logo growth after month 8 &gt; Team</t>
        </is>
      </c>
      <c r="B225" s="21">
        <f>0.04</f>
        <v>0.04</v>
      </c>
    </row>
    <row r="226">
      <c r="A226" t="inlineStr" s="16">
        <is>
          <t xml:space="preserve">Logo growth through month 8</t>
        </is>
      </c>
      <c r="B226" s="22">
        <v>0</v>
      </c>
    </row>
    <row r="227" outlineLevel="1">
      <c r="A227" t="inlineStr" s="18">
        <is>
          <t xml:space="preserve">Logo growth through month 8 &gt; Indie</t>
        </is>
      </c>
      <c r="B227" s="21">
        <f>0.08</f>
        <v>0.08</v>
      </c>
    </row>
    <row r="228" outlineLevel="1">
      <c r="A228" t="inlineStr" s="18">
        <is>
          <t xml:space="preserve">Logo growth through month 8 &gt; Launch</t>
        </is>
      </c>
      <c r="B228" s="21">
        <f>0</f>
        <v>0</v>
      </c>
    </row>
    <row r="229" outlineLevel="1">
      <c r="A229" t="inlineStr" s="18">
        <is>
          <t xml:space="preserve">Logo growth through month 8 &gt; Team</t>
        </is>
      </c>
      <c r="B229" s="21">
        <f>0.1</f>
        <v>0.1</v>
      </c>
    </row>
    <row r="230">
      <c r="A230" t="inlineStr" s="16">
        <is>
          <t xml:space="preserve">Model month · RC P&amp;L, cash &amp; runway</t>
        </is>
      </c>
      <c r="C230" s="17">
        <f>IF('Model inputs'!C32="","",'Model inputs'!C32)</f>
        <v>-2</v>
      </c>
      <c r="D230" s="17">
        <f>IF('Model inputs'!D32="","",'Model inputs'!D32)</f>
        <v>-1</v>
      </c>
      <c r="E230" s="17">
        <f>IF('Model inputs'!E32="","",'Model inputs'!E32)</f>
        <v>0</v>
      </c>
      <c r="F230" s="17">
        <f>IF('Model inputs'!F32="","",'Model inputs'!F32)</f>
        <v>1</v>
      </c>
      <c r="G230" s="17">
        <f>IF('Model inputs'!G32="","",'Model inputs'!G32)</f>
        <v>2</v>
      </c>
      <c r="H230" s="17">
        <f>IF('Model inputs'!H32="","",'Model inputs'!H32)</f>
        <v>3</v>
      </c>
      <c r="I230" s="17">
        <f>IF('Model inputs'!I32="","",'Model inputs'!I32)</f>
        <v>4</v>
      </c>
      <c r="J230" s="17">
        <f>IF('Model inputs'!J32="","",'Model inputs'!J32)</f>
        <v>5</v>
      </c>
      <c r="K230" s="17">
        <f>IF('Model inputs'!K32="","",'Model inputs'!K32)</f>
        <v>6</v>
      </c>
      <c r="L230" s="17">
        <f>IF('Model inputs'!L32="","",'Model inputs'!L32)</f>
        <v>7</v>
      </c>
      <c r="M230" s="17">
        <f>IF('Model inputs'!M32="","",'Model inputs'!M32)</f>
        <v>8</v>
      </c>
      <c r="N230" s="17">
        <f>IF('Model inputs'!N32="","",'Model inputs'!N32)</f>
        <v>9</v>
      </c>
      <c r="O230" s="17">
        <f>IF('Model inputs'!O32="","",'Model inputs'!O32)</f>
        <v>10</v>
      </c>
      <c r="P230" s="17">
        <f>IF('Model inputs'!P32="","",'Model inputs'!P32)</f>
        <v>11</v>
      </c>
      <c r="Q230" s="17">
        <f>IF('Model inputs'!Q32="","",'Model inputs'!Q32)</f>
        <v>12</v>
      </c>
      <c r="R230" s="17">
        <f>IF('Model inputs'!R32="","",'Model inputs'!R32)</f>
        <v>13</v>
      </c>
      <c r="S230" s="17">
        <f>IF('Model inputs'!S32="","",'Model inputs'!S32)</f>
        <v>14</v>
      </c>
      <c r="T230" s="17">
        <f>IF('Model inputs'!T32="","",'Model inputs'!T32)</f>
        <v>15</v>
      </c>
      <c r="U230" s="17">
        <f>IF('Model inputs'!U32="","",'Model inputs'!U32)</f>
        <v>16</v>
      </c>
      <c r="V230" s="17">
        <f>IF('Model inputs'!V32="","",'Model inputs'!V32)</f>
        <v>17</v>
      </c>
      <c r="W230" s="17">
        <f>(YEAR(DATE(2025,10,1))-2026)*12+MONTH(DATE(2025,10,1))-11</f>
        <v>-13</v>
      </c>
      <c r="X230" s="17">
        <f>(YEAR(DATE(2025,11,1))-2026)*12+MONTH(DATE(2025,11,1))-11</f>
        <v>-12</v>
      </c>
      <c r="Y230" s="17">
        <f>(YEAR(DATE(2025,12,1))-2026)*12+MONTH(DATE(2025,12,1))-11</f>
        <v>-11</v>
      </c>
      <c r="Z230" s="17">
        <f>(YEAR(DATE(2026,1,1))-2026)*12+MONTH(DATE(2026,1,1))-11</f>
        <v>-10</v>
      </c>
      <c r="AA230" s="17">
        <f>(YEAR(DATE(2026,2,1))-2026)*12+MONTH(DATE(2026,2,1))-11</f>
        <v>-9</v>
      </c>
      <c r="AB230" s="17">
        <f>(YEAR(DATE(2026,3,1))-2026)*12+MONTH(DATE(2026,3,1))-11</f>
        <v>-8</v>
      </c>
      <c r="AC230" s="17">
        <f>(YEAR(DATE(2026,4,1))-2026)*12+MONTH(DATE(2026,4,1))-11</f>
        <v>-7</v>
      </c>
      <c r="AD230" s="17">
        <f>(YEAR(DATE(2026,5,1))-2026)*12+MONTH(DATE(2026,5,1))-11</f>
        <v>-6</v>
      </c>
      <c r="AE230" s="17">
        <f>(YEAR(DATE(2026,6,1))-2026)*12+MONTH(DATE(2026,6,1))-11</f>
        <v>-5</v>
      </c>
      <c r="AF230" s="17">
        <f>(YEAR(DATE(2026,7,1))-2026)*12+MONTH(DATE(2026,7,1))-11</f>
        <v>-4</v>
      </c>
      <c r="AG230" s="17">
        <f>(YEAR(DATE(2026,8,1))-2026)*12+MONTH(DATE(2026,8,1))-11</f>
        <v>-3</v>
      </c>
    </row>
    <row r="231">
      <c r="A231" t="inlineStr" s="16">
        <is>
          <t xml:space="preserve">Monthly logo churn</t>
        </is>
      </c>
      <c r="B231" s="23">
        <v>0</v>
      </c>
    </row>
    <row r="232" outlineLevel="1">
      <c r="A232" t="inlineStr" s="18">
        <is>
          <t xml:space="preserve">Monthly logo churn &gt; Indie</t>
        </is>
      </c>
      <c r="B232" s="12">
        <f>0.06</f>
        <v>0.06</v>
      </c>
    </row>
    <row r="233" outlineLevel="1">
      <c r="A233" t="inlineStr" s="18">
        <is>
          <t xml:space="preserve">Monthly logo churn &gt; Launch</t>
        </is>
      </c>
      <c r="B233" s="12">
        <f>0.015</f>
        <v>0.015</v>
      </c>
    </row>
    <row r="234" outlineLevel="1">
      <c r="A234" t="inlineStr" s="18">
        <is>
          <t xml:space="preserve">Monthly logo churn &gt; Team</t>
        </is>
      </c>
      <c r="B234" s="12">
        <f>0.03</f>
        <v>0.03</v>
      </c>
    </row>
    <row r="235">
      <c r="A235" t="inlineStr" s="16">
        <is>
          <t xml:space="preserve">Net cash change · Cash on hand</t>
        </is>
      </c>
      <c r="C235" s="9">
        <f>IF('Model inputs'!C33="","",'Model inputs'!C33)</f>
        <v>0</v>
      </c>
      <c r="D235" s="9">
        <f>IF('Model inputs'!D33="","",'Model inputs'!D33)</f>
        <v>0</v>
      </c>
      <c r="E235" s="9">
        <f>IF('Model inputs'!E33="","",'Model inputs'!E33)</f>
        <v>-6963.372719999999</v>
      </c>
      <c r="F235" s="9">
        <f>IF('Model inputs'!F33="","",'Model inputs'!F33)</f>
        <v>-129.79945512500035</v>
      </c>
      <c r="G235" s="9">
        <f>IF('Model inputs'!G33="","",'Model inputs'!G33)</f>
        <v>1907.1255520151108</v>
      </c>
      <c r="H235" s="9">
        <f>IF('Model inputs'!H33="","",'Model inputs'!H33)</f>
        <v>2387.470321192661</v>
      </c>
      <c r="I235" s="9">
        <f>IF('Model inputs'!I33="","",'Model inputs'!I33)</f>
        <v>4421.2451315619055</v>
      </c>
      <c r="J235" s="9">
        <f>IF('Model inputs'!J33="","",'Model inputs'!J33)</f>
        <v>6769.73017820916</v>
      </c>
      <c r="K235" s="9">
        <f>IF('Model inputs'!K33="","",'Model inputs'!K33)</f>
        <v>5245.565410583662</v>
      </c>
      <c r="L235" s="9">
        <f>IF('Model inputs'!L33="","",'Model inputs'!L33)</f>
        <v>3932.0991694718705</v>
      </c>
      <c r="M235" s="9">
        <f>IF('Model inputs'!M33="","",'Model inputs'!M33)</f>
        <v>5813.103235978975</v>
      </c>
      <c r="N235" s="9">
        <f>IF('Model inputs'!N33="","",'Model inputs'!N33)</f>
        <v>7570.260325917436</v>
      </c>
      <c r="O235" s="9">
        <f>IF('Model inputs'!O33="","",'Model inputs'!O33)</f>
        <v>9354.691194280353</v>
      </c>
      <c r="P235" s="9">
        <f>IF('Model inputs'!P33="","",'Model inputs'!P33)</f>
        <v>11169.329218827374</v>
      </c>
      <c r="Q235" s="9">
        <f>IF('Model inputs'!Q33="","",'Model inputs'!Q33)</f>
        <v>8517.123309421157</v>
      </c>
      <c r="R235" s="9">
        <f>IF('Model inputs'!R33="","",'Model inputs'!R33)</f>
        <v>15787.540581002813</v>
      </c>
      <c r="S235" s="9">
        <f>IF('Model inputs'!S33="","",'Model inputs'!S33)</f>
        <v>18382.886882254454</v>
      </c>
      <c r="T235" s="9">
        <f>IF('Model inputs'!T33="","",'Model inputs'!T33)</f>
        <v>21103.946857552688</v>
      </c>
      <c r="U235" s="9">
        <f>IF('Model inputs'!U33="","",'Model inputs'!U33)</f>
        <v>23963.009488394346</v>
      </c>
      <c r="V235" s="9">
        <f>IF('Model inputs'!V33="","",'Model inputs'!V33)</f>
        <v>26973.67031421868</v>
      </c>
      <c r="W235" s="9">
        <f>'Model inputs'!W282-'Model inputs'!W292-'Model inputs'!W311-'Model inputs'!W299+'Model inputs'!W290</f>
        <v>0</v>
      </c>
      <c r="X235" s="9">
        <f>'Model inputs'!X282-'Model inputs'!X292-'Model inputs'!X311-'Model inputs'!X299+'Model inputs'!X290</f>
        <v>0</v>
      </c>
      <c r="Y235" s="9">
        <f>'Model inputs'!Y282-'Model inputs'!Y292-'Model inputs'!Y311-'Model inputs'!Y299+'Model inputs'!Y290</f>
        <v>0</v>
      </c>
      <c r="Z235" s="9">
        <f>'Model inputs'!Z282-'Model inputs'!Z292-'Model inputs'!Z311-'Model inputs'!Z299+'Model inputs'!Z290</f>
        <v>0</v>
      </c>
      <c r="AA235" s="9">
        <f>'Model inputs'!AA282-'Model inputs'!AA292-'Model inputs'!AA311-'Model inputs'!AA299+'Model inputs'!AA290</f>
        <v>0</v>
      </c>
      <c r="AB235" s="9">
        <f>'Model inputs'!AB282-'Model inputs'!AB292-'Model inputs'!AB311-'Model inputs'!AB299+'Model inputs'!AB290</f>
        <v>0</v>
      </c>
      <c r="AC235" s="9">
        <f>'Model inputs'!AC282-'Model inputs'!AC292-'Model inputs'!AC311-'Model inputs'!AC299+'Model inputs'!AC290</f>
        <v>0</v>
      </c>
      <c r="AD235" s="9">
        <f>'Model inputs'!AD282-'Model inputs'!AD292-'Model inputs'!AD311-'Model inputs'!AD299+'Model inputs'!AD290</f>
        <v>0</v>
      </c>
      <c r="AE235" s="9">
        <f>'Model inputs'!AE282-'Model inputs'!AE292-'Model inputs'!AE311-'Model inputs'!AE299+'Model inputs'!AE290</f>
        <v>0</v>
      </c>
      <c r="AF235" s="9">
        <f>'Model inputs'!AF282-'Model inputs'!AF292-'Model inputs'!AF311-'Model inputs'!AF299+'Model inputs'!AF290</f>
        <v>0</v>
      </c>
      <c r="AG235" s="9">
        <f>'Model inputs'!AG282-'Model inputs'!AG292-'Model inputs'!AG311-'Model inputs'!AG299+'Model inputs'!AG290</f>
        <v>0</v>
      </c>
    </row>
    <row r="236">
      <c r="A236" t="inlineStr" s="16">
        <is>
          <t xml:space="preserve">New annual prepayments</t>
        </is>
      </c>
      <c r="C236" s="19">
        <f>IF('Model inputs'!C174="","",'Model inputs'!C174)</f>
        <v>0</v>
      </c>
      <c r="D236" s="19">
        <f>IF('Model inputs'!D174="","",'Model inputs'!D174)</f>
        <v>0</v>
      </c>
      <c r="E236" s="19">
        <f>IF('Model inputs'!E174="","",'Model inputs'!E174)</f>
        <v>0</v>
      </c>
      <c r="F236" s="19">
        <f>IF('Model inputs'!F174="","",'Model inputs'!F174)</f>
        <v>0.6166805555555555</v>
      </c>
      <c r="G236" s="19">
        <f>IF('Model inputs'!G174="","",'Model inputs'!G174)</f>
        <v>1.100649537037037</v>
      </c>
      <c r="H236" s="19">
        <f>IF('Model inputs'!H174="","",'Model inputs'!H174)</f>
        <v>1.6615359083912034</v>
      </c>
      <c r="I236" s="19">
        <f>IF('Model inputs'!I174="","",'Model inputs'!I174)</f>
        <v>2.3074813761662645</v>
      </c>
      <c r="J236" s="19">
        <f>IF('Model inputs'!J174="","",'Model inputs'!J174)</f>
        <v>3.0477910316922854</v>
      </c>
      <c r="K236" s="19">
        <f>IF('Model inputs'!K174="","",'Model inputs'!K174)</f>
        <v>3.893055575398357</v>
      </c>
      <c r="L236" s="19">
        <f>IF('Model inputs'!L174="","",'Model inputs'!L174)</f>
        <v>2.4848998339089894</v>
      </c>
      <c r="M236" s="19">
        <f>IF('Model inputs'!M174="","",'Model inputs'!M174)</f>
        <v>2.733497355486792</v>
      </c>
      <c r="N236" s="19">
        <f>IF('Model inputs'!N174="","",'Model inputs'!N174)</f>
        <v>2.881160262666482</v>
      </c>
      <c r="O236" s="19">
        <f>IF('Model inputs'!O174="","",'Model inputs'!O174)</f>
        <v>3.0317081519360025</v>
      </c>
      <c r="P236" s="19">
        <f>IF('Model inputs'!P174="","",'Model inputs'!P174)</f>
        <v>3.1854578581921253</v>
      </c>
      <c r="Q236" s="19">
        <f>IF('Model inputs'!Q174="","",'Model inputs'!Q174)</f>
        <v>3.3427254606865704</v>
      </c>
      <c r="R236" s="19">
        <f>IF('Model inputs'!R174="","",'Model inputs'!R174)</f>
        <v>3.503827148069677</v>
      </c>
      <c r="S236" s="19">
        <f>IF('Model inputs'!S174="","",'Model inputs'!S174)</f>
        <v>3.6690800583510628</v>
      </c>
      <c r="T236" s="19">
        <f>IF('Model inputs'!T174="","",'Model inputs'!T174)</f>
        <v>3.838803096753139</v>
      </c>
      <c r="U236" s="19">
        <f>IF('Model inputs'!U174="","",'Model inputs'!U174)</f>
        <v>4.013317734286764</v>
      </c>
      <c r="V236" s="19">
        <f>IF('Model inputs'!V174="","",'Model inputs'!V174)</f>
        <v>4.192948789744163</v>
      </c>
      <c r="W236" s="19">
        <f>SUM('Model inputs'!W237,'Model inputs'!W238,'Model inputs'!W239)</f>
        <v>0</v>
      </c>
      <c r="X236" s="19">
        <f>SUM('Model inputs'!X237,'Model inputs'!X238,'Model inputs'!X239)</f>
        <v>0</v>
      </c>
      <c r="Y236" s="19">
        <f>SUM('Model inputs'!Y237,'Model inputs'!Y238,'Model inputs'!Y239)</f>
        <v>0</v>
      </c>
      <c r="Z236" s="19">
        <f>SUM('Model inputs'!Z237,'Model inputs'!Z238,'Model inputs'!Z239)</f>
        <v>0</v>
      </c>
      <c r="AA236" s="19">
        <f>SUM('Model inputs'!AA237,'Model inputs'!AA238,'Model inputs'!AA239)</f>
        <v>0</v>
      </c>
      <c r="AB236" s="19">
        <f>SUM('Model inputs'!AB237,'Model inputs'!AB238,'Model inputs'!AB239)</f>
        <v>0</v>
      </c>
      <c r="AC236" s="19">
        <f>SUM('Model inputs'!AC237,'Model inputs'!AC238,'Model inputs'!AC239)</f>
        <v>0</v>
      </c>
      <c r="AD236" s="19">
        <f>SUM('Model inputs'!AD237,'Model inputs'!AD238,'Model inputs'!AD239)</f>
        <v>0</v>
      </c>
      <c r="AE236" s="19">
        <f>SUM('Model inputs'!AE237,'Model inputs'!AE238,'Model inputs'!AE239)</f>
        <v>0</v>
      </c>
      <c r="AF236" s="19">
        <f>SUM('Model inputs'!AF237,'Model inputs'!AF238,'Model inputs'!AF239)</f>
        <v>0</v>
      </c>
      <c r="AG236" s="19">
        <f>SUM('Model inputs'!AG237,'Model inputs'!AG238,'Model inputs'!AG239)</f>
        <v>0</v>
      </c>
    </row>
    <row r="237" outlineLevel="1">
      <c r="A237" t="inlineStr" s="18">
        <is>
          <t xml:space="preserve">New annual prepayments &gt; Indie</t>
        </is>
      </c>
      <c r="C237" s="13">
        <f>IF('Model inputs'!C175="","",'Model inputs'!C175)</f>
        <v>0</v>
      </c>
      <c r="D237" s="13">
        <f>IF('Model inputs'!D175="","",'Model inputs'!D175)</f>
        <v>0</v>
      </c>
      <c r="E237" s="13">
        <f>IF('Model inputs'!E175="","",'Model inputs'!E175)</f>
        <v>0</v>
      </c>
      <c r="F237" s="13">
        <f>IF('Model inputs'!F175="","",'Model inputs'!F175)</f>
        <v>0</v>
      </c>
      <c r="G237" s="13">
        <f>IF('Model inputs'!G175="","",'Model inputs'!G175)</f>
        <v>0</v>
      </c>
      <c r="H237" s="13">
        <f>IF('Model inputs'!H175="","",'Model inputs'!H175)</f>
        <v>0</v>
      </c>
      <c r="I237" s="13">
        <f>IF('Model inputs'!I175="","",'Model inputs'!I175)</f>
        <v>0</v>
      </c>
      <c r="J237" s="13">
        <f>IF('Model inputs'!J175="","",'Model inputs'!J175)</f>
        <v>0</v>
      </c>
      <c r="K237" s="13">
        <f>IF('Model inputs'!K175="","",'Model inputs'!K175)</f>
        <v>0</v>
      </c>
      <c r="L237" s="13">
        <f>IF('Model inputs'!L175="","",'Model inputs'!L175)</f>
        <v>0</v>
      </c>
      <c r="M237" s="13">
        <f>IF('Model inputs'!M175="","",'Model inputs'!M175)</f>
        <v>0</v>
      </c>
      <c r="N237" s="13">
        <f>IF('Model inputs'!N175="","",'Model inputs'!N175)</f>
        <v>0</v>
      </c>
      <c r="O237" s="13">
        <f>IF('Model inputs'!O175="","",'Model inputs'!O175)</f>
        <v>0</v>
      </c>
      <c r="P237" s="13">
        <f>IF('Model inputs'!P175="","",'Model inputs'!P175)</f>
        <v>0</v>
      </c>
      <c r="Q237" s="13">
        <f>IF('Model inputs'!Q175="","",'Model inputs'!Q175)</f>
        <v>0</v>
      </c>
      <c r="R237" s="13">
        <f>IF('Model inputs'!R175="","",'Model inputs'!R175)</f>
        <v>0</v>
      </c>
      <c r="S237" s="13">
        <f>IF('Model inputs'!S175="","",'Model inputs'!S175)</f>
        <v>0</v>
      </c>
      <c r="T237" s="13">
        <f>IF('Model inputs'!T175="","",'Model inputs'!T175)</f>
        <v>0</v>
      </c>
      <c r="U237" s="13">
        <f>IF('Model inputs'!U175="","",'Model inputs'!U175)</f>
        <v>0</v>
      </c>
      <c r="V237" s="13">
        <f>IF('Model inputs'!V175="","",'Model inputs'!V175)</f>
        <v>0</v>
      </c>
      <c r="W237" s="13">
        <f>IF(IF(IF(ISERROR('Model inputs'!W230&lt;1),'Model inputs'!W230&lt;1,IF('Model inputs'!W230="","",'Model inputs'!W230&lt;1))="",FALSE,IF(ISERROR('Model inputs'!W230&lt;1),'Model inputs'!W230&lt;1,IF('Model inputs'!W230="","",'Model inputs'!W230&lt;1))),0,MAX('Model inputs'!W204-0*(1-'Model inputs'!B232),0))</f>
        <v>0</v>
      </c>
      <c r="X237" s="13">
        <f>IF(IF(IF(ISERROR('Model inputs'!X230&lt;1),'Model inputs'!X230&lt;1,IF('Model inputs'!X230="","",'Model inputs'!X230&lt;1))="",FALSE,IF(ISERROR('Model inputs'!X230&lt;1),'Model inputs'!X230&lt;1,IF('Model inputs'!X230="","",'Model inputs'!X230&lt;1))),0,MAX('Model inputs'!X204-'Model inputs'!W204*(1-'Model inputs'!B232),0))</f>
        <v>0</v>
      </c>
      <c r="Y237" s="13">
        <f>IF(IF(IF(ISERROR('Model inputs'!Y230&lt;1),'Model inputs'!Y230&lt;1,IF('Model inputs'!Y230="","",'Model inputs'!Y230&lt;1))="",FALSE,IF(ISERROR('Model inputs'!Y230&lt;1),'Model inputs'!Y230&lt;1,IF('Model inputs'!Y230="","",'Model inputs'!Y230&lt;1))),0,MAX('Model inputs'!Y204-'Model inputs'!X204*(1-'Model inputs'!B232),0))</f>
        <v>0</v>
      </c>
      <c r="Z237" s="13">
        <f>IF(IF(IF(ISERROR('Model inputs'!Z230&lt;1),'Model inputs'!Z230&lt;1,IF('Model inputs'!Z230="","",'Model inputs'!Z230&lt;1))="",FALSE,IF(ISERROR('Model inputs'!Z230&lt;1),'Model inputs'!Z230&lt;1,IF('Model inputs'!Z230="","",'Model inputs'!Z230&lt;1))),0,MAX('Model inputs'!Z204-'Model inputs'!Y204*(1-'Model inputs'!B232),0))</f>
        <v>0</v>
      </c>
      <c r="AA237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inputs'!AA230&lt;1))),0,MAX('Model inputs'!AA204-'Model inputs'!Z204*(1-'Model inputs'!B232),0))</f>
        <v>0</v>
      </c>
      <c r="AB237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inputs'!AB230&lt;1))),0,MAX('Model inputs'!AB204-'Model inputs'!AA204*(1-'Model inputs'!B232),0))</f>
        <v>0</v>
      </c>
      <c r="AC237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inputs'!AC230&lt;1))),0,MAX('Model inputs'!AC204-'Model inputs'!AB204*(1-'Model inputs'!B232),0))</f>
        <v>0</v>
      </c>
      <c r="AD237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inputs'!AD230&lt;1))),0,MAX('Model inputs'!AD204-'Model inputs'!AC204*(1-'Model inputs'!B232),0))</f>
        <v>0</v>
      </c>
      <c r="AE237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inputs'!AE230&lt;1))),0,MAX('Model inputs'!AE204-'Model inputs'!AD204*(1-'Model inputs'!B232),0))</f>
        <v>0</v>
      </c>
      <c r="AF237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inputs'!AF230&lt;1))),0,MAX('Model inputs'!AF204-'Model inputs'!AE204*(1-'Model inputs'!B232),0))</f>
        <v>0</v>
      </c>
      <c r="AG237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inputs'!AG230&lt;1))),0,MAX('Model inputs'!AG204-'Model inputs'!AF204*(1-'Model inputs'!B232),0))</f>
        <v>0</v>
      </c>
    </row>
    <row r="238" outlineLevel="1">
      <c r="A238" t="inlineStr" s="18">
        <is>
          <t xml:space="preserve">New annual prepayments &gt; Launch</t>
        </is>
      </c>
      <c r="C238" s="13">
        <f>IF('Model inputs'!C176="","",'Model inputs'!C176)</f>
        <v>0</v>
      </c>
      <c r="D238" s="13">
        <f>IF('Model inputs'!D176="","",'Model inputs'!D176)</f>
        <v>0</v>
      </c>
      <c r="E238" s="13">
        <f>IF('Model inputs'!E176="","",'Model inputs'!E176)</f>
        <v>0</v>
      </c>
      <c r="F238" s="13">
        <f>IF('Model inputs'!F176="","",'Model inputs'!F176)</f>
        <v>0.08808333333333332</v>
      </c>
      <c r="G238" s="13">
        <f>IF('Model inputs'!G176="","",'Model inputs'!G176)</f>
        <v>0.14950039351851846</v>
      </c>
      <c r="H238" s="13">
        <f>IF('Model inputs'!H176="","",'Model inputs'!H176)</f>
        <v>0.21300857265624992</v>
      </c>
      <c r="I238" s="13">
        <f>IF('Model inputs'!I176="","",'Model inputs'!I176)</f>
        <v>0.27894984150853586</v>
      </c>
      <c r="J238" s="13">
        <f>IF('Model inputs'!J176="","",'Model inputs'!J176)</f>
        <v>0.34769579376382986</v>
      </c>
      <c r="K238" s="13">
        <f>IF('Model inputs'!K176="","",'Model inputs'!K176)</f>
        <v>0.41965235241733834</v>
      </c>
      <c r="L238" s="13">
        <f>IF('Model inputs'!L176="","",'Model inputs'!L176)</f>
        <v>0.21924642763510693</v>
      </c>
      <c r="M238" s="13">
        <f>IF('Model inputs'!M176="","",'Model inputs'!M176)</f>
        <v>0.22735925733219475</v>
      </c>
      <c r="N238" s="13">
        <f>IF('Model inputs'!N176="","",'Model inputs'!N176)</f>
        <v>0.23623072168787318</v>
      </c>
      <c r="O238" s="13">
        <f>IF('Model inputs'!O176="","",'Model inputs'!O176)</f>
        <v>0.24541433979131444</v>
      </c>
      <c r="P238" s="13">
        <f>IF('Model inputs'!P176="","",'Model inputs'!P176)</f>
        <v>0.25491146714817825</v>
      </c>
      <c r="Q238" s="13">
        <f>IF('Model inputs'!Q176="","",'Model inputs'!Q176)</f>
        <v>0.26472473309641575</v>
      </c>
      <c r="R238" s="13">
        <f>IF('Model inputs'!R176="","",'Model inputs'!R176)</f>
        <v>0.2748579941351488</v>
      </c>
      <c r="S238" s="13">
        <f>IF('Model inputs'!S176="","",'Model inputs'!S176)</f>
        <v>0.2853162924524879</v>
      </c>
      <c r="T238" s="13">
        <f>IF('Model inputs'!T176="","",'Model inputs'!T176)</f>
        <v>0.2961058193701578</v>
      </c>
      <c r="U238" s="13">
        <f>IF('Model inputs'!U176="","",'Model inputs'!U176)</f>
        <v>0.3072338834448147</v>
      </c>
      <c r="V238" s="13">
        <f>IF('Model inputs'!V176="","",'Model inputs'!V176)</f>
        <v>0.318708882986646</v>
      </c>
      <c r="W238" s="13">
        <f>IF(IF(IF(ISERROR('Model inputs'!W230&lt;1),'Model inputs'!W230&lt;1,IF('Model inputs'!W230="","",'Model inputs'!W230&lt;1))="",FALSE,IF(ISERROR('Model inputs'!W230&lt;1),'Model inputs'!W230&lt;1,IF('Model inputs'!W230="","",'Model inputs'!W230&lt;1))),0,MAX('Model inputs'!W205-0*(1-'Model inputs'!B233),0))</f>
        <v>0</v>
      </c>
      <c r="X238" s="13">
        <f>IF(IF(IF(ISERROR('Model inputs'!X230&lt;1),'Model inputs'!X230&lt;1,IF('Model inputs'!X230="","",'Model inputs'!X230&lt;1))="",FALSE,IF(ISERROR('Model inputs'!X230&lt;1),'Model inputs'!X230&lt;1,IF('Model inputs'!X230="","",'Model inputs'!X230&lt;1))),0,MAX('Model inputs'!X205-'Model inputs'!W205*(1-'Model inputs'!B233),0))</f>
        <v>0</v>
      </c>
      <c r="Y238" s="13">
        <f>IF(IF(IF(ISERROR('Model inputs'!Y230&lt;1),'Model inputs'!Y230&lt;1,IF('Model inputs'!Y230="","",'Model inputs'!Y230&lt;1))="",FALSE,IF(ISERROR('Model inputs'!Y230&lt;1),'Model inputs'!Y230&lt;1,IF('Model inputs'!Y230="","",'Model inputs'!Y230&lt;1))),0,MAX('Model inputs'!Y205-'Model inputs'!X205*(1-'Model inputs'!B233),0))</f>
        <v>0</v>
      </c>
      <c r="Z238" s="13">
        <f>IF(IF(IF(ISERROR('Model inputs'!Z230&lt;1),'Model inputs'!Z230&lt;1,IF('Model inputs'!Z230="","",'Model inputs'!Z230&lt;1))="",FALSE,IF(ISERROR('Model inputs'!Z230&lt;1),'Model inputs'!Z230&lt;1,IF('Model inputs'!Z230="","",'Model inputs'!Z230&lt;1))),0,MAX('Model inputs'!Z205-'Model inputs'!Y205*(1-'Model inputs'!B233),0))</f>
        <v>0</v>
      </c>
      <c r="AA238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inputs'!AA230&lt;1))),0,MAX('Model inputs'!AA205-'Model inputs'!Z205*(1-'Model inputs'!B233),0))</f>
        <v>0</v>
      </c>
      <c r="AB238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inputs'!AB230&lt;1))),0,MAX('Model inputs'!AB205-'Model inputs'!AA205*(1-'Model inputs'!B233),0))</f>
        <v>0</v>
      </c>
      <c r="AC238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inputs'!AC230&lt;1))),0,MAX('Model inputs'!AC205-'Model inputs'!AB205*(1-'Model inputs'!B233),0))</f>
        <v>0</v>
      </c>
      <c r="AD238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inputs'!AD230&lt;1))),0,MAX('Model inputs'!AD205-'Model inputs'!AC205*(1-'Model inputs'!B233),0))</f>
        <v>0</v>
      </c>
      <c r="AE238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inputs'!AE230&lt;1))),0,MAX('Model inputs'!AE205-'Model inputs'!AD205*(1-'Model inputs'!B233),0))</f>
        <v>0</v>
      </c>
      <c r="AF238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inputs'!AF230&lt;1))),0,MAX('Model inputs'!AF205-'Model inputs'!AE205*(1-'Model inputs'!B233),0))</f>
        <v>0</v>
      </c>
      <c r="AG238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inputs'!AG230&lt;1))),0,MAX('Model inputs'!AG205-'Model inputs'!AF205*(1-'Model inputs'!B233),0))</f>
        <v>0</v>
      </c>
    </row>
    <row r="239" outlineLevel="1">
      <c r="A239" t="inlineStr" s="18">
        <is>
          <t xml:space="preserve">New annual prepayments &gt; Team</t>
        </is>
      </c>
      <c r="C239" s="13">
        <f>IF('Model inputs'!C177="","",'Model inputs'!C177)</f>
        <v>0</v>
      </c>
      <c r="D239" s="13">
        <f>IF('Model inputs'!D177="","",'Model inputs'!D177)</f>
        <v>0</v>
      </c>
      <c r="E239" s="13">
        <f>IF('Model inputs'!E177="","",'Model inputs'!E177)</f>
        <v>0</v>
      </c>
      <c r="F239" s="13">
        <f>IF('Model inputs'!F177="","",'Model inputs'!F177)</f>
        <v>0.5285972222222222</v>
      </c>
      <c r="G239" s="13">
        <f>IF('Model inputs'!G177="","",'Model inputs'!G177)</f>
        <v>0.9511491435185185</v>
      </c>
      <c r="H239" s="13">
        <f>IF('Model inputs'!H177="","",'Model inputs'!H177)</f>
        <v>1.4485273357349535</v>
      </c>
      <c r="I239" s="13">
        <f>IF('Model inputs'!I177="","",'Model inputs'!I177)</f>
        <v>2.028531534657729</v>
      </c>
      <c r="J239" s="13">
        <f>IF('Model inputs'!J177="","",'Model inputs'!J177)</f>
        <v>2.7000952379284557</v>
      </c>
      <c r="K239" s="13">
        <f>IF('Model inputs'!K177="","",'Model inputs'!K177)</f>
        <v>3.473403222981019</v>
      </c>
      <c r="L239" s="13">
        <f>IF('Model inputs'!L177="","",'Model inputs'!L177)</f>
        <v>2.2656534062738825</v>
      </c>
      <c r="M239" s="13">
        <f>IF('Model inputs'!M177="","",'Model inputs'!M177)</f>
        <v>2.5061380981545973</v>
      </c>
      <c r="N239" s="13">
        <f>IF('Model inputs'!N177="","",'Model inputs'!N177)</f>
        <v>2.644929540978609</v>
      </c>
      <c r="O239" s="13">
        <f>IF('Model inputs'!O177="","",'Model inputs'!O177)</f>
        <v>2.786293812144688</v>
      </c>
      <c r="P239" s="13">
        <f>IF('Model inputs'!P177="","",'Model inputs'!P177)</f>
        <v>2.930546391043947</v>
      </c>
      <c r="Q239" s="13">
        <f>IF('Model inputs'!Q177="","",'Model inputs'!Q177)</f>
        <v>3.0780007275901546</v>
      </c>
      <c r="R239" s="13">
        <f>IF('Model inputs'!R177="","",'Model inputs'!R177)</f>
        <v>3.2289691539345284</v>
      </c>
      <c r="S239" s="13">
        <f>IF('Model inputs'!S177="","",'Model inputs'!S177)</f>
        <v>3.383763765898575</v>
      </c>
      <c r="T239" s="13">
        <f>IF('Model inputs'!T177="","",'Model inputs'!T177)</f>
        <v>3.542697277382981</v>
      </c>
      <c r="U239" s="13">
        <f>IF('Model inputs'!U177="","",'Model inputs'!U177)</f>
        <v>3.7060838508419494</v>
      </c>
      <c r="V239" s="13">
        <f>IF('Model inputs'!V177="","",'Model inputs'!V177)</f>
        <v>3.8742399067575164</v>
      </c>
      <c r="W239" s="13">
        <f>IF(IF(IF(ISERROR('Model inputs'!W230&lt;1),'Model inputs'!W230&lt;1,IF('Model inputs'!W230="","",'Model inputs'!W230&lt;1))="",FALSE,IF(ISERROR('Model inputs'!W230&lt;1),'Model inputs'!W230&lt;1,IF('Model inputs'!W230="","",'Model inputs'!W230&lt;1))),0,MAX('Model inputs'!W206-0*(1-'Model inputs'!B234),0))</f>
        <v>0</v>
      </c>
      <c r="X239" s="13">
        <f>IF(IF(IF(ISERROR('Model inputs'!X230&lt;1),'Model inputs'!X230&lt;1,IF('Model inputs'!X230="","",'Model inputs'!X230&lt;1))="",FALSE,IF(ISERROR('Model inputs'!X230&lt;1),'Model inputs'!X230&lt;1,IF('Model inputs'!X230="","",'Model inputs'!X230&lt;1))),0,MAX('Model inputs'!X206-'Model inputs'!W206*(1-'Model inputs'!B234),0))</f>
        <v>0</v>
      </c>
      <c r="Y239" s="13">
        <f>IF(IF(IF(ISERROR('Model inputs'!Y230&lt;1),'Model inputs'!Y230&lt;1,IF('Model inputs'!Y230="","",'Model inputs'!Y230&lt;1))="",FALSE,IF(ISERROR('Model inputs'!Y230&lt;1),'Model inputs'!Y230&lt;1,IF('Model inputs'!Y230="","",'Model inputs'!Y230&lt;1))),0,MAX('Model inputs'!Y206-'Model inputs'!X206*(1-'Model inputs'!B234),0))</f>
        <v>0</v>
      </c>
      <c r="Z239" s="13">
        <f>IF(IF(IF(ISERROR('Model inputs'!Z230&lt;1),'Model inputs'!Z230&lt;1,IF('Model inputs'!Z230="","",'Model inputs'!Z230&lt;1))="",FALSE,IF(ISERROR('Model inputs'!Z230&lt;1),'Model inputs'!Z230&lt;1,IF('Model inputs'!Z230="","",'Model inputs'!Z230&lt;1))),0,MAX('Model inputs'!Z206-'Model inputs'!Y206*(1-'Model inputs'!B234),0))</f>
        <v>0</v>
      </c>
      <c r="AA239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inputs'!AA230&lt;1))),0,MAX('Model inputs'!AA206-'Model inputs'!Z206*(1-'Model inputs'!B234),0))</f>
        <v>0</v>
      </c>
      <c r="AB239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inputs'!AB230&lt;1))),0,MAX('Model inputs'!AB206-'Model inputs'!AA206*(1-'Model inputs'!B234),0))</f>
        <v>0</v>
      </c>
      <c r="AC239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inputs'!AC230&lt;1))),0,MAX('Model inputs'!AC206-'Model inputs'!AB206*(1-'Model inputs'!B234),0))</f>
        <v>0</v>
      </c>
      <c r="AD239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inputs'!AD230&lt;1))),0,MAX('Model inputs'!AD206-'Model inputs'!AC206*(1-'Model inputs'!B234),0))</f>
        <v>0</v>
      </c>
      <c r="AE239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inputs'!AE230&lt;1))),0,MAX('Model inputs'!AE206-'Model inputs'!AD206*(1-'Model inputs'!B234),0))</f>
        <v>0</v>
      </c>
      <c r="AF239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inputs'!AF230&lt;1))),0,MAX('Model inputs'!AF206-'Model inputs'!AE206*(1-'Model inputs'!B234),0))</f>
        <v>0</v>
      </c>
      <c r="AG239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inputs'!AG230&lt;1))),0,MAX('Model inputs'!AG206-'Model inputs'!AF206*(1-'Model inputs'!B234),0))</f>
        <v>0</v>
      </c>
    </row>
    <row r="240">
      <c r="A240" t="inlineStr" s="16">
        <is>
          <t xml:space="preserve">New logos in month 1</t>
        </is>
      </c>
      <c r="B240" s="19">
        <v>0</v>
      </c>
    </row>
    <row r="241" outlineLevel="1">
      <c r="A241" t="inlineStr" s="18">
        <is>
          <t xml:space="preserve">New logos in month 1 &gt; Indie</t>
        </is>
      </c>
      <c r="B241" s="13">
        <f>25</f>
        <v>25</v>
      </c>
    </row>
    <row r="242" outlineLevel="1">
      <c r="A242" t="inlineStr" s="18">
        <is>
          <t xml:space="preserve">New logos in month 1 &gt; Launch</t>
        </is>
      </c>
      <c r="B242" s="13">
        <f>0.5</f>
        <v>0.5</v>
      </c>
    </row>
    <row r="243" outlineLevel="1">
      <c r="A243" t="inlineStr" s="18">
        <is>
          <t xml:space="preserve">New logos in month 1 &gt; Team</t>
        </is>
      </c>
      <c r="B243" s="13">
        <f>3</f>
        <v>3</v>
      </c>
    </row>
    <row r="244">
      <c r="A244" t="inlineStr" s="16">
        <is>
          <t xml:space="preserve">Optimized COGS per kit · COGS per kit · Kit COGS</t>
        </is>
      </c>
      <c r="B244" s="20">
        <f>0.16</f>
        <v>0.16</v>
      </c>
    </row>
    <row r="245">
      <c r="A245" t="inlineStr" s="16">
        <is>
          <t xml:space="preserve">Starting customers</t>
        </is>
      </c>
      <c r="B245" s="14">
        <v>0</v>
      </c>
    </row>
    <row r="246" outlineLevel="1">
      <c r="A246" t="inlineStr" s="18">
        <is>
          <t xml:space="preserve">Starting customers &gt; Indie</t>
        </is>
      </c>
      <c r="B246" s="17">
        <f>40</f>
        <v>40</v>
      </c>
    </row>
    <row r="247" outlineLevel="1">
      <c r="A247" t="inlineStr" s="18">
        <is>
          <t xml:space="preserve">Starting customers &gt; Launch</t>
        </is>
      </c>
      <c r="B247" s="17">
        <f>1</f>
        <v>1</v>
      </c>
    </row>
    <row r="248" outlineLevel="1">
      <c r="A248" t="inlineStr" s="18">
        <is>
          <t xml:space="preserve">Starting customers &gt; Team</t>
        </is>
      </c>
      <c r="B248" s="17">
        <f>6</f>
        <v>6</v>
      </c>
    </row>
    <row r="249">
      <c r="A249" t="inlineStr" s="16">
        <is>
          <t xml:space="preserve">Waitlist conversions (month 1)</t>
        </is>
      </c>
      <c r="B249" s="14">
        <v>0</v>
      </c>
    </row>
    <row r="250" outlineLevel="1">
      <c r="A250" t="inlineStr" s="18">
        <is>
          <t xml:space="preserve">Waitlist conversions (month 1) &gt; Indie</t>
        </is>
      </c>
      <c r="B250" s="17">
        <f>12</f>
        <v>12</v>
      </c>
    </row>
    <row r="251" outlineLevel="1">
      <c r="A251" t="inlineStr" s="18">
        <is>
          <t xml:space="preserve">Waitlist conversions (month 1) &gt; Launch</t>
        </is>
      </c>
      <c r="B251" s="17">
        <f>0</f>
        <v>0</v>
      </c>
    </row>
    <row r="252" outlineLevel="1">
      <c r="A252" t="inlineStr" s="18">
        <is>
          <t xml:space="preserve">Waitlist conversions (month 1) &gt; Team</t>
        </is>
      </c>
      <c r="B252" s="17">
        <f>0</f>
        <v>0</v>
      </c>
    </row>
    <row r="253">
      <c r="A253" t="inlineStr" s="16">
        <is>
          <t xml:space="preserve">Annual-pay share</t>
        </is>
      </c>
      <c r="C253" s="22">
        <f>IFERROR('Model inputs'!C76/'Model inputs'!C19,0)</f>
        <v>0</v>
      </c>
      <c r="D253" s="22">
        <f>IFERROR('Model inputs'!D76/'Model inputs'!D19,0)</f>
        <v>0</v>
      </c>
      <c r="E253" s="22">
        <f>IFERROR('Model inputs'!E76/'Model inputs'!E19,0)</f>
        <v>0</v>
      </c>
      <c r="F253" s="22">
        <f>IFERROR('Model inputs'!F76/'Model inputs'!F19,0)</f>
        <v>0.007263183034633478</v>
      </c>
      <c r="G253" s="22">
        <f>IFERROR('Model inputs'!G76/'Model inputs'!G19,0)</f>
        <v>0.015323508464819228</v>
      </c>
      <c r="H253" s="22">
        <f>IFERROR('Model inputs'!H76/'Model inputs'!H19,0)</f>
        <v>0.02400725503608828</v>
      </c>
      <c r="I253" s="22">
        <f>IFERROR('Model inputs'!I76/'Model inputs'!I19,0)</f>
        <v>0.033234927811073615</v>
      </c>
      <c r="J253" s="22">
        <f>IFERROR('Model inputs'!J76/'Model inputs'!J19,0)</f>
        <v>0.04295886472009173</v>
      </c>
      <c r="K253" s="22">
        <f>IFERROR('Model inputs'!K76/'Model inputs'!K19,0)</f>
        <v>0.053145012246386104</v>
      </c>
      <c r="L253" s="22">
        <f>IFERROR('Model inputs'!L76/'Model inputs'!L19,0)</f>
        <v>0.054656837336832895</v>
      </c>
      <c r="M253" s="22">
        <f>IFERROR('Model inputs'!M76/'Model inputs'!M19,0)</f>
        <v>0.05609994835252925</v>
      </c>
      <c r="N253" s="22">
        <f>IFERROR('Model inputs'!N76/'Model inputs'!N19,0)</f>
        <v>0.05747162103799837</v>
      </c>
      <c r="O253" s="22">
        <f>IFERROR('Model inputs'!O76/'Model inputs'!O19,0)</f>
        <v>0.05878006906791826</v>
      </c>
      <c r="P253" s="22">
        <f>IFERROR('Model inputs'!P76/'Model inputs'!P19,0)</f>
        <v>0.060030694059278696</v>
      </c>
      <c r="Q253" s="22">
        <f>IFERROR('Model inputs'!Q76/'Model inputs'!Q19,0)</f>
        <v>0.06122727428308524</v>
      </c>
      <c r="R253" s="22">
        <f>IFERROR('Model inputs'!R76/'Model inputs'!R19,0)</f>
        <v>0.06237261337059296</v>
      </c>
      <c r="S253" s="22">
        <f>IFERROR('Model inputs'!S76/'Model inputs'!S19,0)</f>
        <v>0.06346891347812103</v>
      </c>
      <c r="T253" s="22">
        <f>IFERROR('Model inputs'!T76/'Model inputs'!T19,0)</f>
        <v>0.06451799899827979</v>
      </c>
      <c r="U253" s="22">
        <f>IFERROR('Model inputs'!U76/'Model inputs'!U19,0)</f>
        <v>0.06552145500483654</v>
      </c>
      <c r="V253" s="22">
        <f>IFERROR('Model inputs'!V76/'Model inputs'!V19,0)</f>
        <v>0.06648071494723815</v>
      </c>
      <c r="W253" s="22">
        <f>IFERROR('Model inputs'!W203/'Model inputs'!W213,0)</f>
        <v>0</v>
      </c>
      <c r="X253" s="22">
        <f>IFERROR('Model inputs'!X203/'Model inputs'!X213,0)</f>
        <v>0</v>
      </c>
      <c r="Y253" s="22">
        <f>IFERROR('Model inputs'!Y203/'Model inputs'!Y213,0)</f>
        <v>0</v>
      </c>
      <c r="Z253" s="22">
        <f>IFERROR('Model inputs'!Z203/'Model inputs'!Z213,0)</f>
        <v>0</v>
      </c>
      <c r="AA253" s="22">
        <f>IFERROR('Model inputs'!AA203/'Model inputs'!AA213,0)</f>
        <v>0</v>
      </c>
      <c r="AB253" s="22">
        <f>IFERROR('Model inputs'!AB203/'Model inputs'!AB213,0)</f>
        <v>0</v>
      </c>
      <c r="AC253" s="22">
        <f>IFERROR('Model inputs'!AC203/'Model inputs'!AC213,0)</f>
        <v>0</v>
      </c>
      <c r="AD253" s="22">
        <f>IFERROR('Model inputs'!AD203/'Model inputs'!AD213,0)</f>
        <v>0</v>
      </c>
      <c r="AE253" s="22">
        <f>IFERROR('Model inputs'!AE203/'Model inputs'!AE213,0)</f>
        <v>0</v>
      </c>
      <c r="AF253" s="22">
        <f>IFERROR('Model inputs'!AF203/'Model inputs'!AF213,0)</f>
        <v>0</v>
      </c>
      <c r="AG253" s="22">
        <f>IFERROR('Model inputs'!AG203/'Model inputs'!AG213,0)</f>
        <v>0</v>
      </c>
    </row>
    <row r="254" outlineLevel="1">
      <c r="A254" t="inlineStr" s="18">
        <is>
          <t xml:space="preserve">Annual-pay share &gt; Indie</t>
        </is>
      </c>
      <c r="C254" s="21">
        <f>IF(IF(IF(ISERROR('Model inputs'!C32&lt;=0),'Model inputs'!C32&lt;=0,IF('Model inputs'!C32="","",'Model inputs'!C32&lt;=0))="",FALSE,IF(ISERROR('Model inputs'!C32&lt;=0),'Model inputs'!C32&lt;=0,IF('Model inputs'!C32="","",'Model inputs'!C32&lt;=0))),0,'Model inputs'!B279*MIN('Model inputs'!C32/'Model inputs'!B277,1))</f>
        <v>0</v>
      </c>
      <c r="D254" s="21">
        <f>IF(IF(IF(ISERROR('Model inputs'!D32&lt;=0),'Model inputs'!D32&lt;=0,IF('Model inputs'!D32="","",'Model inputs'!D32&lt;=0))="",FALSE,IF(ISERROR('Model inputs'!D32&lt;=0),'Model inputs'!D32&lt;=0,IF('Model inputs'!D32="","",'Model inputs'!D32&lt;=0))),0,'Model inputs'!B279*MIN('Model inputs'!D32/'Model inputs'!B277,1))</f>
        <v>0</v>
      </c>
      <c r="E254" s="21">
        <f>IF(IF(IF(ISERROR('Model inputs'!E32&lt;=0),'Model inputs'!E32&lt;=0,IF('Model inputs'!E32="","",'Model inputs'!E32&lt;=0))="",FALSE,IF(ISERROR('Model inputs'!E32&lt;=0),'Model inputs'!E32&lt;=0,IF('Model inputs'!E32="","",'Model inputs'!E32&lt;=0))),0,'Model inputs'!B279*MIN('Model inputs'!E32/'Model inputs'!B277,1))</f>
        <v>0</v>
      </c>
      <c r="F254" s="21">
        <f>IF(IF(IF(ISERROR('Model inputs'!F32&lt;=0),'Model inputs'!F32&lt;=0,IF('Model inputs'!F32="","",'Model inputs'!F32&lt;=0))="",FALSE,IF(ISERROR('Model inputs'!F32&lt;=0),'Model inputs'!F32&lt;=0,IF('Model inputs'!F32="","",'Model inputs'!F32&lt;=0))),0,'Model inputs'!B279*MIN('Model inputs'!F32/'Model inputs'!B277,1))</f>
        <v>0</v>
      </c>
      <c r="G254" s="21">
        <f>IF(IF(IF(ISERROR('Model inputs'!G32&lt;=0),'Model inputs'!G32&lt;=0,IF('Model inputs'!G32="","",'Model inputs'!G32&lt;=0))="",FALSE,IF(ISERROR('Model inputs'!G32&lt;=0),'Model inputs'!G32&lt;=0,IF('Model inputs'!G32="","",'Model inputs'!G32&lt;=0))),0,'Model inputs'!B279*MIN('Model inputs'!G32/'Model inputs'!B277,1))</f>
        <v>0</v>
      </c>
      <c r="H254" s="21">
        <f>IF(IF(IF(ISERROR('Model inputs'!H32&lt;=0),'Model inputs'!H32&lt;=0,IF('Model inputs'!H32="","",'Model inputs'!H32&lt;=0))="",FALSE,IF(ISERROR('Model inputs'!H32&lt;=0),'Model inputs'!H32&lt;=0,IF('Model inputs'!H32="","",'Model inputs'!H32&lt;=0))),0,'Model inputs'!B279*MIN('Model inputs'!H32/'Model inputs'!B277,1))</f>
        <v>0</v>
      </c>
      <c r="I254" s="21">
        <f>IF(IF(IF(ISERROR('Model inputs'!I32&lt;=0),'Model inputs'!I32&lt;=0,IF('Model inputs'!I32="","",'Model inputs'!I32&lt;=0))="",FALSE,IF(ISERROR('Model inputs'!I32&lt;=0),'Model inputs'!I32&lt;=0,IF('Model inputs'!I32="","",'Model inputs'!I32&lt;=0))),0,'Model inputs'!B279*MIN('Model inputs'!I32/'Model inputs'!B277,1))</f>
        <v>0</v>
      </c>
      <c r="J254" s="21">
        <f>IF(IF(IF(ISERROR('Model inputs'!J32&lt;=0),'Model inputs'!J32&lt;=0,IF('Model inputs'!J32="","",'Model inputs'!J32&lt;=0))="",FALSE,IF(ISERROR('Model inputs'!J32&lt;=0),'Model inputs'!J32&lt;=0,IF('Model inputs'!J32="","",'Model inputs'!J32&lt;=0))),0,'Model inputs'!B279*MIN('Model inputs'!J32/'Model inputs'!B277,1))</f>
        <v>0</v>
      </c>
      <c r="K254" s="21">
        <f>IF(IF(IF(ISERROR('Model inputs'!K32&lt;=0),'Model inputs'!K32&lt;=0,IF('Model inputs'!K32="","",'Model inputs'!K32&lt;=0))="",FALSE,IF(ISERROR('Model inputs'!K32&lt;=0),'Model inputs'!K32&lt;=0,IF('Model inputs'!K32="","",'Model inputs'!K32&lt;=0))),0,'Model inputs'!B279*MIN('Model inputs'!K32/'Model inputs'!B277,1))</f>
        <v>0</v>
      </c>
      <c r="L254" s="21">
        <f>IF(IF(IF(ISERROR('Model inputs'!L32&lt;=0),'Model inputs'!L32&lt;=0,IF('Model inputs'!L32="","",'Model inputs'!L32&lt;=0))="",FALSE,IF(ISERROR('Model inputs'!L32&lt;=0),'Model inputs'!L32&lt;=0,IF('Model inputs'!L32="","",'Model inputs'!L32&lt;=0))),0,'Model inputs'!B279*MIN('Model inputs'!L32/'Model inputs'!B277,1))</f>
        <v>0</v>
      </c>
      <c r="M254" s="21">
        <f>IF(IF(IF(ISERROR('Model inputs'!M32&lt;=0),'Model inputs'!M32&lt;=0,IF('Model inputs'!M32="","",'Model inputs'!M32&lt;=0))="",FALSE,IF(ISERROR('Model inputs'!M32&lt;=0),'Model inputs'!M32&lt;=0,IF('Model inputs'!M32="","",'Model inputs'!M32&lt;=0))),0,'Model inputs'!B279*MIN('Model inputs'!M32/'Model inputs'!B277,1))</f>
        <v>0</v>
      </c>
      <c r="N254" s="21">
        <f>IF(IF(IF(ISERROR('Model inputs'!N32&lt;=0),'Model inputs'!N32&lt;=0,IF('Model inputs'!N32="","",'Model inputs'!N32&lt;=0))="",FALSE,IF(ISERROR('Model inputs'!N32&lt;=0),'Model inputs'!N32&lt;=0,IF('Model inputs'!N32="","",'Model inputs'!N32&lt;=0))),0,'Model inputs'!B279*MIN('Model inputs'!N32/'Model inputs'!B277,1))</f>
        <v>0</v>
      </c>
      <c r="O254" s="21">
        <f>IF(IF(IF(ISERROR('Model inputs'!O32&lt;=0),'Model inputs'!O32&lt;=0,IF('Model inputs'!O32="","",'Model inputs'!O32&lt;=0))="",FALSE,IF(ISERROR('Model inputs'!O32&lt;=0),'Model inputs'!O32&lt;=0,IF('Model inputs'!O32="","",'Model inputs'!O32&lt;=0))),0,'Model inputs'!B279*MIN('Model inputs'!O32/'Model inputs'!B277,1))</f>
        <v>0</v>
      </c>
      <c r="P254" s="21">
        <f>IF(IF(IF(ISERROR('Model inputs'!P32&lt;=0),'Model inputs'!P32&lt;=0,IF('Model inputs'!P32="","",'Model inputs'!P32&lt;=0))="",FALSE,IF(ISERROR('Model inputs'!P32&lt;=0),'Model inputs'!P32&lt;=0,IF('Model inputs'!P32="","",'Model inputs'!P32&lt;=0))),0,'Model inputs'!B279*MIN('Model inputs'!P32/'Model inputs'!B277,1))</f>
        <v>0</v>
      </c>
      <c r="Q254" s="21">
        <f>IF(IF(IF(ISERROR('Model inputs'!Q32&lt;=0),'Model inputs'!Q32&lt;=0,IF('Model inputs'!Q32="","",'Model inputs'!Q32&lt;=0))="",FALSE,IF(ISERROR('Model inputs'!Q32&lt;=0),'Model inputs'!Q32&lt;=0,IF('Model inputs'!Q32="","",'Model inputs'!Q32&lt;=0))),0,'Model inputs'!B279*MIN('Model inputs'!Q32/'Model inputs'!B277,1))</f>
        <v>0</v>
      </c>
      <c r="R254" s="21">
        <f>IF(IF(IF(ISERROR('Model inputs'!R32&lt;=0),'Model inputs'!R32&lt;=0,IF('Model inputs'!R32="","",'Model inputs'!R32&lt;=0))="",FALSE,IF(ISERROR('Model inputs'!R32&lt;=0),'Model inputs'!R32&lt;=0,IF('Model inputs'!R32="","",'Model inputs'!R32&lt;=0))),0,'Model inputs'!B279*MIN('Model inputs'!R32/'Model inputs'!B277,1))</f>
        <v>0</v>
      </c>
      <c r="S254" s="21">
        <f>IF(IF(IF(ISERROR('Model inputs'!S32&lt;=0),'Model inputs'!S32&lt;=0,IF('Model inputs'!S32="","",'Model inputs'!S32&lt;=0))="",FALSE,IF(ISERROR('Model inputs'!S32&lt;=0),'Model inputs'!S32&lt;=0,IF('Model inputs'!S32="","",'Model inputs'!S32&lt;=0))),0,'Model inputs'!B279*MIN('Model inputs'!S32/'Model inputs'!B277,1))</f>
        <v>0</v>
      </c>
      <c r="T254" s="21">
        <f>IF(IF(IF(ISERROR('Model inputs'!T32&lt;=0),'Model inputs'!T32&lt;=0,IF('Model inputs'!T32="","",'Model inputs'!T32&lt;=0))="",FALSE,IF(ISERROR('Model inputs'!T32&lt;=0),'Model inputs'!T32&lt;=0,IF('Model inputs'!T32="","",'Model inputs'!T32&lt;=0))),0,'Model inputs'!B279*MIN('Model inputs'!T32/'Model inputs'!B277,1))</f>
        <v>0</v>
      </c>
      <c r="U254" s="21">
        <f>IF(IF(IF(ISERROR('Model inputs'!U32&lt;=0),'Model inputs'!U32&lt;=0,IF('Model inputs'!U32="","",'Model inputs'!U32&lt;=0))="",FALSE,IF(ISERROR('Model inputs'!U32&lt;=0),'Model inputs'!U32&lt;=0,IF('Model inputs'!U32="","",'Model inputs'!U32&lt;=0))),0,'Model inputs'!B279*MIN('Model inputs'!U32/'Model inputs'!B277,1))</f>
        <v>0</v>
      </c>
      <c r="V254" s="21">
        <f>IF(IF(IF(ISERROR('Model inputs'!V32&lt;=0),'Model inputs'!V32&lt;=0,IF('Model inputs'!V32="","",'Model inputs'!V32&lt;=0))="",FALSE,IF(ISERROR('Model inputs'!V32&lt;=0),'Model inputs'!V32&lt;=0,IF('Model inputs'!V32="","",'Model inputs'!V32&lt;=0))),0,'Model inputs'!B279*MIN('Model inputs'!V32/'Model inputs'!B277,1))</f>
        <v>0</v>
      </c>
      <c r="W254" s="21">
        <f>IF(IF(IF(ISERROR('Model inputs'!W230&lt;=0),'Model inputs'!W230&lt;=0,IF('Model inputs'!W230="","",'Model inputs'!W230&lt;=0))="",FALSE,IF(ISERROR('Model inputs'!W230&lt;=0),'Model inputs'!W230&lt;=0,IF('Model inputs'!W230="","",'Model inputs'!W230&lt;=0))),0,'Model inputs'!B279*MIN('Model inputs'!W230/'Model inputs'!B277,1))</f>
        <v>0</v>
      </c>
      <c r="X254" s="21">
        <f>IF(IF(IF(ISERROR('Model inputs'!X230&lt;=0),'Model inputs'!X230&lt;=0,IF('Model inputs'!X230="","",'Model inputs'!X230&lt;=0))="",FALSE,IF(ISERROR('Model inputs'!X230&lt;=0),'Model inputs'!X230&lt;=0,IF('Model inputs'!X230="","",'Model inputs'!X230&lt;=0))),0,'Model inputs'!B279*MIN('Model inputs'!X230/'Model inputs'!B277,1))</f>
        <v>0</v>
      </c>
      <c r="Y254" s="21">
        <f>IF(IF(IF(ISERROR('Model inputs'!Y230&lt;=0),'Model inputs'!Y230&lt;=0,IF('Model inputs'!Y230="","",'Model inputs'!Y230&lt;=0))="",FALSE,IF(ISERROR('Model inputs'!Y230&lt;=0),'Model inputs'!Y230&lt;=0,IF('Model inputs'!Y230="","",'Model inputs'!Y230&lt;=0))),0,'Model inputs'!B279*MIN('Model inputs'!Y230/'Model inputs'!B277,1))</f>
        <v>0</v>
      </c>
      <c r="Z254" s="21">
        <f>IF(IF(IF(ISERROR('Model inputs'!Z230&lt;=0),'Model inputs'!Z230&lt;=0,IF('Model inputs'!Z230="","",'Model inputs'!Z230&lt;=0))="",FALSE,IF(ISERROR('Model inputs'!Z230&lt;=0),'Model inputs'!Z230&lt;=0,IF('Model inputs'!Z230="","",'Model inputs'!Z230&lt;=0))),0,'Model inputs'!B279*MIN('Model inputs'!Z230/'Model inputs'!B277,1))</f>
        <v>0</v>
      </c>
      <c r="AA254" s="21">
        <f>IF(IF(IF(ISERROR('Model inputs'!AA230&lt;=0),'Model inputs'!AA230&lt;=0,IF('Model inputs'!AA230="","",'Model inputs'!AA230&lt;=0))="",FALSE,IF(ISERROR('Model inputs'!AA230&lt;=0),'Model inputs'!AA230&lt;=0,IF('Model inputs'!AA230="","",'Model inputs'!AA230&lt;=0))),0,'Model inputs'!B279*MIN('Model inputs'!AA230/'Model inputs'!B277,1))</f>
        <v>0</v>
      </c>
      <c r="AB254" s="21">
        <f>IF(IF(IF(ISERROR('Model inputs'!AB230&lt;=0),'Model inputs'!AB230&lt;=0,IF('Model inputs'!AB230="","",'Model inputs'!AB230&lt;=0))="",FALSE,IF(ISERROR('Model inputs'!AB230&lt;=0),'Model inputs'!AB230&lt;=0,IF('Model inputs'!AB230="","",'Model inputs'!AB230&lt;=0))),0,'Model inputs'!B279*MIN('Model inputs'!AB230/'Model inputs'!B277,1))</f>
        <v>0</v>
      </c>
      <c r="AC254" s="21">
        <f>IF(IF(IF(ISERROR('Model inputs'!AC230&lt;=0),'Model inputs'!AC230&lt;=0,IF('Model inputs'!AC230="","",'Model inputs'!AC230&lt;=0))="",FALSE,IF(ISERROR('Model inputs'!AC230&lt;=0),'Model inputs'!AC230&lt;=0,IF('Model inputs'!AC230="","",'Model inputs'!AC230&lt;=0))),0,'Model inputs'!B279*MIN('Model inputs'!AC230/'Model inputs'!B277,1))</f>
        <v>0</v>
      </c>
      <c r="AD254" s="21">
        <f>IF(IF(IF(ISERROR('Model inputs'!AD230&lt;=0),'Model inputs'!AD230&lt;=0,IF('Model inputs'!AD230="","",'Model inputs'!AD230&lt;=0))="",FALSE,IF(ISERROR('Model inputs'!AD230&lt;=0),'Model inputs'!AD230&lt;=0,IF('Model inputs'!AD230="","",'Model inputs'!AD230&lt;=0))),0,'Model inputs'!B279*MIN('Model inputs'!AD230/'Model inputs'!B277,1))</f>
        <v>0</v>
      </c>
      <c r="AE254" s="21">
        <f>IF(IF(IF(ISERROR('Model inputs'!AE230&lt;=0),'Model inputs'!AE230&lt;=0,IF('Model inputs'!AE230="","",'Model inputs'!AE230&lt;=0))="",FALSE,IF(ISERROR('Model inputs'!AE230&lt;=0),'Model inputs'!AE230&lt;=0,IF('Model inputs'!AE230="","",'Model inputs'!AE230&lt;=0))),0,'Model inputs'!B279*MIN('Model inputs'!AE230/'Model inputs'!B277,1))</f>
        <v>0</v>
      </c>
      <c r="AF254" s="21">
        <f>IF(IF(IF(ISERROR('Model inputs'!AF230&lt;=0),'Model inputs'!AF230&lt;=0,IF('Model inputs'!AF230="","",'Model inputs'!AF230&lt;=0))="",FALSE,IF(ISERROR('Model inputs'!AF230&lt;=0),'Model inputs'!AF230&lt;=0,IF('Model inputs'!AF230="","",'Model inputs'!AF230&lt;=0))),0,'Model inputs'!B279*MIN('Model inputs'!AF230/'Model inputs'!B277,1))</f>
        <v>0</v>
      </c>
      <c r="AG254" s="21">
        <f>IF(IF(IF(ISERROR('Model inputs'!AG230&lt;=0),'Model inputs'!AG230&lt;=0,IF('Model inputs'!AG230="","",'Model inputs'!AG230&lt;=0))="",FALSE,IF(ISERROR('Model inputs'!AG230&lt;=0),'Model inputs'!AG230&lt;=0,IF('Model inputs'!AG230="","",'Model inputs'!AG230&lt;=0))),0,'Model inputs'!B279*MIN('Model inputs'!AG230/'Model inputs'!B277,1))</f>
        <v>0</v>
      </c>
    </row>
    <row r="255" outlineLevel="1">
      <c r="A255" t="inlineStr" s="18">
        <is>
          <t xml:space="preserve">Annual-pay share &gt; Launch</t>
        </is>
      </c>
      <c r="C255" s="21">
        <f>IF(IF(IF(ISERROR('Model inputs'!C32&lt;=0),'Model inputs'!C32&lt;=0,IF('Model inputs'!C32="","",'Model inputs'!C32&lt;=0))="",FALSE,IF(ISERROR('Model inputs'!C32&lt;=0),'Model inputs'!C32&lt;=0,IF('Model inputs'!C32="","",'Model inputs'!C32&lt;=0))),0,'Model inputs'!B280*MIN('Model inputs'!C32/'Model inputs'!B277,1))</f>
        <v>0</v>
      </c>
      <c r="D255" s="21">
        <f>IF(IF(IF(ISERROR('Model inputs'!D32&lt;=0),'Model inputs'!D32&lt;=0,IF('Model inputs'!D32="","",'Model inputs'!D32&lt;=0))="",FALSE,IF(ISERROR('Model inputs'!D32&lt;=0),'Model inputs'!D32&lt;=0,IF('Model inputs'!D32="","",'Model inputs'!D32&lt;=0))),0,'Model inputs'!B280*MIN('Model inputs'!D32/'Model inputs'!B277,1))</f>
        <v>0</v>
      </c>
      <c r="E255" s="21">
        <f>IF(IF(IF(ISERROR('Model inputs'!E32&lt;=0),'Model inputs'!E32&lt;=0,IF('Model inputs'!E32="","",'Model inputs'!E32&lt;=0))="",FALSE,IF(ISERROR('Model inputs'!E32&lt;=0),'Model inputs'!E32&lt;=0,IF('Model inputs'!E32="","",'Model inputs'!E32&lt;=0))),0,'Model inputs'!B280*MIN('Model inputs'!E32/'Model inputs'!B277,1))</f>
        <v>0</v>
      </c>
      <c r="F255" s="21">
        <f>IF(IF(IF(ISERROR('Model inputs'!F32&lt;=0),'Model inputs'!F32&lt;=0,IF('Model inputs'!F32="","",'Model inputs'!F32&lt;=0))="",FALSE,IF(ISERROR('Model inputs'!F32&lt;=0),'Model inputs'!F32&lt;=0,IF('Model inputs'!F32="","",'Model inputs'!F32&lt;=0))),0,'Model inputs'!B280*MIN('Model inputs'!F32/'Model inputs'!B277,1))</f>
        <v>0.05833333333333333</v>
      </c>
      <c r="G255" s="21">
        <f>IF(IF(IF(ISERROR('Model inputs'!G32&lt;=0),'Model inputs'!G32&lt;=0,IF('Model inputs'!G32="","",'Model inputs'!G32&lt;=0))="",FALSE,IF(ISERROR('Model inputs'!G32&lt;=0),'Model inputs'!G32&lt;=0,IF('Model inputs'!G32="","",'Model inputs'!G32&lt;=0))),0,'Model inputs'!B280*MIN('Model inputs'!G32/'Model inputs'!B277,1))</f>
        <v>0.11666666666666665</v>
      </c>
      <c r="H255" s="21">
        <f>IF(IF(IF(ISERROR('Model inputs'!H32&lt;=0),'Model inputs'!H32&lt;=0,IF('Model inputs'!H32="","",'Model inputs'!H32&lt;=0))="",FALSE,IF(ISERROR('Model inputs'!H32&lt;=0),'Model inputs'!H32&lt;=0,IF('Model inputs'!H32="","",'Model inputs'!H32&lt;=0))),0,'Model inputs'!B280*MIN('Model inputs'!H32/'Model inputs'!B277,1))</f>
        <v>0.175</v>
      </c>
      <c r="I255" s="21">
        <f>IF(IF(IF(ISERROR('Model inputs'!I32&lt;=0),'Model inputs'!I32&lt;=0,IF('Model inputs'!I32="","",'Model inputs'!I32&lt;=0))="",FALSE,IF(ISERROR('Model inputs'!I32&lt;=0),'Model inputs'!I32&lt;=0,IF('Model inputs'!I32="","",'Model inputs'!I32&lt;=0))),0,'Model inputs'!B280*MIN('Model inputs'!I32/'Model inputs'!B277,1))</f>
        <v>0.2333333333333333</v>
      </c>
      <c r="J255" s="21">
        <f>IF(IF(IF(ISERROR('Model inputs'!J32&lt;=0),'Model inputs'!J32&lt;=0,IF('Model inputs'!J32="","",'Model inputs'!J32&lt;=0))="",FALSE,IF(ISERROR('Model inputs'!J32&lt;=0),'Model inputs'!J32&lt;=0,IF('Model inputs'!J32="","",'Model inputs'!J32&lt;=0))),0,'Model inputs'!B280*MIN('Model inputs'!J32/'Model inputs'!B277,1))</f>
        <v>0.2916666666666667</v>
      </c>
      <c r="K255" s="21">
        <f>IF(IF(IF(ISERROR('Model inputs'!K32&lt;=0),'Model inputs'!K32&lt;=0,IF('Model inputs'!K32="","",'Model inputs'!K32&lt;=0))="",FALSE,IF(ISERROR('Model inputs'!K32&lt;=0),'Model inputs'!K32&lt;=0,IF('Model inputs'!K32="","",'Model inputs'!K32&lt;=0))),0,'Model inputs'!B280*MIN('Model inputs'!K32/'Model inputs'!B277,1))</f>
        <v>0.35</v>
      </c>
      <c r="L255" s="21">
        <f>IF(IF(IF(ISERROR('Model inputs'!L32&lt;=0),'Model inputs'!L32&lt;=0,IF('Model inputs'!L32="","",'Model inputs'!L32&lt;=0))="",FALSE,IF(ISERROR('Model inputs'!L32&lt;=0),'Model inputs'!L32&lt;=0,IF('Model inputs'!L32="","",'Model inputs'!L32&lt;=0))),0,'Model inputs'!B280*MIN('Model inputs'!L32/'Model inputs'!B277,1))</f>
        <v>0.35</v>
      </c>
      <c r="M255" s="21">
        <f>IF(IF(IF(ISERROR('Model inputs'!M32&lt;=0),'Model inputs'!M32&lt;=0,IF('Model inputs'!M32="","",'Model inputs'!M32&lt;=0))="",FALSE,IF(ISERROR('Model inputs'!M32&lt;=0),'Model inputs'!M32&lt;=0,IF('Model inputs'!M32="","",'Model inputs'!M32&lt;=0))),0,'Model inputs'!B280*MIN('Model inputs'!M32/'Model inputs'!B277,1))</f>
        <v>0.35</v>
      </c>
      <c r="N255" s="21">
        <f>IF(IF(IF(ISERROR('Model inputs'!N32&lt;=0),'Model inputs'!N32&lt;=0,IF('Model inputs'!N32="","",'Model inputs'!N32&lt;=0))="",FALSE,IF(ISERROR('Model inputs'!N32&lt;=0),'Model inputs'!N32&lt;=0,IF('Model inputs'!N32="","",'Model inputs'!N32&lt;=0))),0,'Model inputs'!B280*MIN('Model inputs'!N32/'Model inputs'!B277,1))</f>
        <v>0.35</v>
      </c>
      <c r="O255" s="21">
        <f>IF(IF(IF(ISERROR('Model inputs'!O32&lt;=0),'Model inputs'!O32&lt;=0,IF('Model inputs'!O32="","",'Model inputs'!O32&lt;=0))="",FALSE,IF(ISERROR('Model inputs'!O32&lt;=0),'Model inputs'!O32&lt;=0,IF('Model inputs'!O32="","",'Model inputs'!O32&lt;=0))),0,'Model inputs'!B280*MIN('Model inputs'!O32/'Model inputs'!B277,1))</f>
        <v>0.35</v>
      </c>
      <c r="P255" s="21">
        <f>IF(IF(IF(ISERROR('Model inputs'!P32&lt;=0),'Model inputs'!P32&lt;=0,IF('Model inputs'!P32="","",'Model inputs'!P32&lt;=0))="",FALSE,IF(ISERROR('Model inputs'!P32&lt;=0),'Model inputs'!P32&lt;=0,IF('Model inputs'!P32="","",'Model inputs'!P32&lt;=0))),0,'Model inputs'!B280*MIN('Model inputs'!P32/'Model inputs'!B277,1))</f>
        <v>0.35</v>
      </c>
      <c r="Q255" s="21">
        <f>IF(IF(IF(ISERROR('Model inputs'!Q32&lt;=0),'Model inputs'!Q32&lt;=0,IF('Model inputs'!Q32="","",'Model inputs'!Q32&lt;=0))="",FALSE,IF(ISERROR('Model inputs'!Q32&lt;=0),'Model inputs'!Q32&lt;=0,IF('Model inputs'!Q32="","",'Model inputs'!Q32&lt;=0))),0,'Model inputs'!B280*MIN('Model inputs'!Q32/'Model inputs'!B277,1))</f>
        <v>0.35</v>
      </c>
      <c r="R255" s="21">
        <f>IF(IF(IF(ISERROR('Model inputs'!R32&lt;=0),'Model inputs'!R32&lt;=0,IF('Model inputs'!R32="","",'Model inputs'!R32&lt;=0))="",FALSE,IF(ISERROR('Model inputs'!R32&lt;=0),'Model inputs'!R32&lt;=0,IF('Model inputs'!R32="","",'Model inputs'!R32&lt;=0))),0,'Model inputs'!B280*MIN('Model inputs'!R32/'Model inputs'!B277,1))</f>
        <v>0.35</v>
      </c>
      <c r="S255" s="21">
        <f>IF(IF(IF(ISERROR('Model inputs'!S32&lt;=0),'Model inputs'!S32&lt;=0,IF('Model inputs'!S32="","",'Model inputs'!S32&lt;=0))="",FALSE,IF(ISERROR('Model inputs'!S32&lt;=0),'Model inputs'!S32&lt;=0,IF('Model inputs'!S32="","",'Model inputs'!S32&lt;=0))),0,'Model inputs'!B280*MIN('Model inputs'!S32/'Model inputs'!B277,1))</f>
        <v>0.35</v>
      </c>
      <c r="T255" s="21">
        <f>IF(IF(IF(ISERROR('Model inputs'!T32&lt;=0),'Model inputs'!T32&lt;=0,IF('Model inputs'!T32="","",'Model inputs'!T32&lt;=0))="",FALSE,IF(ISERROR('Model inputs'!T32&lt;=0),'Model inputs'!T32&lt;=0,IF('Model inputs'!T32="","",'Model inputs'!T32&lt;=0))),0,'Model inputs'!B280*MIN('Model inputs'!T32/'Model inputs'!B277,1))</f>
        <v>0.35</v>
      </c>
      <c r="U255" s="21">
        <f>IF(IF(IF(ISERROR('Model inputs'!U32&lt;=0),'Model inputs'!U32&lt;=0,IF('Model inputs'!U32="","",'Model inputs'!U32&lt;=0))="",FALSE,IF(ISERROR('Model inputs'!U32&lt;=0),'Model inputs'!U32&lt;=0,IF('Model inputs'!U32="","",'Model inputs'!U32&lt;=0))),0,'Model inputs'!B280*MIN('Model inputs'!U32/'Model inputs'!B277,1))</f>
        <v>0.35</v>
      </c>
      <c r="V255" s="21">
        <f>IF(IF(IF(ISERROR('Model inputs'!V32&lt;=0),'Model inputs'!V32&lt;=0,IF('Model inputs'!V32="","",'Model inputs'!V32&lt;=0))="",FALSE,IF(ISERROR('Model inputs'!V32&lt;=0),'Model inputs'!V32&lt;=0,IF('Model inputs'!V32="","",'Model inputs'!V32&lt;=0))),0,'Model inputs'!B280*MIN('Model inputs'!V32/'Model inputs'!B277,1))</f>
        <v>0.35</v>
      </c>
      <c r="W255" s="21">
        <f>IF(IF(IF(ISERROR('Model inputs'!W230&lt;=0),'Model inputs'!W230&lt;=0,IF('Model inputs'!W230="","",'Model inputs'!W230&lt;=0))="",FALSE,IF(ISERROR('Model inputs'!W230&lt;=0),'Model inputs'!W230&lt;=0,IF('Model inputs'!W230="","",'Model inputs'!W230&lt;=0))),0,'Model inputs'!B280*MIN('Model inputs'!W230/'Model inputs'!B277,1))</f>
        <v>0</v>
      </c>
      <c r="X255" s="21">
        <f>IF(IF(IF(ISERROR('Model inputs'!X230&lt;=0),'Model inputs'!X230&lt;=0,IF('Model inputs'!X230="","",'Model inputs'!X230&lt;=0))="",FALSE,IF(ISERROR('Model inputs'!X230&lt;=0),'Model inputs'!X230&lt;=0,IF('Model inputs'!X230="","",'Model inputs'!X230&lt;=0))),0,'Model inputs'!B280*MIN('Model inputs'!X230/'Model inputs'!B277,1))</f>
        <v>0</v>
      </c>
      <c r="Y255" s="21">
        <f>IF(IF(IF(ISERROR('Model inputs'!Y230&lt;=0),'Model inputs'!Y230&lt;=0,IF('Model inputs'!Y230="","",'Model inputs'!Y230&lt;=0))="",FALSE,IF(ISERROR('Model inputs'!Y230&lt;=0),'Model inputs'!Y230&lt;=0,IF('Model inputs'!Y230="","",'Model inputs'!Y230&lt;=0))),0,'Model inputs'!B280*MIN('Model inputs'!Y230/'Model inputs'!B277,1))</f>
        <v>0</v>
      </c>
      <c r="Z255" s="21">
        <f>IF(IF(IF(ISERROR('Model inputs'!Z230&lt;=0),'Model inputs'!Z230&lt;=0,IF('Model inputs'!Z230="","",'Model inputs'!Z230&lt;=0))="",FALSE,IF(ISERROR('Model inputs'!Z230&lt;=0),'Model inputs'!Z230&lt;=0,IF('Model inputs'!Z230="","",'Model inputs'!Z230&lt;=0))),0,'Model inputs'!B280*MIN('Model inputs'!Z230/'Model inputs'!B277,1))</f>
        <v>0</v>
      </c>
      <c r="AA255" s="21">
        <f>IF(IF(IF(ISERROR('Model inputs'!AA230&lt;=0),'Model inputs'!AA230&lt;=0,IF('Model inputs'!AA230="","",'Model inputs'!AA230&lt;=0))="",FALSE,IF(ISERROR('Model inputs'!AA230&lt;=0),'Model inputs'!AA230&lt;=0,IF('Model inputs'!AA230="","",'Model inputs'!AA230&lt;=0))),0,'Model inputs'!B280*MIN('Model inputs'!AA230/'Model inputs'!B277,1))</f>
        <v>0</v>
      </c>
      <c r="AB255" s="21">
        <f>IF(IF(IF(ISERROR('Model inputs'!AB230&lt;=0),'Model inputs'!AB230&lt;=0,IF('Model inputs'!AB230="","",'Model inputs'!AB230&lt;=0))="",FALSE,IF(ISERROR('Model inputs'!AB230&lt;=0),'Model inputs'!AB230&lt;=0,IF('Model inputs'!AB230="","",'Model inputs'!AB230&lt;=0))),0,'Model inputs'!B280*MIN('Model inputs'!AB230/'Model inputs'!B277,1))</f>
        <v>0</v>
      </c>
      <c r="AC255" s="21">
        <f>IF(IF(IF(ISERROR('Model inputs'!AC230&lt;=0),'Model inputs'!AC230&lt;=0,IF('Model inputs'!AC230="","",'Model inputs'!AC230&lt;=0))="",FALSE,IF(ISERROR('Model inputs'!AC230&lt;=0),'Model inputs'!AC230&lt;=0,IF('Model inputs'!AC230="","",'Model inputs'!AC230&lt;=0))),0,'Model inputs'!B280*MIN('Model inputs'!AC230/'Model inputs'!B277,1))</f>
        <v>0</v>
      </c>
      <c r="AD255" s="21">
        <f>IF(IF(IF(ISERROR('Model inputs'!AD230&lt;=0),'Model inputs'!AD230&lt;=0,IF('Model inputs'!AD230="","",'Model inputs'!AD230&lt;=0))="",FALSE,IF(ISERROR('Model inputs'!AD230&lt;=0),'Model inputs'!AD230&lt;=0,IF('Model inputs'!AD230="","",'Model inputs'!AD230&lt;=0))),0,'Model inputs'!B280*MIN('Model inputs'!AD230/'Model inputs'!B277,1))</f>
        <v>0</v>
      </c>
      <c r="AE255" s="21">
        <f>IF(IF(IF(ISERROR('Model inputs'!AE230&lt;=0),'Model inputs'!AE230&lt;=0,IF('Model inputs'!AE230="","",'Model inputs'!AE230&lt;=0))="",FALSE,IF(ISERROR('Model inputs'!AE230&lt;=0),'Model inputs'!AE230&lt;=0,IF('Model inputs'!AE230="","",'Model inputs'!AE230&lt;=0))),0,'Model inputs'!B280*MIN('Model inputs'!AE230/'Model inputs'!B277,1))</f>
        <v>0</v>
      </c>
      <c r="AF255" s="21">
        <f>IF(IF(IF(ISERROR('Model inputs'!AF230&lt;=0),'Model inputs'!AF230&lt;=0,IF('Model inputs'!AF230="","",'Model inputs'!AF230&lt;=0))="",FALSE,IF(ISERROR('Model inputs'!AF230&lt;=0),'Model inputs'!AF230&lt;=0,IF('Model inputs'!AF230="","",'Model inputs'!AF230&lt;=0))),0,'Model inputs'!B280*MIN('Model inputs'!AF230/'Model inputs'!B277,1))</f>
        <v>0</v>
      </c>
      <c r="AG255" s="21">
        <f>IF(IF(IF(ISERROR('Model inputs'!AG230&lt;=0),'Model inputs'!AG230&lt;=0,IF('Model inputs'!AG230="","",'Model inputs'!AG230&lt;=0))="",FALSE,IF(ISERROR('Model inputs'!AG230&lt;=0),'Model inputs'!AG230&lt;=0,IF('Model inputs'!AG230="","",'Model inputs'!AG230&lt;=0))),0,'Model inputs'!B280*MIN('Model inputs'!AG230/'Model inputs'!B277,1))</f>
        <v>0</v>
      </c>
    </row>
    <row r="256" outlineLevel="1">
      <c r="A256" t="inlineStr" s="18">
        <is>
          <t xml:space="preserve">Annual-pay share &gt; Team</t>
        </is>
      </c>
      <c r="C256" s="21">
        <f>IF(IF(IF(ISERROR('Model inputs'!C32&lt;=0),'Model inputs'!C32&lt;=0,IF('Model inputs'!C32="","",'Model inputs'!C32&lt;=0))="",FALSE,IF(ISERROR('Model inputs'!C32&lt;=0),'Model inputs'!C32&lt;=0,IF('Model inputs'!C32="","",'Model inputs'!C32&lt;=0))),0,'Model inputs'!B281*MIN('Model inputs'!C32/'Model inputs'!B277,1))</f>
        <v>0</v>
      </c>
      <c r="D256" s="21">
        <f>IF(IF(IF(ISERROR('Model inputs'!D32&lt;=0),'Model inputs'!D32&lt;=0,IF('Model inputs'!D32="","",'Model inputs'!D32&lt;=0))="",FALSE,IF(ISERROR('Model inputs'!D32&lt;=0),'Model inputs'!D32&lt;=0,IF('Model inputs'!D32="","",'Model inputs'!D32&lt;=0))),0,'Model inputs'!B281*MIN('Model inputs'!D32/'Model inputs'!B277,1))</f>
        <v>0</v>
      </c>
      <c r="E256" s="21">
        <f>IF(IF(IF(ISERROR('Model inputs'!E32&lt;=0),'Model inputs'!E32&lt;=0,IF('Model inputs'!E32="","",'Model inputs'!E32&lt;=0))="",FALSE,IF(ISERROR('Model inputs'!E32&lt;=0),'Model inputs'!E32&lt;=0,IF('Model inputs'!E32="","",'Model inputs'!E32&lt;=0))),0,'Model inputs'!B281*MIN('Model inputs'!E32/'Model inputs'!B277,1))</f>
        <v>0</v>
      </c>
      <c r="F256" s="21">
        <f>IF(IF(IF(ISERROR('Model inputs'!F32&lt;=0),'Model inputs'!F32&lt;=0,IF('Model inputs'!F32="","",'Model inputs'!F32&lt;=0))="",FALSE,IF(ISERROR('Model inputs'!F32&lt;=0),'Model inputs'!F32&lt;=0,IF('Model inputs'!F32="","",'Model inputs'!F32&lt;=0))),0,'Model inputs'!B281*MIN('Model inputs'!F32/'Model inputs'!B277,1))</f>
        <v>0.05833333333333333</v>
      </c>
      <c r="G256" s="21">
        <f>IF(IF(IF(ISERROR('Model inputs'!G32&lt;=0),'Model inputs'!G32&lt;=0,IF('Model inputs'!G32="","",'Model inputs'!G32&lt;=0))="",FALSE,IF(ISERROR('Model inputs'!G32&lt;=0),'Model inputs'!G32&lt;=0,IF('Model inputs'!G32="","",'Model inputs'!G32&lt;=0))),0,'Model inputs'!B281*MIN('Model inputs'!G32/'Model inputs'!B277,1))</f>
        <v>0.11666666666666665</v>
      </c>
      <c r="H256" s="21">
        <f>IF(IF(IF(ISERROR('Model inputs'!H32&lt;=0),'Model inputs'!H32&lt;=0,IF('Model inputs'!H32="","",'Model inputs'!H32&lt;=0))="",FALSE,IF(ISERROR('Model inputs'!H32&lt;=0),'Model inputs'!H32&lt;=0,IF('Model inputs'!H32="","",'Model inputs'!H32&lt;=0))),0,'Model inputs'!B281*MIN('Model inputs'!H32/'Model inputs'!B277,1))</f>
        <v>0.175</v>
      </c>
      <c r="I256" s="21">
        <f>IF(IF(IF(ISERROR('Model inputs'!I32&lt;=0),'Model inputs'!I32&lt;=0,IF('Model inputs'!I32="","",'Model inputs'!I32&lt;=0))="",FALSE,IF(ISERROR('Model inputs'!I32&lt;=0),'Model inputs'!I32&lt;=0,IF('Model inputs'!I32="","",'Model inputs'!I32&lt;=0))),0,'Model inputs'!B281*MIN('Model inputs'!I32/'Model inputs'!B277,1))</f>
        <v>0.2333333333333333</v>
      </c>
      <c r="J256" s="21">
        <f>IF(IF(IF(ISERROR('Model inputs'!J32&lt;=0),'Model inputs'!J32&lt;=0,IF('Model inputs'!J32="","",'Model inputs'!J32&lt;=0))="",FALSE,IF(ISERROR('Model inputs'!J32&lt;=0),'Model inputs'!J32&lt;=0,IF('Model inputs'!J32="","",'Model inputs'!J32&lt;=0))),0,'Model inputs'!B281*MIN('Model inputs'!J32/'Model inputs'!B277,1))</f>
        <v>0.2916666666666667</v>
      </c>
      <c r="K256" s="21">
        <f>IF(IF(IF(ISERROR('Model inputs'!K32&lt;=0),'Model inputs'!K32&lt;=0,IF('Model inputs'!K32="","",'Model inputs'!K32&lt;=0))="",FALSE,IF(ISERROR('Model inputs'!K32&lt;=0),'Model inputs'!K32&lt;=0,IF('Model inputs'!K32="","",'Model inputs'!K32&lt;=0))),0,'Model inputs'!B281*MIN('Model inputs'!K32/'Model inputs'!B277,1))</f>
        <v>0.35</v>
      </c>
      <c r="L256" s="21">
        <f>IF(IF(IF(ISERROR('Model inputs'!L32&lt;=0),'Model inputs'!L32&lt;=0,IF('Model inputs'!L32="","",'Model inputs'!L32&lt;=0))="",FALSE,IF(ISERROR('Model inputs'!L32&lt;=0),'Model inputs'!L32&lt;=0,IF('Model inputs'!L32="","",'Model inputs'!L32&lt;=0))),0,'Model inputs'!B281*MIN('Model inputs'!L32/'Model inputs'!B277,1))</f>
        <v>0.35</v>
      </c>
      <c r="M256" s="21">
        <f>IF(IF(IF(ISERROR('Model inputs'!M32&lt;=0),'Model inputs'!M32&lt;=0,IF('Model inputs'!M32="","",'Model inputs'!M32&lt;=0))="",FALSE,IF(ISERROR('Model inputs'!M32&lt;=0),'Model inputs'!M32&lt;=0,IF('Model inputs'!M32="","",'Model inputs'!M32&lt;=0))),0,'Model inputs'!B281*MIN('Model inputs'!M32/'Model inputs'!B277,1))</f>
        <v>0.35</v>
      </c>
      <c r="N256" s="21">
        <f>IF(IF(IF(ISERROR('Model inputs'!N32&lt;=0),'Model inputs'!N32&lt;=0,IF('Model inputs'!N32="","",'Model inputs'!N32&lt;=0))="",FALSE,IF(ISERROR('Model inputs'!N32&lt;=0),'Model inputs'!N32&lt;=0,IF('Model inputs'!N32="","",'Model inputs'!N32&lt;=0))),0,'Model inputs'!B281*MIN('Model inputs'!N32/'Model inputs'!B277,1))</f>
        <v>0.35</v>
      </c>
      <c r="O256" s="21">
        <f>IF(IF(IF(ISERROR('Model inputs'!O32&lt;=0),'Model inputs'!O32&lt;=0,IF('Model inputs'!O32="","",'Model inputs'!O32&lt;=0))="",FALSE,IF(ISERROR('Model inputs'!O32&lt;=0),'Model inputs'!O32&lt;=0,IF('Model inputs'!O32="","",'Model inputs'!O32&lt;=0))),0,'Model inputs'!B281*MIN('Model inputs'!O32/'Model inputs'!B277,1))</f>
        <v>0.35</v>
      </c>
      <c r="P256" s="21">
        <f>IF(IF(IF(ISERROR('Model inputs'!P32&lt;=0),'Model inputs'!P32&lt;=0,IF('Model inputs'!P32="","",'Model inputs'!P32&lt;=0))="",FALSE,IF(ISERROR('Model inputs'!P32&lt;=0),'Model inputs'!P32&lt;=0,IF('Model inputs'!P32="","",'Model inputs'!P32&lt;=0))),0,'Model inputs'!B281*MIN('Model inputs'!P32/'Model inputs'!B277,1))</f>
        <v>0.35</v>
      </c>
      <c r="Q256" s="21">
        <f>IF(IF(IF(ISERROR('Model inputs'!Q32&lt;=0),'Model inputs'!Q32&lt;=0,IF('Model inputs'!Q32="","",'Model inputs'!Q32&lt;=0))="",FALSE,IF(ISERROR('Model inputs'!Q32&lt;=0),'Model inputs'!Q32&lt;=0,IF('Model inputs'!Q32="","",'Model inputs'!Q32&lt;=0))),0,'Model inputs'!B281*MIN('Model inputs'!Q32/'Model inputs'!B277,1))</f>
        <v>0.35</v>
      </c>
      <c r="R256" s="21">
        <f>IF(IF(IF(ISERROR('Model inputs'!R32&lt;=0),'Model inputs'!R32&lt;=0,IF('Model inputs'!R32="","",'Model inputs'!R32&lt;=0))="",FALSE,IF(ISERROR('Model inputs'!R32&lt;=0),'Model inputs'!R32&lt;=0,IF('Model inputs'!R32="","",'Model inputs'!R32&lt;=0))),0,'Model inputs'!B281*MIN('Model inputs'!R32/'Model inputs'!B277,1))</f>
        <v>0.35</v>
      </c>
      <c r="S256" s="21">
        <f>IF(IF(IF(ISERROR('Model inputs'!S32&lt;=0),'Model inputs'!S32&lt;=0,IF('Model inputs'!S32="","",'Model inputs'!S32&lt;=0))="",FALSE,IF(ISERROR('Model inputs'!S32&lt;=0),'Model inputs'!S32&lt;=0,IF('Model inputs'!S32="","",'Model inputs'!S32&lt;=0))),0,'Model inputs'!B281*MIN('Model inputs'!S32/'Model inputs'!B277,1))</f>
        <v>0.35</v>
      </c>
      <c r="T256" s="21">
        <f>IF(IF(IF(ISERROR('Model inputs'!T32&lt;=0),'Model inputs'!T32&lt;=0,IF('Model inputs'!T32="","",'Model inputs'!T32&lt;=0))="",FALSE,IF(ISERROR('Model inputs'!T32&lt;=0),'Model inputs'!T32&lt;=0,IF('Model inputs'!T32="","",'Model inputs'!T32&lt;=0))),0,'Model inputs'!B281*MIN('Model inputs'!T32/'Model inputs'!B277,1))</f>
        <v>0.35</v>
      </c>
      <c r="U256" s="21">
        <f>IF(IF(IF(ISERROR('Model inputs'!U32&lt;=0),'Model inputs'!U32&lt;=0,IF('Model inputs'!U32="","",'Model inputs'!U32&lt;=0))="",FALSE,IF(ISERROR('Model inputs'!U32&lt;=0),'Model inputs'!U32&lt;=0,IF('Model inputs'!U32="","",'Model inputs'!U32&lt;=0))),0,'Model inputs'!B281*MIN('Model inputs'!U32/'Model inputs'!B277,1))</f>
        <v>0.35</v>
      </c>
      <c r="V256" s="21">
        <f>IF(IF(IF(ISERROR('Model inputs'!V32&lt;=0),'Model inputs'!V32&lt;=0,IF('Model inputs'!V32="","",'Model inputs'!V32&lt;=0))="",FALSE,IF(ISERROR('Model inputs'!V32&lt;=0),'Model inputs'!V32&lt;=0,IF('Model inputs'!V32="","",'Model inputs'!V32&lt;=0))),0,'Model inputs'!B281*MIN('Model inputs'!V32/'Model inputs'!B277,1))</f>
        <v>0.35</v>
      </c>
      <c r="W256" s="21">
        <f>IF(IF(IF(ISERROR('Model inputs'!W230&lt;=0),'Model inputs'!W230&lt;=0,IF('Model inputs'!W230="","",'Model inputs'!W230&lt;=0))="",FALSE,IF(ISERROR('Model inputs'!W230&lt;=0),'Model inputs'!W230&lt;=0,IF('Model inputs'!W230="","",'Model inputs'!W230&lt;=0))),0,'Model inputs'!B281*MIN('Model inputs'!W230/'Model inputs'!B277,1))</f>
        <v>0</v>
      </c>
      <c r="X256" s="21">
        <f>IF(IF(IF(ISERROR('Model inputs'!X230&lt;=0),'Model inputs'!X230&lt;=0,IF('Model inputs'!X230="","",'Model inputs'!X230&lt;=0))="",FALSE,IF(ISERROR('Model inputs'!X230&lt;=0),'Model inputs'!X230&lt;=0,IF('Model inputs'!X230="","",'Model inputs'!X230&lt;=0))),0,'Model inputs'!B281*MIN('Model inputs'!X230/'Model inputs'!B277,1))</f>
        <v>0</v>
      </c>
      <c r="Y256" s="21">
        <f>IF(IF(IF(ISERROR('Model inputs'!Y230&lt;=0),'Model inputs'!Y230&lt;=0,IF('Model inputs'!Y230="","",'Model inputs'!Y230&lt;=0))="",FALSE,IF(ISERROR('Model inputs'!Y230&lt;=0),'Model inputs'!Y230&lt;=0,IF('Model inputs'!Y230="","",'Model inputs'!Y230&lt;=0))),0,'Model inputs'!B281*MIN('Model inputs'!Y230/'Model inputs'!B277,1))</f>
        <v>0</v>
      </c>
      <c r="Z256" s="21">
        <f>IF(IF(IF(ISERROR('Model inputs'!Z230&lt;=0),'Model inputs'!Z230&lt;=0,IF('Model inputs'!Z230="","",'Model inputs'!Z230&lt;=0))="",FALSE,IF(ISERROR('Model inputs'!Z230&lt;=0),'Model inputs'!Z230&lt;=0,IF('Model inputs'!Z230="","",'Model inputs'!Z230&lt;=0))),0,'Model inputs'!B281*MIN('Model inputs'!Z230/'Model inputs'!B277,1))</f>
        <v>0</v>
      </c>
      <c r="AA256" s="21">
        <f>IF(IF(IF(ISERROR('Model inputs'!AA230&lt;=0),'Model inputs'!AA230&lt;=0,IF('Model inputs'!AA230="","",'Model inputs'!AA230&lt;=0))="",FALSE,IF(ISERROR('Model inputs'!AA230&lt;=0),'Model inputs'!AA230&lt;=0,IF('Model inputs'!AA230="","",'Model inputs'!AA230&lt;=0))),0,'Model inputs'!B281*MIN('Model inputs'!AA230/'Model inputs'!B277,1))</f>
        <v>0</v>
      </c>
      <c r="AB256" s="21">
        <f>IF(IF(IF(ISERROR('Model inputs'!AB230&lt;=0),'Model inputs'!AB230&lt;=0,IF('Model inputs'!AB230="","",'Model inputs'!AB230&lt;=0))="",FALSE,IF(ISERROR('Model inputs'!AB230&lt;=0),'Model inputs'!AB230&lt;=0,IF('Model inputs'!AB230="","",'Model inputs'!AB230&lt;=0))),0,'Model inputs'!B281*MIN('Model inputs'!AB230/'Model inputs'!B277,1))</f>
        <v>0</v>
      </c>
      <c r="AC256" s="21">
        <f>IF(IF(IF(ISERROR('Model inputs'!AC230&lt;=0),'Model inputs'!AC230&lt;=0,IF('Model inputs'!AC230="","",'Model inputs'!AC230&lt;=0))="",FALSE,IF(ISERROR('Model inputs'!AC230&lt;=0),'Model inputs'!AC230&lt;=0,IF('Model inputs'!AC230="","",'Model inputs'!AC230&lt;=0))),0,'Model inputs'!B281*MIN('Model inputs'!AC230/'Model inputs'!B277,1))</f>
        <v>0</v>
      </c>
      <c r="AD256" s="21">
        <f>IF(IF(IF(ISERROR('Model inputs'!AD230&lt;=0),'Model inputs'!AD230&lt;=0,IF('Model inputs'!AD230="","",'Model inputs'!AD230&lt;=0))="",FALSE,IF(ISERROR('Model inputs'!AD230&lt;=0),'Model inputs'!AD230&lt;=0,IF('Model inputs'!AD230="","",'Model inputs'!AD230&lt;=0))),0,'Model inputs'!B281*MIN('Model inputs'!AD230/'Model inputs'!B277,1))</f>
        <v>0</v>
      </c>
      <c r="AE256" s="21">
        <f>IF(IF(IF(ISERROR('Model inputs'!AE230&lt;=0),'Model inputs'!AE230&lt;=0,IF('Model inputs'!AE230="","",'Model inputs'!AE230&lt;=0))="",FALSE,IF(ISERROR('Model inputs'!AE230&lt;=0),'Model inputs'!AE230&lt;=0,IF('Model inputs'!AE230="","",'Model inputs'!AE230&lt;=0))),0,'Model inputs'!B281*MIN('Model inputs'!AE230/'Model inputs'!B277,1))</f>
        <v>0</v>
      </c>
      <c r="AF256" s="21">
        <f>IF(IF(IF(ISERROR('Model inputs'!AF230&lt;=0),'Model inputs'!AF230&lt;=0,IF('Model inputs'!AF230="","",'Model inputs'!AF230&lt;=0))="",FALSE,IF(ISERROR('Model inputs'!AF230&lt;=0),'Model inputs'!AF230&lt;=0,IF('Model inputs'!AF230="","",'Model inputs'!AF230&lt;=0))),0,'Model inputs'!B281*MIN('Model inputs'!AF230/'Model inputs'!B277,1))</f>
        <v>0</v>
      </c>
      <c r="AG256" s="21">
        <f>IF(IF(IF(ISERROR('Model inputs'!AG230&lt;=0),'Model inputs'!AG230&lt;=0,IF('Model inputs'!AG230="","",'Model inputs'!AG230&lt;=0))="",FALSE,IF(ISERROR('Model inputs'!AG230&lt;=0),'Model inputs'!AG230&lt;=0,IF('Model inputs'!AG230="","",'Model inputs'!AG230&lt;=0))),0,'Model inputs'!B281*MIN('Model inputs'!AG230/'Model inputs'!B277,1))</f>
        <v>0</v>
      </c>
    </row>
    <row r="257">
      <c r="A257" t="inlineStr" s="16">
        <is>
          <t xml:space="preserve">Opening customers</t>
        </is>
      </c>
      <c r="C257" s="19">
        <f>IF('Model inputs'!C178="","",'Model inputs'!C178)</f>
        <v>0</v>
      </c>
      <c r="D257" s="19">
        <f>IF('Model inputs'!D178="","",'Model inputs'!D178)</f>
        <v>0</v>
      </c>
      <c r="E257" s="19">
        <f>IF('Model inputs'!E178="","",'Model inputs'!E178)</f>
        <v>47</v>
      </c>
      <c r="F257" s="19">
        <f>IF('Model inputs'!F178="","",'Model inputs'!F178)</f>
        <v>47</v>
      </c>
      <c r="G257" s="19">
        <f>IF('Model inputs'!G178="","",'Model inputs'!G178)</f>
        <v>84.905</v>
      </c>
      <c r="H257" s="19">
        <f>IF('Model inputs'!H178="","",'Model inputs'!H178)</f>
        <v>110.9505</v>
      </c>
      <c r="I257" s="19">
        <f>IF('Model inputs'!I178="","",'Model inputs'!I178)</f>
        <v>138.05102827083334</v>
      </c>
      <c r="J257" s="19">
        <f>IF('Model inputs'!J178="","",'Model inputs'!J178)</f>
        <v>166.3601248259896</v>
      </c>
      <c r="K257" s="19">
        <f>IF('Model inputs'!K178="","",'Model inputs'!K178)</f>
        <v>196.04006505593594</v>
      </c>
      <c r="L257" s="19">
        <f>IF('Model inputs'!L178="","",'Model inputs'!L178)</f>
        <v>227.2628736908502</v>
      </c>
      <c r="M257" s="19">
        <f>IF('Model inputs'!M178="","",'Model inputs'!M178)</f>
        <v>260.21140757088153</v>
      </c>
      <c r="N257" s="19">
        <f>IF('Model inputs'!N178="","",'Model inputs'!N178)</f>
        <v>295.08051439200136</v>
      </c>
      <c r="O257" s="19">
        <f>IF('Model inputs'!O178="","",'Model inputs'!O178)</f>
        <v>330.0136817964602</v>
      </c>
      <c r="P257" s="19">
        <f>IF('Model inputs'!P178="","",'Model inputs'!P178)</f>
        <v>365.0921444578123</v>
      </c>
      <c r="Q257" s="19">
        <f>IF('Model inputs'!Q178="","",'Model inputs'!Q178)</f>
        <v>400.3954360097452</v>
      </c>
      <c r="R257" s="19">
        <f>IF('Model inputs'!R178="","",'Model inputs'!R178)</f>
        <v>436.0016417049511</v>
      </c>
      <c r="S257" s="19">
        <f>IF('Model inputs'!S178="","",'Model inputs'!S178)</f>
        <v>471.98764010807395</v>
      </c>
      <c r="T257" s="19">
        <f>IF('Model inputs'!T178="","",'Model inputs'!T178)</f>
        <v>508.42933477856207</v>
      </c>
      <c r="U257" s="19">
        <f>IF('Model inputs'!U178="","",'Model inputs'!U178)</f>
        <v>545.4018768448782</v>
      </c>
      <c r="V257" s="19">
        <f>IF('Model inputs'!V178="","",'Model inputs'!V178)</f>
        <v>582.979879321125</v>
      </c>
      <c r="W257" s="19">
        <f>SUM('Model inputs'!W258,'Model inputs'!W259,'Model inputs'!W260)</f>
        <v>0</v>
      </c>
      <c r="X257" s="19">
        <f>SUM('Model inputs'!X258,'Model inputs'!X259,'Model inputs'!X260)</f>
        <v>0</v>
      </c>
      <c r="Y257" s="19">
        <f>SUM('Model inputs'!Y258,'Model inputs'!Y259,'Model inputs'!Y260)</f>
        <v>0</v>
      </c>
      <c r="Z257" s="19">
        <f>SUM('Model inputs'!Z258,'Model inputs'!Z259,'Model inputs'!Z260)</f>
        <v>0</v>
      </c>
      <c r="AA257" s="19">
        <f>SUM('Model inputs'!AA258,'Model inputs'!AA259,'Model inputs'!AA260)</f>
        <v>0</v>
      </c>
      <c r="AB257" s="19">
        <f>SUM('Model inputs'!AB258,'Model inputs'!AB259,'Model inputs'!AB260)</f>
        <v>0</v>
      </c>
      <c r="AC257" s="19">
        <f>SUM('Model inputs'!AC258,'Model inputs'!AC259,'Model inputs'!AC260)</f>
        <v>0</v>
      </c>
      <c r="AD257" s="19">
        <f>SUM('Model inputs'!AD258,'Model inputs'!AD259,'Model inputs'!AD260)</f>
        <v>0</v>
      </c>
      <c r="AE257" s="19">
        <f>SUM('Model inputs'!AE258,'Model inputs'!AE259,'Model inputs'!AE260)</f>
        <v>0</v>
      </c>
      <c r="AF257" s="19">
        <f>SUM('Model inputs'!AF258,'Model inputs'!AF259,'Model inputs'!AF260)</f>
        <v>0</v>
      </c>
      <c r="AG257" s="19">
        <f>SUM('Model inputs'!AG258,'Model inputs'!AG259,'Model inputs'!AG260)</f>
        <v>0</v>
      </c>
    </row>
    <row r="258" outlineLevel="1">
      <c r="A258" t="inlineStr" s="18">
        <is>
          <t xml:space="preserve">Opening customers &gt; Indie</t>
        </is>
      </c>
      <c r="C258" s="13">
        <f>IF('Model inputs'!C179="","",'Model inputs'!C179)</f>
        <v>0</v>
      </c>
      <c r="D258" s="13">
        <f>IF('Model inputs'!D179="","",'Model inputs'!D179)</f>
        <v>0</v>
      </c>
      <c r="E258" s="13">
        <f>IF('Model inputs'!E179="","",'Model inputs'!E179)</f>
        <v>40</v>
      </c>
      <c r="F258" s="13">
        <f>IF('Model inputs'!F179="","",'Model inputs'!F179)</f>
        <v>40</v>
      </c>
      <c r="G258" s="13">
        <f>IF('Model inputs'!G179="","",'Model inputs'!G179)</f>
        <v>74.33333333333333</v>
      </c>
      <c r="H258" s="13">
        <f>IF('Model inputs'!H179="","",'Model inputs'!H179)</f>
        <v>96.37777777777778</v>
      </c>
      <c r="I258" s="13">
        <f>IF('Model inputs'!I179="","",'Model inputs'!I179)</f>
        <v>119.1125925925926</v>
      </c>
      <c r="J258" s="13">
        <f>IF('Model inputs'!J179="","",'Model inputs'!J179)</f>
        <v>142.66455308641977</v>
      </c>
      <c r="K258" s="13">
        <f>IF('Model inputs'!K179="","",'Model inputs'!K179)</f>
        <v>167.16580688065847</v>
      </c>
      <c r="L258" s="13">
        <f>IF('Model inputs'!L179="","",'Model inputs'!L179)</f>
        <v>192.75462167528124</v>
      </c>
      <c r="M258" s="13">
        <f>IF('Model inputs'!M179="","",'Model inputs'!M179)</f>
        <v>219.57617163719584</v>
      </c>
      <c r="N258" s="13">
        <f>IF('Model inputs'!N179="","",'Model inputs'!N179)</f>
        <v>247.78336691420412</v>
      </c>
      <c r="O258" s="13">
        <f>IF('Model inputs'!O179="","",'Model inputs'!O179)</f>
        <v>275.8239067748581</v>
      </c>
      <c r="P258" s="13">
        <f>IF('Model inputs'!P179="","",'Model inputs'!P179)</f>
        <v>303.77745455099915</v>
      </c>
      <c r="Q258" s="13">
        <f>IF('Model inputs'!Q179="","",'Model inputs'!Q179)</f>
        <v>331.7211048045094</v>
      </c>
      <c r="R258" s="13">
        <f>IF('Model inputs'!R179="","",'Model inputs'!R179)</f>
        <v>359.72966426339536</v>
      </c>
      <c r="S258" s="13">
        <f>IF('Model inputs'!S179="","",'Model inputs'!S179)</f>
        <v>387.87591841618973</v>
      </c>
      <c r="T258" s="13">
        <f>IF('Model inputs'!T179="","",'Model inputs'!T179)</f>
        <v>416.23088489627867</v>
      </c>
      <c r="U258" s="13">
        <f>IF('Model inputs'!U179="","",'Model inputs'!U179)</f>
        <v>444.8640547193417</v>
      </c>
      <c r="V258" s="13">
        <f>IF('Model inputs'!V179="","",'Model inputs'!V179)</f>
        <v>473.8436223735132</v>
      </c>
      <c r="W258" t="str" s="13">
        <f>IF(IF(IF(ISERROR('Model inputs'!W230=0),'Model inputs'!W230=0,IF('Model inputs'!W230="","",'Model inputs'!W230=0))="",FALSE,IF(ISERROR('Model inputs'!W230=0),'Model inputs'!W230=0,IF('Model inputs'!W230="","",'Model inputs'!W230=0))),IF('Model inputs'!B246="","",'Model inputs'!B246),"")</f>
        <v/>
      </c>
      <c r="X258" s="13">
        <f>IF(IF(IF(ISERROR('Model inputs'!X230=0),'Model inputs'!X230=0,IF('Model inputs'!X230="","",'Model inputs'!X230=0))="",FALSE,IF(ISERROR('Model inputs'!X230=0),'Model inputs'!X230=0,IF('Model inputs'!X230="","",'Model inputs'!X230=0))),IF('Model inputs'!B246="","",'Model inputs'!B246),IF('Model inputs'!W214="","",'Model inputs'!W214))</f>
        <v>0</v>
      </c>
      <c r="Y258" s="13">
        <f>IF(IF(IF(ISERROR('Model inputs'!Y230=0),'Model inputs'!Y230=0,IF('Model inputs'!Y230="","",'Model inputs'!Y230=0))="",FALSE,IF(ISERROR('Model inputs'!Y230=0),'Model inputs'!Y230=0,IF('Model inputs'!Y230="","",'Model inputs'!Y230=0))),IF('Model inputs'!B246="","",'Model inputs'!B246),IF('Model inputs'!X214="","",'Model inputs'!X214))</f>
        <v>0</v>
      </c>
      <c r="Z258" s="13">
        <f>IF(IF(IF(ISERROR('Model inputs'!Z230=0),'Model inputs'!Z230=0,IF('Model inputs'!Z230="","",'Model inputs'!Z230=0))="",FALSE,IF(ISERROR('Model inputs'!Z230=0),'Model inputs'!Z230=0,IF('Model inputs'!Z230="","",'Model inputs'!Z230=0))),IF('Model inputs'!B246="","",'Model inputs'!B246),IF('Model inputs'!Y214="","",'Model inputs'!Y214))</f>
        <v>0</v>
      </c>
      <c r="AA258" s="13">
        <f>IF(IF(IF(ISERROR('Model inputs'!AA230=0),'Model inputs'!AA230=0,IF('Model inputs'!AA230="","",'Model inputs'!AA230=0))="",FALSE,IF(ISERROR('Model inputs'!AA230=0),'Model inputs'!AA230=0,IF('Model inputs'!AA230="","",'Model inputs'!AA230=0))),IF('Model inputs'!B246="","",'Model inputs'!B246),IF('Model inputs'!Z214="","",'Model inputs'!Z214))</f>
        <v>0</v>
      </c>
      <c r="AB258" s="13">
        <f>IF(IF(IF(ISERROR('Model inputs'!AB230=0),'Model inputs'!AB230=0,IF('Model inputs'!AB230="","",'Model inputs'!AB230=0))="",FALSE,IF(ISERROR('Model inputs'!AB230=0),'Model inputs'!AB230=0,IF('Model inputs'!AB230="","",'Model inputs'!AB230=0))),IF('Model inputs'!B246="","",'Model inputs'!B246),IF('Model inputs'!AA214="","",'Model inputs'!AA214))</f>
        <v>0</v>
      </c>
      <c r="AC258" s="13">
        <f>IF(IF(IF(ISERROR('Model inputs'!AC230=0),'Model inputs'!AC230=0,IF('Model inputs'!AC230="","",'Model inputs'!AC230=0))="",FALSE,IF(ISERROR('Model inputs'!AC230=0),'Model inputs'!AC230=0,IF('Model inputs'!AC230="","",'Model inputs'!AC230=0))),IF('Model inputs'!B246="","",'Model inputs'!B246),IF('Model inputs'!AB214="","",'Model inputs'!AB214))</f>
        <v>0</v>
      </c>
      <c r="AD258" s="13">
        <f>IF(IF(IF(ISERROR('Model inputs'!AD230=0),'Model inputs'!AD230=0,IF('Model inputs'!AD230="","",'Model inputs'!AD230=0))="",FALSE,IF(ISERROR('Model inputs'!AD230=0),'Model inputs'!AD230=0,IF('Model inputs'!AD230="","",'Model inputs'!AD230=0))),IF('Model inputs'!B246="","",'Model inputs'!B246),IF('Model inputs'!AC214="","",'Model inputs'!AC214))</f>
        <v>0</v>
      </c>
      <c r="AE258" s="13">
        <f>IF(IF(IF(ISERROR('Model inputs'!AE230=0),'Model inputs'!AE230=0,IF('Model inputs'!AE230="","",'Model inputs'!AE230=0))="",FALSE,IF(ISERROR('Model inputs'!AE230=0),'Model inputs'!AE230=0,IF('Model inputs'!AE230="","",'Model inputs'!AE230=0))),IF('Model inputs'!B246="","",'Model inputs'!B246),IF('Model inputs'!AD214="","",'Model inputs'!AD214))</f>
        <v>0</v>
      </c>
      <c r="AF258" s="13">
        <f>IF(IF(IF(ISERROR('Model inputs'!AF230=0),'Model inputs'!AF230=0,IF('Model inputs'!AF230="","",'Model inputs'!AF230=0))="",FALSE,IF(ISERROR('Model inputs'!AF230=0),'Model inputs'!AF230=0,IF('Model inputs'!AF230="","",'Model inputs'!AF230=0))),IF('Model inputs'!B246="","",'Model inputs'!B246),IF('Model inputs'!AE214="","",'Model inputs'!AE214))</f>
        <v>0</v>
      </c>
      <c r="AG258" s="13">
        <f>IF(IF(IF(ISERROR('Model inputs'!AG230=0),'Model inputs'!AG230=0,IF('Model inputs'!AG230="","",'Model inputs'!AG230=0))="",FALSE,IF(ISERROR('Model inputs'!AG230=0),'Model inputs'!AG230=0,IF('Model inputs'!AG230="","",'Model inputs'!AG230=0))),IF('Model inputs'!B246="","",'Model inputs'!B246),IF('Model inputs'!AF214="","",'Model inputs'!AF214))</f>
        <v>0</v>
      </c>
    </row>
    <row r="259" outlineLevel="1">
      <c r="A259" t="inlineStr" s="18">
        <is>
          <t xml:space="preserve">Opening customers &gt; Launch</t>
        </is>
      </c>
      <c r="C259" s="13">
        <f>IF('Model inputs'!C180="","",'Model inputs'!C180)</f>
        <v>0</v>
      </c>
      <c r="D259" s="13">
        <f>IF('Model inputs'!D180="","",'Model inputs'!D180)</f>
        <v>0</v>
      </c>
      <c r="E259" s="13">
        <f>IF('Model inputs'!E180="","",'Model inputs'!E180)</f>
        <v>1</v>
      </c>
      <c r="F259" s="13">
        <f>IF('Model inputs'!F180="","",'Model inputs'!F180)</f>
        <v>1</v>
      </c>
      <c r="G259" s="13">
        <f>IF('Model inputs'!G180="","",'Model inputs'!G180)</f>
        <v>1.51</v>
      </c>
      <c r="H259" s="13">
        <f>IF('Model inputs'!H180="","",'Model inputs'!H180)</f>
        <v>2.025106944444444</v>
      </c>
      <c r="I259" s="13">
        <f>IF('Model inputs'!I180="","",'Model inputs'!I180)</f>
        <v>2.547012070601851</v>
      </c>
      <c r="J259" s="13">
        <f>IF('Model inputs'!J180="","",'Model inputs'!J180)</f>
        <v>3.0771044879079854</v>
      </c>
      <c r="K259" s="13">
        <f>IF('Model inputs'!K180="","",'Model inputs'!K180)</f>
        <v>3.6168582008046233</v>
      </c>
      <c r="L259" s="13">
        <f>IF('Model inputs'!L180="","",'Model inputs'!L180)</f>
        <v>4.167844494352857</v>
      </c>
      <c r="M259" s="13">
        <f>IF('Model inputs'!M180="","",'Model inputs'!M180)</f>
        <v>4.731745191609298</v>
      </c>
      <c r="N259" s="13">
        <f>IF('Model inputs'!N180="","",'Model inputs'!N180)</f>
        <v>5.310366891827144</v>
      </c>
      <c r="O259" s="13">
        <f>IF('Model inputs'!O180="","",'Model inputs'!O180)</f>
        <v>5.905656307557946</v>
      </c>
      <c r="P259" s="13">
        <f>IF('Model inputs'!P180="","",'Model inputs'!P180)</f>
        <v>6.51825529091976</v>
      </c>
      <c r="Q259" s="13">
        <f>IF('Model inputs'!Q180="","",'Model inputs'!Q180)</f>
        <v>7.148799939122187</v>
      </c>
      <c r="R259" s="13">
        <f>IF('Model inputs'!R180="","",'Model inputs'!R180)</f>
        <v>7.797924320310828</v>
      </c>
      <c r="S259" s="13">
        <f>IF('Model inputs'!S180="","",'Model inputs'!S180)</f>
        <v>8.466264010178019</v>
      </c>
      <c r="T259" s="13">
        <f>IF('Model inputs'!T180="","",'Model inputs'!T180)</f>
        <v>9.154459457032457</v>
      </c>
      <c r="U259" s="13">
        <f>IF('Model inputs'!U180="","",'Model inputs'!U180)</f>
        <v>9.86315919194885</v>
      </c>
      <c r="V259" s="13">
        <f>IF('Model inputs'!V180="","",'Model inputs'!V180)</f>
        <v>10.59302289962623</v>
      </c>
      <c r="W259" t="str" s="13">
        <f>IF(IF(IF(ISERROR('Model inputs'!W230=0),'Model inputs'!W230=0,IF('Model inputs'!W230="","",'Model inputs'!W230=0))="",FALSE,IF(ISERROR('Model inputs'!W230=0),'Model inputs'!W230=0,IF('Model inputs'!W230="","",'Model inputs'!W230=0))),IF('Model inputs'!B247="","",'Model inputs'!B247),"")</f>
        <v/>
      </c>
      <c r="X259" s="13">
        <f>IF(IF(IF(ISERROR('Model inputs'!X230=0),'Model inputs'!X230=0,IF('Model inputs'!X230="","",'Model inputs'!X230=0))="",FALSE,IF(ISERROR('Model inputs'!X230=0),'Model inputs'!X230=0,IF('Model inputs'!X230="","",'Model inputs'!X230=0))),IF('Model inputs'!B247="","",'Model inputs'!B247),IF('Model inputs'!W215="","",'Model inputs'!W215))</f>
        <v>0</v>
      </c>
      <c r="Y259" s="13">
        <f>IF(IF(IF(ISERROR('Model inputs'!Y230=0),'Model inputs'!Y230=0,IF('Model inputs'!Y230="","",'Model inputs'!Y230=0))="",FALSE,IF(ISERROR('Model inputs'!Y230=0),'Model inputs'!Y230=0,IF('Model inputs'!Y230="","",'Model inputs'!Y230=0))),IF('Model inputs'!B247="","",'Model inputs'!B247),IF('Model inputs'!X215="","",'Model inputs'!X215))</f>
        <v>0</v>
      </c>
      <c r="Z259" s="13">
        <f>IF(IF(IF(ISERROR('Model inputs'!Z230=0),'Model inputs'!Z230=0,IF('Model inputs'!Z230="","",'Model inputs'!Z230=0))="",FALSE,IF(ISERROR('Model inputs'!Z230=0),'Model inputs'!Z230=0,IF('Model inputs'!Z230="","",'Model inputs'!Z230=0))),IF('Model inputs'!B247="","",'Model inputs'!B247),IF('Model inputs'!Y215="","",'Model inputs'!Y215))</f>
        <v>0</v>
      </c>
      <c r="AA259" s="13">
        <f>IF(IF(IF(ISERROR('Model inputs'!AA230=0),'Model inputs'!AA230=0,IF('Model inputs'!AA230="","",'Model inputs'!AA230=0))="",FALSE,IF(ISERROR('Model inputs'!AA230=0),'Model inputs'!AA230=0,IF('Model inputs'!AA230="","",'Model inputs'!AA230=0))),IF('Model inputs'!B247="","",'Model inputs'!B247),IF('Model inputs'!Z215="","",'Model inputs'!Z215))</f>
        <v>0</v>
      </c>
      <c r="AB259" s="13">
        <f>IF(IF(IF(ISERROR('Model inputs'!AB230=0),'Model inputs'!AB230=0,IF('Model inputs'!AB230="","",'Model inputs'!AB230=0))="",FALSE,IF(ISERROR('Model inputs'!AB230=0),'Model inputs'!AB230=0,IF('Model inputs'!AB230="","",'Model inputs'!AB230=0))),IF('Model inputs'!B247="","",'Model inputs'!B247),IF('Model inputs'!AA215="","",'Model inputs'!AA215))</f>
        <v>0</v>
      </c>
      <c r="AC259" s="13">
        <f>IF(IF(IF(ISERROR('Model inputs'!AC230=0),'Model inputs'!AC230=0,IF('Model inputs'!AC230="","",'Model inputs'!AC230=0))="",FALSE,IF(ISERROR('Model inputs'!AC230=0),'Model inputs'!AC230=0,IF('Model inputs'!AC230="","",'Model inputs'!AC230=0))),IF('Model inputs'!B247="","",'Model inputs'!B247),IF('Model inputs'!AB215="","",'Model inputs'!AB215))</f>
        <v>0</v>
      </c>
      <c r="AD259" s="13">
        <f>IF(IF(IF(ISERROR('Model inputs'!AD230=0),'Model inputs'!AD230=0,IF('Model inputs'!AD230="","",'Model inputs'!AD230=0))="",FALSE,IF(ISERROR('Model inputs'!AD230=0),'Model inputs'!AD230=0,IF('Model inputs'!AD230="","",'Model inputs'!AD230=0))),IF('Model inputs'!B247="","",'Model inputs'!B247),IF('Model inputs'!AC215="","",'Model inputs'!AC215))</f>
        <v>0</v>
      </c>
      <c r="AE259" s="13">
        <f>IF(IF(IF(ISERROR('Model inputs'!AE230=0),'Model inputs'!AE230=0,IF('Model inputs'!AE230="","",'Model inputs'!AE230=0))="",FALSE,IF(ISERROR('Model inputs'!AE230=0),'Model inputs'!AE230=0,IF('Model inputs'!AE230="","",'Model inputs'!AE230=0))),IF('Model inputs'!B247="","",'Model inputs'!B247),IF('Model inputs'!AD215="","",'Model inputs'!AD215))</f>
        <v>0</v>
      </c>
      <c r="AF259" s="13">
        <f>IF(IF(IF(ISERROR('Model inputs'!AF230=0),'Model inputs'!AF230=0,IF('Model inputs'!AF230="","",'Model inputs'!AF230=0))="",FALSE,IF(ISERROR('Model inputs'!AF230=0),'Model inputs'!AF230=0,IF('Model inputs'!AF230="","",'Model inputs'!AF230=0))),IF('Model inputs'!B247="","",'Model inputs'!B247),IF('Model inputs'!AE215="","",'Model inputs'!AE215))</f>
        <v>0</v>
      </c>
      <c r="AG259" s="13">
        <f>IF(IF(IF(ISERROR('Model inputs'!AG230=0),'Model inputs'!AG230=0,IF('Model inputs'!AG230="","",'Model inputs'!AG230=0))="",FALSE,IF(ISERROR('Model inputs'!AG230=0),'Model inputs'!AG230=0,IF('Model inputs'!AG230="","",'Model inputs'!AG230=0))),IF('Model inputs'!B247="","",'Model inputs'!B247),IF('Model inputs'!AF215="","",'Model inputs'!AF215))</f>
        <v>0</v>
      </c>
    </row>
    <row r="260" outlineLevel="1">
      <c r="A260" t="inlineStr" s="18">
        <is>
          <t xml:space="preserve">Opening customers &gt; Team</t>
        </is>
      </c>
      <c r="C260" s="13">
        <f>IF('Model inputs'!C181="","",'Model inputs'!C181)</f>
        <v>0</v>
      </c>
      <c r="D260" s="13">
        <f>IF('Model inputs'!D181="","",'Model inputs'!D181)</f>
        <v>0</v>
      </c>
      <c r="E260" s="13">
        <f>IF('Model inputs'!E181="","",'Model inputs'!E181)</f>
        <v>6</v>
      </c>
      <c r="F260" s="13">
        <f>IF('Model inputs'!F181="","",'Model inputs'!F181)</f>
        <v>6</v>
      </c>
      <c r="G260" s="13">
        <f>IF('Model inputs'!G181="","",'Model inputs'!G181)</f>
        <v>9.061666666666667</v>
      </c>
      <c r="H260" s="13">
        <f>IF('Model inputs'!H181="","",'Model inputs'!H181)</f>
        <v>12.547615277777778</v>
      </c>
      <c r="I260" s="13">
        <f>IF('Model inputs'!I181="","",'Model inputs'!I181)</f>
        <v>16.391423607638888</v>
      </c>
      <c r="J260" s="13">
        <f>IF('Model inputs'!J181="","",'Model inputs'!J181)</f>
        <v>20.618467251661844</v>
      </c>
      <c r="K260" s="13">
        <f>IF('Model inputs'!K181="","",'Model inputs'!K181)</f>
        <v>25.257399974472865</v>
      </c>
      <c r="L260" s="13">
        <f>IF('Model inputs'!L181="","",'Model inputs'!L181)</f>
        <v>30.3404075212161</v>
      </c>
      <c r="M260" s="13">
        <f>IF('Model inputs'!M181="","",'Model inputs'!M181)</f>
        <v>35.90349074207642</v>
      </c>
      <c r="N260" s="13">
        <f>IF('Model inputs'!N181="","",'Model inputs'!N181)</f>
        <v>41.986780585970116</v>
      </c>
      <c r="O260" s="13">
        <f>IF('Model inputs'!O181="","",'Model inputs'!O181)</f>
        <v>48.284118714044176</v>
      </c>
      <c r="P260" s="13">
        <f>IF('Model inputs'!P181="","",'Model inputs'!P181)</f>
        <v>54.79643461589339</v>
      </c>
      <c r="Q260" s="13">
        <f>IF('Model inputs'!Q181="","",'Model inputs'!Q181)</f>
        <v>61.52553126611357</v>
      </c>
      <c r="R260" s="13">
        <f>IF('Model inputs'!R181="","",'Model inputs'!R181)</f>
        <v>68.47405312124489</v>
      </c>
      <c r="S260" s="13">
        <f>IF('Model inputs'!S181="","",'Model inputs'!S181)</f>
        <v>75.64545768170619</v>
      </c>
      <c r="T260" s="13">
        <f>IF('Model inputs'!T181="","",'Model inputs'!T181)</f>
        <v>83.04399042525094</v>
      </c>
      <c r="U260" s="13">
        <f>IF('Model inputs'!U181="","",'Model inputs'!U181)</f>
        <v>90.67466293358764</v>
      </c>
      <c r="V260" s="13">
        <f>IF('Model inputs'!V181="","",'Model inputs'!V181)</f>
        <v>98.54323404798558</v>
      </c>
      <c r="W260" t="str" s="13">
        <f>IF(IF(IF(ISERROR('Model inputs'!W230=0),'Model inputs'!W230=0,IF('Model inputs'!W230="","",'Model inputs'!W230=0))="",FALSE,IF(ISERROR('Model inputs'!W230=0),'Model inputs'!W230=0,IF('Model inputs'!W230="","",'Model inputs'!W230=0))),IF('Model inputs'!B248="","",'Model inputs'!B248),"")</f>
        <v/>
      </c>
      <c r="X260" s="13">
        <f>IF(IF(IF(ISERROR('Model inputs'!X230=0),'Model inputs'!X230=0,IF('Model inputs'!X230="","",'Model inputs'!X230=0))="",FALSE,IF(ISERROR('Model inputs'!X230=0),'Model inputs'!X230=0,IF('Model inputs'!X230="","",'Model inputs'!X230=0))),IF('Model inputs'!B248="","",'Model inputs'!B248),IF('Model inputs'!W216="","",'Model inputs'!W216))</f>
        <v>0</v>
      </c>
      <c r="Y260" s="13">
        <f>IF(IF(IF(ISERROR('Model inputs'!Y230=0),'Model inputs'!Y230=0,IF('Model inputs'!Y230="","",'Model inputs'!Y230=0))="",FALSE,IF(ISERROR('Model inputs'!Y230=0),'Model inputs'!Y230=0,IF('Model inputs'!Y230="","",'Model inputs'!Y230=0))),IF('Model inputs'!B248="","",'Model inputs'!B248),IF('Model inputs'!X216="","",'Model inputs'!X216))</f>
        <v>0</v>
      </c>
      <c r="Z260" s="13">
        <f>IF(IF(IF(ISERROR('Model inputs'!Z230=0),'Model inputs'!Z230=0,IF('Model inputs'!Z230="","",'Model inputs'!Z230=0))="",FALSE,IF(ISERROR('Model inputs'!Z230=0),'Model inputs'!Z230=0,IF('Model inputs'!Z230="","",'Model inputs'!Z230=0))),IF('Model inputs'!B248="","",'Model inputs'!B248),IF('Model inputs'!Y216="","",'Model inputs'!Y216))</f>
        <v>0</v>
      </c>
      <c r="AA260" s="13">
        <f>IF(IF(IF(ISERROR('Model inputs'!AA230=0),'Model inputs'!AA230=0,IF('Model inputs'!AA230="","",'Model inputs'!AA230=0))="",FALSE,IF(ISERROR('Model inputs'!AA230=0),'Model inputs'!AA230=0,IF('Model inputs'!AA230="","",'Model inputs'!AA230=0))),IF('Model inputs'!B248="","",'Model inputs'!B248),IF('Model inputs'!Z216="","",'Model inputs'!Z216))</f>
        <v>0</v>
      </c>
      <c r="AB260" s="13">
        <f>IF(IF(IF(ISERROR('Model inputs'!AB230=0),'Model inputs'!AB230=0,IF('Model inputs'!AB230="","",'Model inputs'!AB230=0))="",FALSE,IF(ISERROR('Model inputs'!AB230=0),'Model inputs'!AB230=0,IF('Model inputs'!AB230="","",'Model inputs'!AB230=0))),IF('Model inputs'!B248="","",'Model inputs'!B248),IF('Model inputs'!AA216="","",'Model inputs'!AA216))</f>
        <v>0</v>
      </c>
      <c r="AC260" s="13">
        <f>IF(IF(IF(ISERROR('Model inputs'!AC230=0),'Model inputs'!AC230=0,IF('Model inputs'!AC230="","",'Model inputs'!AC230=0))="",FALSE,IF(ISERROR('Model inputs'!AC230=0),'Model inputs'!AC230=0,IF('Model inputs'!AC230="","",'Model inputs'!AC230=0))),IF('Model inputs'!B248="","",'Model inputs'!B248),IF('Model inputs'!AB216="","",'Model inputs'!AB216))</f>
        <v>0</v>
      </c>
      <c r="AD260" s="13">
        <f>IF(IF(IF(ISERROR('Model inputs'!AD230=0),'Model inputs'!AD230=0,IF('Model inputs'!AD230="","",'Model inputs'!AD230=0))="",FALSE,IF(ISERROR('Model inputs'!AD230=0),'Model inputs'!AD230=0,IF('Model inputs'!AD230="","",'Model inputs'!AD230=0))),IF('Model inputs'!B248="","",'Model inputs'!B248),IF('Model inputs'!AC216="","",'Model inputs'!AC216))</f>
        <v>0</v>
      </c>
      <c r="AE260" s="13">
        <f>IF(IF(IF(ISERROR('Model inputs'!AE230=0),'Model inputs'!AE230=0,IF('Model inputs'!AE230="","",'Model inputs'!AE230=0))="",FALSE,IF(ISERROR('Model inputs'!AE230=0),'Model inputs'!AE230=0,IF('Model inputs'!AE230="","",'Model inputs'!AE230=0))),IF('Model inputs'!B248="","",'Model inputs'!B248),IF('Model inputs'!AD216="","",'Model inputs'!AD216))</f>
        <v>0</v>
      </c>
      <c r="AF260" s="13">
        <f>IF(IF(IF(ISERROR('Model inputs'!AF230=0),'Model inputs'!AF230=0,IF('Model inputs'!AF230="","",'Model inputs'!AF230=0))="",FALSE,IF(ISERROR('Model inputs'!AF230=0),'Model inputs'!AF230=0,IF('Model inputs'!AF230="","",'Model inputs'!AF230=0))),IF('Model inputs'!B248="","",'Model inputs'!B248),IF('Model inputs'!AE216="","",'Model inputs'!AE216))</f>
        <v>0</v>
      </c>
      <c r="AG260" s="13">
        <f>IF(IF(IF(ISERROR('Model inputs'!AG230=0),'Model inputs'!AG230=0,IF('Model inputs'!AG230="","",'Model inputs'!AG230=0))="",FALSE,IF(ISERROR('Model inputs'!AG230=0),'Model inputs'!AG230=0,IF('Model inputs'!AG230="","",'Model inputs'!AG230=0))),IF('Model inputs'!B248="","",'Model inputs'!B248),IF('Model inputs'!AF216="","",'Model inputs'!AF216))</f>
        <v>0</v>
      </c>
    </row>
    <row r="261">
      <c r="A261" t="inlineStr" s="16">
        <is>
          <t xml:space="preserve">Organic new logos</t>
        </is>
      </c>
      <c r="C261" s="19">
        <f>IF('Model inputs'!C182="","",'Model inputs'!C182)</f>
        <v>0</v>
      </c>
      <c r="D261" s="19">
        <f>IF('Model inputs'!D182="","",'Model inputs'!D182)</f>
        <v>0</v>
      </c>
      <c r="E261" s="19">
        <f>IF('Model inputs'!E182="","",'Model inputs'!E182)</f>
        <v>0</v>
      </c>
      <c r="F261" s="19">
        <f>IF('Model inputs'!F182="","",'Model inputs'!F182)</f>
        <v>28.5</v>
      </c>
      <c r="G261" s="19">
        <f>IF('Model inputs'!G182="","",'Model inputs'!G182)</f>
        <v>30.8</v>
      </c>
      <c r="H261" s="19">
        <f>IF('Model inputs'!H182="","",'Model inputs'!H182)</f>
        <v>33.290000000000006</v>
      </c>
      <c r="I261" s="19">
        <f>IF('Model inputs'!I182="","",'Model inputs'!I182)</f>
        <v>35.985800000000005</v>
      </c>
      <c r="J261" s="19">
        <f>IF('Model inputs'!J182="","",'Model inputs'!J182)</f>
        <v>38.90452400000001</v>
      </c>
      <c r="K261" s="19">
        <f>IF('Model inputs'!K182="","",'Model inputs'!K182)</f>
        <v>42.064731920000014</v>
      </c>
      <c r="L261" s="19">
        <f>IF('Model inputs'!L182="","",'Model inputs'!L182)</f>
        <v>45.486541073600016</v>
      </c>
      <c r="M261" s="19">
        <f>IF('Model inputs'!M182="","",'Model inputs'!M182)</f>
        <v>49.19175801948802</v>
      </c>
      <c r="N261" s="19">
        <f>IF('Model inputs'!N182="","",'Model inputs'!N182)</f>
        <v>51.13942834026755</v>
      </c>
      <c r="O261" s="19">
        <f>IF('Model inputs'!O182="","",'Model inputs'!O182)</f>
        <v>53.16500547387825</v>
      </c>
      <c r="P261" s="19">
        <f>IF('Model inputs'!P182="","",'Model inputs'!P182)</f>
        <v>55.27160569283338</v>
      </c>
      <c r="Q261" s="19">
        <f>IF('Model inputs'!Q182="","",'Model inputs'!Q182)</f>
        <v>57.462469920546724</v>
      </c>
      <c r="R261" s="19">
        <f>IF('Model inputs'!R182="","",'Model inputs'!R182)</f>
        <v>59.740968717368595</v>
      </c>
      <c r="S261" s="19">
        <f>IF('Model inputs'!S182="","",'Model inputs'!S182)</f>
        <v>62.11060746606334</v>
      </c>
      <c r="T261" s="19">
        <f>IF('Model inputs'!T182="","",'Model inputs'!T182)</f>
        <v>64.57503176470587</v>
      </c>
      <c r="U261" s="19">
        <f>IF('Model inputs'!U182="","",'Model inputs'!U182)</f>
        <v>67.13803303529411</v>
      </c>
      <c r="V261" s="19">
        <f>IF('Model inputs'!V182="","",'Model inputs'!V182)</f>
        <v>69.80355435670587</v>
      </c>
      <c r="W261" s="19">
        <f>SUM('Model inputs'!W262,'Model inputs'!W263,'Model inputs'!W264)</f>
        <v>0</v>
      </c>
      <c r="X261" s="19">
        <f>SUM('Model inputs'!X262,'Model inputs'!X263,'Model inputs'!X264)</f>
        <v>0</v>
      </c>
      <c r="Y261" s="19">
        <f>SUM('Model inputs'!Y262,'Model inputs'!Y263,'Model inputs'!Y264)</f>
        <v>0</v>
      </c>
      <c r="Z261" s="19">
        <f>SUM('Model inputs'!Z262,'Model inputs'!Z263,'Model inputs'!Z264)</f>
        <v>0</v>
      </c>
      <c r="AA261" s="19">
        <f>SUM('Model inputs'!AA262,'Model inputs'!AA263,'Model inputs'!AA264)</f>
        <v>0</v>
      </c>
      <c r="AB261" s="19">
        <f>SUM('Model inputs'!AB262,'Model inputs'!AB263,'Model inputs'!AB264)</f>
        <v>0</v>
      </c>
      <c r="AC261" s="19">
        <f>SUM('Model inputs'!AC262,'Model inputs'!AC263,'Model inputs'!AC264)</f>
        <v>0</v>
      </c>
      <c r="AD261" s="19">
        <f>SUM('Model inputs'!AD262,'Model inputs'!AD263,'Model inputs'!AD264)</f>
        <v>0</v>
      </c>
      <c r="AE261" s="19">
        <f>SUM('Model inputs'!AE262,'Model inputs'!AE263,'Model inputs'!AE264)</f>
        <v>0</v>
      </c>
      <c r="AF261" s="19">
        <f>SUM('Model inputs'!AF262,'Model inputs'!AF263,'Model inputs'!AF264)</f>
        <v>0</v>
      </c>
      <c r="AG261" s="19">
        <f>SUM('Model inputs'!AG262,'Model inputs'!AG263,'Model inputs'!AG264)</f>
        <v>0</v>
      </c>
    </row>
    <row r="262" outlineLevel="1">
      <c r="A262" t="inlineStr" s="18">
        <is>
          <t xml:space="preserve">Organic new logos &gt; Indie</t>
        </is>
      </c>
      <c r="C262" s="13">
        <f>IF('Model inputs'!C183="","",'Model inputs'!C183)</f>
        <v>0</v>
      </c>
      <c r="D262" s="13">
        <f>IF('Model inputs'!D183="","",'Model inputs'!D183)</f>
        <v>0</v>
      </c>
      <c r="E262" s="13">
        <f>IF('Model inputs'!E183="","",'Model inputs'!E183)</f>
        <v>0</v>
      </c>
      <c r="F262" s="13">
        <f>IF('Model inputs'!F183="","",'Model inputs'!F183)</f>
        <v>25</v>
      </c>
      <c r="G262" s="13">
        <f>IF('Model inputs'!G183="","",'Model inputs'!G183)</f>
        <v>27</v>
      </c>
      <c r="H262" s="13">
        <f>IF('Model inputs'!H183="","",'Model inputs'!H183)</f>
        <v>29.160000000000004</v>
      </c>
      <c r="I262" s="13">
        <f>IF('Model inputs'!I183="","",'Model inputs'!I183)</f>
        <v>31.492800000000006</v>
      </c>
      <c r="J262" s="13">
        <f>IF('Model inputs'!J183="","",'Model inputs'!J183)</f>
        <v>34.01222400000001</v>
      </c>
      <c r="K262" s="13">
        <f>IF('Model inputs'!K183="","",'Model inputs'!K183)</f>
        <v>36.73320192000001</v>
      </c>
      <c r="L262" s="13">
        <f>IF('Model inputs'!L183="","",'Model inputs'!L183)</f>
        <v>39.67185807360001</v>
      </c>
      <c r="M262" s="13">
        <f>IF('Model inputs'!M183="","",'Model inputs'!M183)</f>
        <v>42.84560671948802</v>
      </c>
      <c r="N262" s="13">
        <f>IF('Model inputs'!N183="","",'Model inputs'!N183)</f>
        <v>44.55943098826754</v>
      </c>
      <c r="O262" s="13">
        <f>IF('Model inputs'!O183="","",'Model inputs'!O183)</f>
        <v>46.341808227798246</v>
      </c>
      <c r="P262" s="13">
        <f>IF('Model inputs'!P183="","",'Model inputs'!P183)</f>
        <v>48.19548055691018</v>
      </c>
      <c r="Q262" s="13">
        <f>IF('Model inputs'!Q183="","",'Model inputs'!Q183)</f>
        <v>50.12329977918659</v>
      </c>
      <c r="R262" s="13">
        <f>IF('Model inputs'!R183="","",'Model inputs'!R183)</f>
        <v>52.128231770354056</v>
      </c>
      <c r="S262" s="13">
        <f>IF('Model inputs'!S183="","",'Model inputs'!S183)</f>
        <v>54.21336104116822</v>
      </c>
      <c r="T262" s="13">
        <f>IF('Model inputs'!T183="","",'Model inputs'!T183)</f>
        <v>56.38189548281495</v>
      </c>
      <c r="U262" s="13">
        <f>IF('Model inputs'!U183="","",'Model inputs'!U183)</f>
        <v>58.63717130212755</v>
      </c>
      <c r="V262" s="13">
        <f>IF('Model inputs'!V183="","",'Model inputs'!V183)</f>
        <v>60.98265815421265</v>
      </c>
      <c r="W262" s="13">
        <f>IF(IF(IF(ISERROR('Model inputs'!W230&lt;1),'Model inputs'!W230&lt;1,IF('Model inputs'!W230="","",'Model inputs'!W230&lt;1))="",FALSE,IF(ISERROR('Model inputs'!W230&lt;1),'Model inputs'!W230&lt;1,IF('Model inputs'!W230="","",'Model inputs'!W230&lt;1))),0,IF(IF(IF(ISERROR('Model inputs'!W230=1),'Model inputs'!W230=1,IF('Model inputs'!W230="","",'Model inputs'!W230=1))="",FALSE,IF(ISERROR('Model inputs'!W230=1),'Model inputs'!W230=1,IF('Model inputs'!W230="","",'Model inputs'!W230=1))),IF('Model inputs'!B241="","",'Model inputs'!B241),0*(1+IF(IF(IF(IF(ISERROR('Model inputs'!W230&lt;=8),'Model inputs'!W230&lt;=8,IF('Model inputs'!W230="","",'Model inputs'!W230&lt;=8))="",FALSE,IF(ISERROR('Model inputs'!W230&lt;=8),'Model inputs'!W230&lt;=8,IF('Model inputs'!W230="","",'Model inputs'!W230&lt;=8))),IF('Model inputs'!B227="","",'Model inputs'!B227),IF('Model inputs'!B223="","",'Model inputs'!B223))="",0,IF(IF(IF(ISERROR('Model inputs'!W230&lt;=8),'Model inputs'!W230&lt;=8,IF('Model inputs'!W230="","",'Model inputs'!W230&lt;=8))="",FALSE,IF(ISERROR('Model inputs'!W230&lt;=8),'Model inputs'!W230&lt;=8,IF('Model inputs'!W230="","",'Model inputs'!W230&lt;=8))),IF('Model inputs'!B227="","",'Model inputs'!B227),IF('Model inputs'!B223="","",'Model inputs'!B223))))))</f>
        <v>0</v>
      </c>
      <c r="X262" s="13">
        <f>IF(IF(IF(ISERROR('Model inputs'!X230&lt;1),'Model inputs'!X230&lt;1,IF('Model inputs'!X230="","",'Model inputs'!X230&lt;1))="",FALSE,IF(ISERROR('Model inputs'!X230&lt;1),'Model inputs'!X230&lt;1,IF('Model inputs'!X230="","",'Model inputs'!X230&lt;1))),0,IF(IF(IF(ISERROR('Model inputs'!X230=1),'Model inputs'!X230=1,IF('Model inputs'!X230="","",'Model inputs'!X230=1))="",FALSE,IF(ISERROR('Model inputs'!X230=1),'Model inputs'!X230=1,IF('Model inputs'!X230="","",'Model inputs'!X230=1))),IF('Model inputs'!B241="","",'Model inputs'!B241),'Model inputs'!W262*(1+IF(IF(IF(IF(ISERROR('Model inputs'!X230&lt;=8),'Model inputs'!X230&lt;=8,IF('Model inputs'!X230="","",'Model inputs'!X230&lt;=8))="",FALSE,IF(ISERROR('Model inputs'!X230&lt;=8),'Model inputs'!X230&lt;=8,IF('Model inputs'!X230="","",'Model inputs'!X230&lt;=8))),IF('Model inputs'!B227="","",'Model inputs'!B227),IF('Model inputs'!B223="","",'Model inputs'!B223))="",0,IF(IF(IF(ISERROR('Model inputs'!X230&lt;=8),'Model inputs'!X230&lt;=8,IF('Model inputs'!X230="","",'Model inputs'!X230&lt;=8))="",FALSE,IF(ISERROR('Model inputs'!X230&lt;=8),'Model inputs'!X230&lt;=8,IF('Model inputs'!X230="","",'Model inputs'!X230&lt;=8))),IF('Model inputs'!B227="","",'Model inputs'!B227),IF('Model inputs'!B223="","",'Model inputs'!B223))))))</f>
        <v>0</v>
      </c>
      <c r="Y262" s="13">
        <f>IF(IF(IF(ISERROR('Model inputs'!Y230&lt;1),'Model inputs'!Y230&lt;1,IF('Model inputs'!Y230="","",'Model inputs'!Y230&lt;1))="",FALSE,IF(ISERROR('Model inputs'!Y230&lt;1),'Model inputs'!Y230&lt;1,IF('Model inputs'!Y230="","",'Model inputs'!Y230&lt;1))),0,IF(IF(IF(ISERROR('Model inputs'!Y230=1),'Model inputs'!Y230=1,IF('Model inputs'!Y230="","",'Model inputs'!Y230=1))="",FALSE,IF(ISERROR('Model inputs'!Y230=1),'Model inputs'!Y230=1,IF('Model inputs'!Y230="","",'Model inputs'!Y230=1))),IF('Model inputs'!B241="","",'Model inputs'!B241),'Model inputs'!X262*(1+IF(IF(IF(IF(ISERROR('Model inputs'!Y230&lt;=8),'Model inputs'!Y230&lt;=8,IF('Model inputs'!Y230="","",'Model inputs'!Y230&lt;=8))="",FALSE,IF(ISERROR('Model inputs'!Y230&lt;=8),'Model inputs'!Y230&lt;=8,IF('Model inputs'!Y230="","",'Model inputs'!Y230&lt;=8))),IF('Model inputs'!B227="","",'Model inputs'!B227),IF('Model inputs'!B223="","",'Model inputs'!B223))="",0,IF(IF(IF(ISERROR('Model inputs'!Y230&lt;=8),'Model inputs'!Y230&lt;=8,IF('Model inputs'!Y230="","",'Model inputs'!Y230&lt;=8))="",FALSE,IF(ISERROR('Model inputs'!Y230&lt;=8),'Model inputs'!Y230&lt;=8,IF('Model inputs'!Y230="","",'Model inputs'!Y230&lt;=8))),IF('Model inputs'!B227="","",'Model inputs'!B227),IF('Model inputs'!B223="","",'Model inputs'!B223))))))</f>
        <v>0</v>
      </c>
      <c r="Z262" s="13">
        <f>IF(IF(IF(ISERROR('Model inputs'!Z230&lt;1),'Model inputs'!Z230&lt;1,IF('Model inputs'!Z230="","",'Model inputs'!Z230&lt;1))="",FALSE,IF(ISERROR('Model inputs'!Z230&lt;1),'Model inputs'!Z230&lt;1,IF('Model inputs'!Z230="","",'Model inputs'!Z230&lt;1))),0,IF(IF(IF(ISERROR('Model inputs'!Z230=1),'Model inputs'!Z230=1,IF('Model inputs'!Z230="","",'Model inputs'!Z230=1))="",FALSE,IF(ISERROR('Model inputs'!Z230=1),'Model inputs'!Z230=1,IF('Model inputs'!Z230="","",'Model inputs'!Z230=1))),IF('Model inputs'!B241="","",'Model inputs'!B241),'Model inputs'!Y262*(1+IF(IF(IF(IF(ISERROR('Model inputs'!Z230&lt;=8),'Model inputs'!Z230&lt;=8,IF('Model inputs'!Z230="","",'Model inputs'!Z230&lt;=8))="",FALSE,IF(ISERROR('Model inputs'!Z230&lt;=8),'Model inputs'!Z230&lt;=8,IF('Model inputs'!Z230="","",'Model inputs'!Z230&lt;=8))),IF('Model inputs'!B227="","",'Model inputs'!B227),IF('Model inputs'!B223="","",'Model inputs'!B223))="",0,IF(IF(IF(ISERROR('Model inputs'!Z230&lt;=8),'Model inputs'!Z230&lt;=8,IF('Model inputs'!Z230="","",'Model inputs'!Z230&lt;=8))="",FALSE,IF(ISERROR('Model inputs'!Z230&lt;=8),'Model inputs'!Z230&lt;=8,IF('Model inputs'!Z230="","",'Model inputs'!Z230&lt;=8))),IF('Model inputs'!B227="","",'Model inputs'!B227),IF('Model inputs'!B223="","",'Model inputs'!B223))))))</f>
        <v>0</v>
      </c>
      <c r="AA262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inputs'!AA230&lt;1))),0,IF(IF(IF(ISERROR('Model inputs'!AA230=1),'Model inputs'!AA230=1,IF('Model inputs'!AA230="","",'Model inputs'!AA230=1))="",FALSE,IF(ISERROR('Model inputs'!AA230=1),'Model inputs'!AA230=1,IF('Model inputs'!AA230="","",'Model inputs'!AA230=1))),IF('Model inputs'!B241="","",'Model inputs'!B241),'Model inputs'!Z262*(1+IF(IF(IF(IF(ISERROR('Model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inputs'!B227="","",'Model inputs'!B227),IF('Model inputs'!B223="","",'Model inputs'!B223))="",0,IF(IF(IF(ISERROR('Model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inputs'!B227="","",'Model inputs'!B227),IF('Model inputs'!B223="","",'Model inputs'!B223))))))</f>
        <v>0</v>
      </c>
      <c r="AB262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inputs'!AB230&lt;1))),0,IF(IF(IF(ISERROR('Model inputs'!AB230=1),'Model inputs'!AB230=1,IF('Model inputs'!AB230="","",'Model inputs'!AB230=1))="",FALSE,IF(ISERROR('Model inputs'!AB230=1),'Model inputs'!AB230=1,IF('Model inputs'!AB230="","",'Model inputs'!AB230=1))),IF('Model inputs'!B241="","",'Model inputs'!B241),'Model inputs'!AA262*(1+IF(IF(IF(IF(ISERROR('Model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inputs'!B227="","",'Model inputs'!B227),IF('Model inputs'!B223="","",'Model inputs'!B223))="",0,IF(IF(IF(ISERROR('Model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inputs'!B227="","",'Model inputs'!B227),IF('Model inputs'!B223="","",'Model inputs'!B223))))))</f>
        <v>0</v>
      </c>
      <c r="AC262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inputs'!AC230&lt;1))),0,IF(IF(IF(ISERROR('Model inputs'!AC230=1),'Model inputs'!AC230=1,IF('Model inputs'!AC230="","",'Model inputs'!AC230=1))="",FALSE,IF(ISERROR('Model inputs'!AC230=1),'Model inputs'!AC230=1,IF('Model inputs'!AC230="","",'Model inputs'!AC230=1))),IF('Model inputs'!B241="","",'Model inputs'!B241),'Model inputs'!AB262*(1+IF(IF(IF(IF(ISERROR('Model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inputs'!B227="","",'Model inputs'!B227),IF('Model inputs'!B223="","",'Model inputs'!B223))="",0,IF(IF(IF(ISERROR('Model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inputs'!B227="","",'Model inputs'!B227),IF('Model inputs'!B223="","",'Model inputs'!B223))))))</f>
        <v>0</v>
      </c>
      <c r="AD262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inputs'!AD230&lt;1))),0,IF(IF(IF(ISERROR('Model inputs'!AD230=1),'Model inputs'!AD230=1,IF('Model inputs'!AD230="","",'Model inputs'!AD230=1))="",FALSE,IF(ISERROR('Model inputs'!AD230=1),'Model inputs'!AD230=1,IF('Model inputs'!AD230="","",'Model inputs'!AD230=1))),IF('Model inputs'!B241="","",'Model inputs'!B241),'Model inputs'!AC262*(1+IF(IF(IF(IF(ISERROR('Model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inputs'!B227="","",'Model inputs'!B227),IF('Model inputs'!B223="","",'Model inputs'!B223))="",0,IF(IF(IF(ISERROR('Model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inputs'!B227="","",'Model inputs'!B227),IF('Model inputs'!B223="","",'Model inputs'!B223))))))</f>
        <v>0</v>
      </c>
      <c r="AE262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inputs'!AE230&lt;1))),0,IF(IF(IF(ISERROR('Model inputs'!AE230=1),'Model inputs'!AE230=1,IF('Model inputs'!AE230="","",'Model inputs'!AE230=1))="",FALSE,IF(ISERROR('Model inputs'!AE230=1),'Model inputs'!AE230=1,IF('Model inputs'!AE230="","",'Model inputs'!AE230=1))),IF('Model inputs'!B241="","",'Model inputs'!B241),'Model inputs'!AD262*(1+IF(IF(IF(IF(ISERROR('Model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inputs'!B227="","",'Model inputs'!B227),IF('Model inputs'!B223="","",'Model inputs'!B223))="",0,IF(IF(IF(ISERROR('Model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inputs'!B227="","",'Model inputs'!B227),IF('Model inputs'!B223="","",'Model inputs'!B223))))))</f>
        <v>0</v>
      </c>
      <c r="AF262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inputs'!AF230&lt;1))),0,IF(IF(IF(ISERROR('Model inputs'!AF230=1),'Model inputs'!AF230=1,IF('Model inputs'!AF230="","",'Model inputs'!AF230=1))="",FALSE,IF(ISERROR('Model inputs'!AF230=1),'Model inputs'!AF230=1,IF('Model inputs'!AF230="","",'Model inputs'!AF230=1))),IF('Model inputs'!B241="","",'Model inputs'!B241),'Model inputs'!AE262*(1+IF(IF(IF(IF(ISERROR('Model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inputs'!B227="","",'Model inputs'!B227),IF('Model inputs'!B223="","",'Model inputs'!B223))="",0,IF(IF(IF(ISERROR('Model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inputs'!B227="","",'Model inputs'!B227),IF('Model inputs'!B223="","",'Model inputs'!B223))))))</f>
        <v>0</v>
      </c>
      <c r="AG262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inputs'!AG230&lt;1))),0,IF(IF(IF(ISERROR('Model inputs'!AG230=1),'Model inputs'!AG230=1,IF('Model inputs'!AG230="","",'Model inputs'!AG230=1))="",FALSE,IF(ISERROR('Model inputs'!AG230=1),'Model inputs'!AG230=1,IF('Model inputs'!AG230="","",'Model inputs'!AG230=1))),IF('Model inputs'!B241="","",'Model inputs'!B241),'Model inputs'!AF262*(1+IF(IF(IF(IF(ISERROR('Model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inputs'!B227="","",'Model inputs'!B227),IF('Model inputs'!B223="","",'Model inputs'!B223))="",0,IF(IF(IF(ISERROR('Model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inputs'!B227="","",'Model inputs'!B227),IF('Model inputs'!B223="","",'Model inputs'!B223))))))</f>
        <v>0</v>
      </c>
    </row>
    <row r="263" outlineLevel="1">
      <c r="A263" t="inlineStr" s="18">
        <is>
          <t xml:space="preserve">Organic new logos &gt; Launch</t>
        </is>
      </c>
      <c r="C263" s="13">
        <f>IF('Model inputs'!C184="","",'Model inputs'!C184)</f>
        <v>0</v>
      </c>
      <c r="D263" s="13">
        <f>IF('Model inputs'!D184="","",'Model inputs'!D184)</f>
        <v>0</v>
      </c>
      <c r="E263" s="13">
        <f>IF('Model inputs'!E184="","",'Model inputs'!E184)</f>
        <v>0</v>
      </c>
      <c r="F263" s="13">
        <f>IF('Model inputs'!F184="","",'Model inputs'!F184)</f>
        <v>0.5</v>
      </c>
      <c r="G263" s="13">
        <f>IF('Model inputs'!G184="","",'Model inputs'!G184)</f>
        <v>0.5</v>
      </c>
      <c r="H263" s="13">
        <f>IF('Model inputs'!H184="","",'Model inputs'!H184)</f>
        <v>0.5</v>
      </c>
      <c r="I263" s="13">
        <f>IF('Model inputs'!I184="","",'Model inputs'!I184)</f>
        <v>0.5</v>
      </c>
      <c r="J263" s="13">
        <f>IF('Model inputs'!J184="","",'Model inputs'!J184)</f>
        <v>0.5</v>
      </c>
      <c r="K263" s="13">
        <f>IF('Model inputs'!K184="","",'Model inputs'!K184)</f>
        <v>0.5</v>
      </c>
      <c r="L263" s="13">
        <f>IF('Model inputs'!L184="","",'Model inputs'!L184)</f>
        <v>0.5</v>
      </c>
      <c r="M263" s="13">
        <f>IF('Model inputs'!M184="","",'Model inputs'!M184)</f>
        <v>0.5</v>
      </c>
      <c r="N263" s="13">
        <f>IF('Model inputs'!N184="","",'Model inputs'!N184)</f>
        <v>0.5</v>
      </c>
      <c r="O263" s="13">
        <f>IF('Model inputs'!O184="","",'Model inputs'!O184)</f>
        <v>0.5</v>
      </c>
      <c r="P263" s="13">
        <f>IF('Model inputs'!P184="","",'Model inputs'!P184)</f>
        <v>0.5</v>
      </c>
      <c r="Q263" s="13">
        <f>IF('Model inputs'!Q184="","",'Model inputs'!Q184)</f>
        <v>0.5</v>
      </c>
      <c r="R263" s="13">
        <f>IF('Model inputs'!R184="","",'Model inputs'!R184)</f>
        <v>0.5</v>
      </c>
      <c r="S263" s="13">
        <f>IF('Model inputs'!S184="","",'Model inputs'!S184)</f>
        <v>0.5</v>
      </c>
      <c r="T263" s="13">
        <f>IF('Model inputs'!T184="","",'Model inputs'!T184)</f>
        <v>0.5</v>
      </c>
      <c r="U263" s="13">
        <f>IF('Model inputs'!U184="","",'Model inputs'!U184)</f>
        <v>0.5</v>
      </c>
      <c r="V263" s="13">
        <f>IF('Model inputs'!V184="","",'Model inputs'!V184)</f>
        <v>0.5</v>
      </c>
      <c r="W263" s="13">
        <f>IF(IF(IF(ISERROR('Model inputs'!W230&lt;1),'Model inputs'!W230&lt;1,IF('Model inputs'!W230="","",'Model inputs'!W230&lt;1))="",FALSE,IF(ISERROR('Model inputs'!W230&lt;1),'Model inputs'!W230&lt;1,IF('Model inputs'!W230="","",'Model inputs'!W230&lt;1))),0,IF(IF(IF(ISERROR('Model inputs'!W230=1),'Model inputs'!W230=1,IF('Model inputs'!W230="","",'Model inputs'!W230=1))="",FALSE,IF(ISERROR('Model inputs'!W230=1),'Model inputs'!W230=1,IF('Model inputs'!W230="","",'Model inputs'!W230=1))),IF('Model inputs'!B242="","",'Model inputs'!B242),0*(1+IF(IF(IF(IF(ISERROR('Model inputs'!W230&lt;=8),'Model inputs'!W230&lt;=8,IF('Model inputs'!W230="","",'Model inputs'!W230&lt;=8))="",FALSE,IF(ISERROR('Model inputs'!W230&lt;=8),'Model inputs'!W230&lt;=8,IF('Model inputs'!W230="","",'Model inputs'!W230&lt;=8))),IF('Model inputs'!B228="","",'Model inputs'!B228),IF('Model inputs'!B224="","",'Model inputs'!B224))="",0,IF(IF(IF(ISERROR('Model inputs'!W230&lt;=8),'Model inputs'!W230&lt;=8,IF('Model inputs'!W230="","",'Model inputs'!W230&lt;=8))="",FALSE,IF(ISERROR('Model inputs'!W230&lt;=8),'Model inputs'!W230&lt;=8,IF('Model inputs'!W230="","",'Model inputs'!W230&lt;=8))),IF('Model inputs'!B228="","",'Model inputs'!B228),IF('Model inputs'!B224="","",'Model inputs'!B224))))))</f>
        <v>0</v>
      </c>
      <c r="X263" s="13">
        <f>IF(IF(IF(ISERROR('Model inputs'!X230&lt;1),'Model inputs'!X230&lt;1,IF('Model inputs'!X230="","",'Model inputs'!X230&lt;1))="",FALSE,IF(ISERROR('Model inputs'!X230&lt;1),'Model inputs'!X230&lt;1,IF('Model inputs'!X230="","",'Model inputs'!X230&lt;1))),0,IF(IF(IF(ISERROR('Model inputs'!X230=1),'Model inputs'!X230=1,IF('Model inputs'!X230="","",'Model inputs'!X230=1))="",FALSE,IF(ISERROR('Model inputs'!X230=1),'Model inputs'!X230=1,IF('Model inputs'!X230="","",'Model inputs'!X230=1))),IF('Model inputs'!B242="","",'Model inputs'!B242),'Model inputs'!W263*(1+IF(IF(IF(IF(ISERROR('Model inputs'!X230&lt;=8),'Model inputs'!X230&lt;=8,IF('Model inputs'!X230="","",'Model inputs'!X230&lt;=8))="",FALSE,IF(ISERROR('Model inputs'!X230&lt;=8),'Model inputs'!X230&lt;=8,IF('Model inputs'!X230="","",'Model inputs'!X230&lt;=8))),IF('Model inputs'!B228="","",'Model inputs'!B228),IF('Model inputs'!B224="","",'Model inputs'!B224))="",0,IF(IF(IF(ISERROR('Model inputs'!X230&lt;=8),'Model inputs'!X230&lt;=8,IF('Model inputs'!X230="","",'Model inputs'!X230&lt;=8))="",FALSE,IF(ISERROR('Model inputs'!X230&lt;=8),'Model inputs'!X230&lt;=8,IF('Model inputs'!X230="","",'Model inputs'!X230&lt;=8))),IF('Model inputs'!B228="","",'Model inputs'!B228),IF('Model inputs'!B224="","",'Model inputs'!B224))))))</f>
        <v>0</v>
      </c>
      <c r="Y263" s="13">
        <f>IF(IF(IF(ISERROR('Model inputs'!Y230&lt;1),'Model inputs'!Y230&lt;1,IF('Model inputs'!Y230="","",'Model inputs'!Y230&lt;1))="",FALSE,IF(ISERROR('Model inputs'!Y230&lt;1),'Model inputs'!Y230&lt;1,IF('Model inputs'!Y230="","",'Model inputs'!Y230&lt;1))),0,IF(IF(IF(ISERROR('Model inputs'!Y230=1),'Model inputs'!Y230=1,IF('Model inputs'!Y230="","",'Model inputs'!Y230=1))="",FALSE,IF(ISERROR('Model inputs'!Y230=1),'Model inputs'!Y230=1,IF('Model inputs'!Y230="","",'Model inputs'!Y230=1))),IF('Model inputs'!B242="","",'Model inputs'!B242),'Model inputs'!X263*(1+IF(IF(IF(IF(ISERROR('Model inputs'!Y230&lt;=8),'Model inputs'!Y230&lt;=8,IF('Model inputs'!Y230="","",'Model inputs'!Y230&lt;=8))="",FALSE,IF(ISERROR('Model inputs'!Y230&lt;=8),'Model inputs'!Y230&lt;=8,IF('Model inputs'!Y230="","",'Model inputs'!Y230&lt;=8))),IF('Model inputs'!B228="","",'Model inputs'!B228),IF('Model inputs'!B224="","",'Model inputs'!B224))="",0,IF(IF(IF(ISERROR('Model inputs'!Y230&lt;=8),'Model inputs'!Y230&lt;=8,IF('Model inputs'!Y230="","",'Model inputs'!Y230&lt;=8))="",FALSE,IF(ISERROR('Model inputs'!Y230&lt;=8),'Model inputs'!Y230&lt;=8,IF('Model inputs'!Y230="","",'Model inputs'!Y230&lt;=8))),IF('Model inputs'!B228="","",'Model inputs'!B228),IF('Model inputs'!B224="","",'Model inputs'!B224))))))</f>
        <v>0</v>
      </c>
      <c r="Z263" s="13">
        <f>IF(IF(IF(ISERROR('Model inputs'!Z230&lt;1),'Model inputs'!Z230&lt;1,IF('Model inputs'!Z230="","",'Model inputs'!Z230&lt;1))="",FALSE,IF(ISERROR('Model inputs'!Z230&lt;1),'Model inputs'!Z230&lt;1,IF('Model inputs'!Z230="","",'Model inputs'!Z230&lt;1))),0,IF(IF(IF(ISERROR('Model inputs'!Z230=1),'Model inputs'!Z230=1,IF('Model inputs'!Z230="","",'Model inputs'!Z230=1))="",FALSE,IF(ISERROR('Model inputs'!Z230=1),'Model inputs'!Z230=1,IF('Model inputs'!Z230="","",'Model inputs'!Z230=1))),IF('Model inputs'!B242="","",'Model inputs'!B242),'Model inputs'!Y263*(1+IF(IF(IF(IF(ISERROR('Model inputs'!Z230&lt;=8),'Model inputs'!Z230&lt;=8,IF('Model inputs'!Z230="","",'Model inputs'!Z230&lt;=8))="",FALSE,IF(ISERROR('Model inputs'!Z230&lt;=8),'Model inputs'!Z230&lt;=8,IF('Model inputs'!Z230="","",'Model inputs'!Z230&lt;=8))),IF('Model inputs'!B228="","",'Model inputs'!B228),IF('Model inputs'!B224="","",'Model inputs'!B224))="",0,IF(IF(IF(ISERROR('Model inputs'!Z230&lt;=8),'Model inputs'!Z230&lt;=8,IF('Model inputs'!Z230="","",'Model inputs'!Z230&lt;=8))="",FALSE,IF(ISERROR('Model inputs'!Z230&lt;=8),'Model inputs'!Z230&lt;=8,IF('Model inputs'!Z230="","",'Model inputs'!Z230&lt;=8))),IF('Model inputs'!B228="","",'Model inputs'!B228),IF('Model inputs'!B224="","",'Model inputs'!B224))))))</f>
        <v>0</v>
      </c>
      <c r="AA263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inputs'!AA230&lt;1))),0,IF(IF(IF(ISERROR('Model inputs'!AA230=1),'Model inputs'!AA230=1,IF('Model inputs'!AA230="","",'Model inputs'!AA230=1))="",FALSE,IF(ISERROR('Model inputs'!AA230=1),'Model inputs'!AA230=1,IF('Model inputs'!AA230="","",'Model inputs'!AA230=1))),IF('Model inputs'!B242="","",'Model inputs'!B242),'Model inputs'!Z263*(1+IF(IF(IF(IF(ISERROR('Model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inputs'!B228="","",'Model inputs'!B228),IF('Model inputs'!B224="","",'Model inputs'!B224))="",0,IF(IF(IF(ISERROR('Model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inputs'!B228="","",'Model inputs'!B228),IF('Model inputs'!B224="","",'Model inputs'!B224))))))</f>
        <v>0</v>
      </c>
      <c r="AB263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inputs'!AB230&lt;1))),0,IF(IF(IF(ISERROR('Model inputs'!AB230=1),'Model inputs'!AB230=1,IF('Model inputs'!AB230="","",'Model inputs'!AB230=1))="",FALSE,IF(ISERROR('Model inputs'!AB230=1),'Model inputs'!AB230=1,IF('Model inputs'!AB230="","",'Model inputs'!AB230=1))),IF('Model inputs'!B242="","",'Model inputs'!B242),'Model inputs'!AA263*(1+IF(IF(IF(IF(ISERROR('Model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inputs'!B228="","",'Model inputs'!B228),IF('Model inputs'!B224="","",'Model inputs'!B224))="",0,IF(IF(IF(ISERROR('Model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inputs'!B228="","",'Model inputs'!B228),IF('Model inputs'!B224="","",'Model inputs'!B224))))))</f>
        <v>0</v>
      </c>
      <c r="AC263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inputs'!AC230&lt;1))),0,IF(IF(IF(ISERROR('Model inputs'!AC230=1),'Model inputs'!AC230=1,IF('Model inputs'!AC230="","",'Model inputs'!AC230=1))="",FALSE,IF(ISERROR('Model inputs'!AC230=1),'Model inputs'!AC230=1,IF('Model inputs'!AC230="","",'Model inputs'!AC230=1))),IF('Model inputs'!B242="","",'Model inputs'!B242),'Model inputs'!AB263*(1+IF(IF(IF(IF(ISERROR('Model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inputs'!B228="","",'Model inputs'!B228),IF('Model inputs'!B224="","",'Model inputs'!B224))="",0,IF(IF(IF(ISERROR('Model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inputs'!B228="","",'Model inputs'!B228),IF('Model inputs'!B224="","",'Model inputs'!B224))))))</f>
        <v>0</v>
      </c>
      <c r="AD263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inputs'!AD230&lt;1))),0,IF(IF(IF(ISERROR('Model inputs'!AD230=1),'Model inputs'!AD230=1,IF('Model inputs'!AD230="","",'Model inputs'!AD230=1))="",FALSE,IF(ISERROR('Model inputs'!AD230=1),'Model inputs'!AD230=1,IF('Model inputs'!AD230="","",'Model inputs'!AD230=1))),IF('Model inputs'!B242="","",'Model inputs'!B242),'Model inputs'!AC263*(1+IF(IF(IF(IF(ISERROR('Model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inputs'!B228="","",'Model inputs'!B228),IF('Model inputs'!B224="","",'Model inputs'!B224))="",0,IF(IF(IF(ISERROR('Model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inputs'!B228="","",'Model inputs'!B228),IF('Model inputs'!B224="","",'Model inputs'!B224))))))</f>
        <v>0</v>
      </c>
      <c r="AE263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inputs'!AE230&lt;1))),0,IF(IF(IF(ISERROR('Model inputs'!AE230=1),'Model inputs'!AE230=1,IF('Model inputs'!AE230="","",'Model inputs'!AE230=1))="",FALSE,IF(ISERROR('Model inputs'!AE230=1),'Model inputs'!AE230=1,IF('Model inputs'!AE230="","",'Model inputs'!AE230=1))),IF('Model inputs'!B242="","",'Model inputs'!B242),'Model inputs'!AD263*(1+IF(IF(IF(IF(ISERROR('Model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inputs'!B228="","",'Model inputs'!B228),IF('Model inputs'!B224="","",'Model inputs'!B224))="",0,IF(IF(IF(ISERROR('Model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inputs'!B228="","",'Model inputs'!B228),IF('Model inputs'!B224="","",'Model inputs'!B224))))))</f>
        <v>0</v>
      </c>
      <c r="AF263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inputs'!AF230&lt;1))),0,IF(IF(IF(ISERROR('Model inputs'!AF230=1),'Model inputs'!AF230=1,IF('Model inputs'!AF230="","",'Model inputs'!AF230=1))="",FALSE,IF(ISERROR('Model inputs'!AF230=1),'Model inputs'!AF230=1,IF('Model inputs'!AF230="","",'Model inputs'!AF230=1))),IF('Model inputs'!B242="","",'Model inputs'!B242),'Model inputs'!AE263*(1+IF(IF(IF(IF(ISERROR('Model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inputs'!B228="","",'Model inputs'!B228),IF('Model inputs'!B224="","",'Model inputs'!B224))="",0,IF(IF(IF(ISERROR('Model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inputs'!B228="","",'Model inputs'!B228),IF('Model inputs'!B224="","",'Model inputs'!B224))))))</f>
        <v>0</v>
      </c>
      <c r="AG263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inputs'!AG230&lt;1))),0,IF(IF(IF(ISERROR('Model inputs'!AG230=1),'Model inputs'!AG230=1,IF('Model inputs'!AG230="","",'Model inputs'!AG230=1))="",FALSE,IF(ISERROR('Model inputs'!AG230=1),'Model inputs'!AG230=1,IF('Model inputs'!AG230="","",'Model inputs'!AG230=1))),IF('Model inputs'!B242="","",'Model inputs'!B242),'Model inputs'!AF263*(1+IF(IF(IF(IF(ISERROR('Model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inputs'!B228="","",'Model inputs'!B228),IF('Model inputs'!B224="","",'Model inputs'!B224))="",0,IF(IF(IF(ISERROR('Model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inputs'!B228="","",'Model inputs'!B228),IF('Model inputs'!B224="","",'Model inputs'!B224))))))</f>
        <v>0</v>
      </c>
    </row>
    <row r="264" outlineLevel="1">
      <c r="A264" t="inlineStr" s="18">
        <is>
          <t xml:space="preserve">Organic new logos &gt; Team</t>
        </is>
      </c>
      <c r="C264" s="13">
        <f>IF('Model inputs'!C185="","",'Model inputs'!C185)</f>
        <v>0</v>
      </c>
      <c r="D264" s="13">
        <f>IF('Model inputs'!D185="","",'Model inputs'!D185)</f>
        <v>0</v>
      </c>
      <c r="E264" s="13">
        <f>IF('Model inputs'!E185="","",'Model inputs'!E185)</f>
        <v>0</v>
      </c>
      <c r="F264" s="13">
        <f>IF('Model inputs'!F185="","",'Model inputs'!F185)</f>
        <v>3</v>
      </c>
      <c r="G264" s="13">
        <f>IF('Model inputs'!G185="","",'Model inputs'!G185)</f>
        <v>3.3000000000000003</v>
      </c>
      <c r="H264" s="13">
        <f>IF('Model inputs'!H185="","",'Model inputs'!H185)</f>
        <v>3.630000000000001</v>
      </c>
      <c r="I264" s="13">
        <f>IF('Model inputs'!I185="","",'Model inputs'!I185)</f>
        <v>3.993000000000001</v>
      </c>
      <c r="J264" s="13">
        <f>IF('Model inputs'!J185="","",'Model inputs'!J185)</f>
        <v>4.392300000000001</v>
      </c>
      <c r="K264" s="13">
        <f>IF('Model inputs'!K185="","",'Model inputs'!K185)</f>
        <v>4.831530000000002</v>
      </c>
      <c r="L264" s="13">
        <f>IF('Model inputs'!L185="","",'Model inputs'!L185)</f>
        <v>5.314683000000002</v>
      </c>
      <c r="M264" s="13">
        <f>IF('Model inputs'!M185="","",'Model inputs'!M185)</f>
        <v>5.846151300000003</v>
      </c>
      <c r="N264" s="13">
        <f>IF('Model inputs'!N185="","",'Model inputs'!N185)</f>
        <v>6.079997352000004</v>
      </c>
      <c r="O264" s="13">
        <f>IF('Model inputs'!O185="","",'Model inputs'!O185)</f>
        <v>6.323197246080004</v>
      </c>
      <c r="P264" s="13">
        <f>IF('Model inputs'!P185="","",'Model inputs'!P185)</f>
        <v>6.5761251359232045</v>
      </c>
      <c r="Q264" s="13">
        <f>IF('Model inputs'!Q185="","",'Model inputs'!Q185)</f>
        <v>6.839170141360133</v>
      </c>
      <c r="R264" s="13">
        <f>IF('Model inputs'!R185="","",'Model inputs'!R185)</f>
        <v>7.112736947014538</v>
      </c>
      <c r="S264" s="13">
        <f>IF('Model inputs'!S185="","",'Model inputs'!S185)</f>
        <v>7.39724642489512</v>
      </c>
      <c r="T264" s="13">
        <f>IF('Model inputs'!T185="","",'Model inputs'!T185)</f>
        <v>7.693136281890925</v>
      </c>
      <c r="U264" s="13">
        <f>IF('Model inputs'!U185="","",'Model inputs'!U185)</f>
        <v>8.000861733166563</v>
      </c>
      <c r="V264" s="13">
        <f>IF('Model inputs'!V185="","",'Model inputs'!V185)</f>
        <v>8.320896202493225</v>
      </c>
      <c r="W264" s="13">
        <f>IF(IF(IF(ISERROR('Model inputs'!W230&lt;1),'Model inputs'!W230&lt;1,IF('Model inputs'!W230="","",'Model inputs'!W230&lt;1))="",FALSE,IF(ISERROR('Model inputs'!W230&lt;1),'Model inputs'!W230&lt;1,IF('Model inputs'!W230="","",'Model inputs'!W230&lt;1))),0,IF(IF(IF(ISERROR('Model inputs'!W230=1),'Model inputs'!W230=1,IF('Model inputs'!W230="","",'Model inputs'!W230=1))="",FALSE,IF(ISERROR('Model inputs'!W230=1),'Model inputs'!W230=1,IF('Model inputs'!W230="","",'Model inputs'!W230=1))),IF('Model inputs'!B243="","",'Model inputs'!B243),0*(1+IF(IF(IF(IF(ISERROR('Model inputs'!W230&lt;=8),'Model inputs'!W230&lt;=8,IF('Model inputs'!W230="","",'Model inputs'!W230&lt;=8))="",FALSE,IF(ISERROR('Model inputs'!W230&lt;=8),'Model inputs'!W230&lt;=8,IF('Model inputs'!W230="","",'Model inputs'!W230&lt;=8))),IF('Model inputs'!B229="","",'Model inputs'!B229),IF('Model inputs'!B225="","",'Model inputs'!B225))="",0,IF(IF(IF(ISERROR('Model inputs'!W230&lt;=8),'Model inputs'!W230&lt;=8,IF('Model inputs'!W230="","",'Model inputs'!W230&lt;=8))="",FALSE,IF(ISERROR('Model inputs'!W230&lt;=8),'Model inputs'!W230&lt;=8,IF('Model inputs'!W230="","",'Model inputs'!W230&lt;=8))),IF('Model inputs'!B229="","",'Model inputs'!B229),IF('Model inputs'!B225="","",'Model inputs'!B225))))))</f>
        <v>0</v>
      </c>
      <c r="X264" s="13">
        <f>IF(IF(IF(ISERROR('Model inputs'!X230&lt;1),'Model inputs'!X230&lt;1,IF('Model inputs'!X230="","",'Model inputs'!X230&lt;1))="",FALSE,IF(ISERROR('Model inputs'!X230&lt;1),'Model inputs'!X230&lt;1,IF('Model inputs'!X230="","",'Model inputs'!X230&lt;1))),0,IF(IF(IF(ISERROR('Model inputs'!X230=1),'Model inputs'!X230=1,IF('Model inputs'!X230="","",'Model inputs'!X230=1))="",FALSE,IF(ISERROR('Model inputs'!X230=1),'Model inputs'!X230=1,IF('Model inputs'!X230="","",'Model inputs'!X230=1))),IF('Model inputs'!B243="","",'Model inputs'!B243),'Model inputs'!W264*(1+IF(IF(IF(IF(ISERROR('Model inputs'!X230&lt;=8),'Model inputs'!X230&lt;=8,IF('Model inputs'!X230="","",'Model inputs'!X230&lt;=8))="",FALSE,IF(ISERROR('Model inputs'!X230&lt;=8),'Model inputs'!X230&lt;=8,IF('Model inputs'!X230="","",'Model inputs'!X230&lt;=8))),IF('Model inputs'!B229="","",'Model inputs'!B229),IF('Model inputs'!B225="","",'Model inputs'!B225))="",0,IF(IF(IF(ISERROR('Model inputs'!X230&lt;=8),'Model inputs'!X230&lt;=8,IF('Model inputs'!X230="","",'Model inputs'!X230&lt;=8))="",FALSE,IF(ISERROR('Model inputs'!X230&lt;=8),'Model inputs'!X230&lt;=8,IF('Model inputs'!X230="","",'Model inputs'!X230&lt;=8))),IF('Model inputs'!B229="","",'Model inputs'!B229),IF('Model inputs'!B225="","",'Model inputs'!B225))))))</f>
        <v>0</v>
      </c>
      <c r="Y264" s="13">
        <f>IF(IF(IF(ISERROR('Model inputs'!Y230&lt;1),'Model inputs'!Y230&lt;1,IF('Model inputs'!Y230="","",'Model inputs'!Y230&lt;1))="",FALSE,IF(ISERROR('Model inputs'!Y230&lt;1),'Model inputs'!Y230&lt;1,IF('Model inputs'!Y230="","",'Model inputs'!Y230&lt;1))),0,IF(IF(IF(ISERROR('Model inputs'!Y230=1),'Model inputs'!Y230=1,IF('Model inputs'!Y230="","",'Model inputs'!Y230=1))="",FALSE,IF(ISERROR('Model inputs'!Y230=1),'Model inputs'!Y230=1,IF('Model inputs'!Y230="","",'Model inputs'!Y230=1))),IF('Model inputs'!B243="","",'Model inputs'!B243),'Model inputs'!X264*(1+IF(IF(IF(IF(ISERROR('Model inputs'!Y230&lt;=8),'Model inputs'!Y230&lt;=8,IF('Model inputs'!Y230="","",'Model inputs'!Y230&lt;=8))="",FALSE,IF(ISERROR('Model inputs'!Y230&lt;=8),'Model inputs'!Y230&lt;=8,IF('Model inputs'!Y230="","",'Model inputs'!Y230&lt;=8))),IF('Model inputs'!B229="","",'Model inputs'!B229),IF('Model inputs'!B225="","",'Model inputs'!B225))="",0,IF(IF(IF(ISERROR('Model inputs'!Y230&lt;=8),'Model inputs'!Y230&lt;=8,IF('Model inputs'!Y230="","",'Model inputs'!Y230&lt;=8))="",FALSE,IF(ISERROR('Model inputs'!Y230&lt;=8),'Model inputs'!Y230&lt;=8,IF('Model inputs'!Y230="","",'Model inputs'!Y230&lt;=8))),IF('Model inputs'!B229="","",'Model inputs'!B229),IF('Model inputs'!B225="","",'Model inputs'!B225))))))</f>
        <v>0</v>
      </c>
      <c r="Z264" s="13">
        <f>IF(IF(IF(ISERROR('Model inputs'!Z230&lt;1),'Model inputs'!Z230&lt;1,IF('Model inputs'!Z230="","",'Model inputs'!Z230&lt;1))="",FALSE,IF(ISERROR('Model inputs'!Z230&lt;1),'Model inputs'!Z230&lt;1,IF('Model inputs'!Z230="","",'Model inputs'!Z230&lt;1))),0,IF(IF(IF(ISERROR('Model inputs'!Z230=1),'Model inputs'!Z230=1,IF('Model inputs'!Z230="","",'Model inputs'!Z230=1))="",FALSE,IF(ISERROR('Model inputs'!Z230=1),'Model inputs'!Z230=1,IF('Model inputs'!Z230="","",'Model inputs'!Z230=1))),IF('Model inputs'!B243="","",'Model inputs'!B243),'Model inputs'!Y264*(1+IF(IF(IF(IF(ISERROR('Model inputs'!Z230&lt;=8),'Model inputs'!Z230&lt;=8,IF('Model inputs'!Z230="","",'Model inputs'!Z230&lt;=8))="",FALSE,IF(ISERROR('Model inputs'!Z230&lt;=8),'Model inputs'!Z230&lt;=8,IF('Model inputs'!Z230="","",'Model inputs'!Z230&lt;=8))),IF('Model inputs'!B229="","",'Model inputs'!B229),IF('Model inputs'!B225="","",'Model inputs'!B225))="",0,IF(IF(IF(ISERROR('Model inputs'!Z230&lt;=8),'Model inputs'!Z230&lt;=8,IF('Model inputs'!Z230="","",'Model inputs'!Z230&lt;=8))="",FALSE,IF(ISERROR('Model inputs'!Z230&lt;=8),'Model inputs'!Z230&lt;=8,IF('Model inputs'!Z230="","",'Model inputs'!Z230&lt;=8))),IF('Model inputs'!B229="","",'Model inputs'!B229),IF('Model inputs'!B225="","",'Model inputs'!B225))))))</f>
        <v>0</v>
      </c>
      <c r="AA264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inputs'!AA230&lt;1))),0,IF(IF(IF(ISERROR('Model inputs'!AA230=1),'Model inputs'!AA230=1,IF('Model inputs'!AA230="","",'Model inputs'!AA230=1))="",FALSE,IF(ISERROR('Model inputs'!AA230=1),'Model inputs'!AA230=1,IF('Model inputs'!AA230="","",'Model inputs'!AA230=1))),IF('Model inputs'!B243="","",'Model inputs'!B243),'Model inputs'!Z264*(1+IF(IF(IF(IF(ISERROR('Model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inputs'!B229="","",'Model inputs'!B229),IF('Model inputs'!B225="","",'Model inputs'!B225))="",0,IF(IF(IF(ISERROR('Model inputs'!AA230&lt;=8),'Model inputs'!AA230&lt;=8,IF('Model inputs'!AA230="","",'Model inputs'!AA230&lt;=8))="",FALSE,IF(ISERROR('Model inputs'!AA230&lt;=8),'Model inputs'!AA230&lt;=8,IF('Model inputs'!AA230="","",'Model inputs'!AA230&lt;=8))),IF('Model inputs'!B229="","",'Model inputs'!B229),IF('Model inputs'!B225="","",'Model inputs'!B225))))))</f>
        <v>0</v>
      </c>
      <c r="AB264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inputs'!AB230&lt;1))),0,IF(IF(IF(ISERROR('Model inputs'!AB230=1),'Model inputs'!AB230=1,IF('Model inputs'!AB230="","",'Model inputs'!AB230=1))="",FALSE,IF(ISERROR('Model inputs'!AB230=1),'Model inputs'!AB230=1,IF('Model inputs'!AB230="","",'Model inputs'!AB230=1))),IF('Model inputs'!B243="","",'Model inputs'!B243),'Model inputs'!AA264*(1+IF(IF(IF(IF(ISERROR('Model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inputs'!B229="","",'Model inputs'!B229),IF('Model inputs'!B225="","",'Model inputs'!B225))="",0,IF(IF(IF(ISERROR('Model inputs'!AB230&lt;=8),'Model inputs'!AB230&lt;=8,IF('Model inputs'!AB230="","",'Model inputs'!AB230&lt;=8))="",FALSE,IF(ISERROR('Model inputs'!AB230&lt;=8),'Model inputs'!AB230&lt;=8,IF('Model inputs'!AB230="","",'Model inputs'!AB230&lt;=8))),IF('Model inputs'!B229="","",'Model inputs'!B229),IF('Model inputs'!B225="","",'Model inputs'!B225))))))</f>
        <v>0</v>
      </c>
      <c r="AC264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inputs'!AC230&lt;1))),0,IF(IF(IF(ISERROR('Model inputs'!AC230=1),'Model inputs'!AC230=1,IF('Model inputs'!AC230="","",'Model inputs'!AC230=1))="",FALSE,IF(ISERROR('Model inputs'!AC230=1),'Model inputs'!AC230=1,IF('Model inputs'!AC230="","",'Model inputs'!AC230=1))),IF('Model inputs'!B243="","",'Model inputs'!B243),'Model inputs'!AB264*(1+IF(IF(IF(IF(ISERROR('Model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inputs'!B229="","",'Model inputs'!B229),IF('Model inputs'!B225="","",'Model inputs'!B225))="",0,IF(IF(IF(ISERROR('Model inputs'!AC230&lt;=8),'Model inputs'!AC230&lt;=8,IF('Model inputs'!AC230="","",'Model inputs'!AC230&lt;=8))="",FALSE,IF(ISERROR('Model inputs'!AC230&lt;=8),'Model inputs'!AC230&lt;=8,IF('Model inputs'!AC230="","",'Model inputs'!AC230&lt;=8))),IF('Model inputs'!B229="","",'Model inputs'!B229),IF('Model inputs'!B225="","",'Model inputs'!B225))))))</f>
        <v>0</v>
      </c>
      <c r="AD264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inputs'!AD230&lt;1))),0,IF(IF(IF(ISERROR('Model inputs'!AD230=1),'Model inputs'!AD230=1,IF('Model inputs'!AD230="","",'Model inputs'!AD230=1))="",FALSE,IF(ISERROR('Model inputs'!AD230=1),'Model inputs'!AD230=1,IF('Model inputs'!AD230="","",'Model inputs'!AD230=1))),IF('Model inputs'!B243="","",'Model inputs'!B243),'Model inputs'!AC264*(1+IF(IF(IF(IF(ISERROR('Model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inputs'!B229="","",'Model inputs'!B229),IF('Model inputs'!B225="","",'Model inputs'!B225))="",0,IF(IF(IF(ISERROR('Model inputs'!AD230&lt;=8),'Model inputs'!AD230&lt;=8,IF('Model inputs'!AD230="","",'Model inputs'!AD230&lt;=8))="",FALSE,IF(ISERROR('Model inputs'!AD230&lt;=8),'Model inputs'!AD230&lt;=8,IF('Model inputs'!AD230="","",'Model inputs'!AD230&lt;=8))),IF('Model inputs'!B229="","",'Model inputs'!B229),IF('Model inputs'!B225="","",'Model inputs'!B225))))))</f>
        <v>0</v>
      </c>
      <c r="AE264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inputs'!AE230&lt;1))),0,IF(IF(IF(ISERROR('Model inputs'!AE230=1),'Model inputs'!AE230=1,IF('Model inputs'!AE230="","",'Model inputs'!AE230=1))="",FALSE,IF(ISERROR('Model inputs'!AE230=1),'Model inputs'!AE230=1,IF('Model inputs'!AE230="","",'Model inputs'!AE230=1))),IF('Model inputs'!B243="","",'Model inputs'!B243),'Model inputs'!AD264*(1+IF(IF(IF(IF(ISERROR('Model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inputs'!B229="","",'Model inputs'!B229),IF('Model inputs'!B225="","",'Model inputs'!B225))="",0,IF(IF(IF(ISERROR('Model inputs'!AE230&lt;=8),'Model inputs'!AE230&lt;=8,IF('Model inputs'!AE230="","",'Model inputs'!AE230&lt;=8))="",FALSE,IF(ISERROR('Model inputs'!AE230&lt;=8),'Model inputs'!AE230&lt;=8,IF('Model inputs'!AE230="","",'Model inputs'!AE230&lt;=8))),IF('Model inputs'!B229="","",'Model inputs'!B229),IF('Model inputs'!B225="","",'Model inputs'!B225))))))</f>
        <v>0</v>
      </c>
      <c r="AF264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inputs'!AF230&lt;1))),0,IF(IF(IF(ISERROR('Model inputs'!AF230=1),'Model inputs'!AF230=1,IF('Model inputs'!AF230="","",'Model inputs'!AF230=1))="",FALSE,IF(ISERROR('Model inputs'!AF230=1),'Model inputs'!AF230=1,IF('Model inputs'!AF230="","",'Model inputs'!AF230=1))),IF('Model inputs'!B243="","",'Model inputs'!B243),'Model inputs'!AE264*(1+IF(IF(IF(IF(ISERROR('Model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inputs'!B229="","",'Model inputs'!B229),IF('Model inputs'!B225="","",'Model inputs'!B225))="",0,IF(IF(IF(ISERROR('Model inputs'!AF230&lt;=8),'Model inputs'!AF230&lt;=8,IF('Model inputs'!AF230="","",'Model inputs'!AF230&lt;=8))="",FALSE,IF(ISERROR('Model inputs'!AF230&lt;=8),'Model inputs'!AF230&lt;=8,IF('Model inputs'!AF230="","",'Model inputs'!AF230&lt;=8))),IF('Model inputs'!B229="","",'Model inputs'!B229),IF('Model inputs'!B225="","",'Model inputs'!B225))))))</f>
        <v>0</v>
      </c>
      <c r="AG264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inputs'!AG230&lt;1))),0,IF(IF(IF(ISERROR('Model inputs'!AG230=1),'Model inputs'!AG230=1,IF('Model inputs'!AG230="","",'Model inputs'!AG230=1))="",FALSE,IF(ISERROR('Model inputs'!AG230=1),'Model inputs'!AG230=1,IF('Model inputs'!AG230="","",'Model inputs'!AG230=1))),IF('Model inputs'!B243="","",'Model inputs'!B243),'Model inputs'!AF264*(1+IF(IF(IF(IF(ISERROR('Model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inputs'!B229="","",'Model inputs'!B229),IF('Model inputs'!B225="","",'Model inputs'!B225))="",0,IF(IF(IF(ISERROR('Model inputs'!AG230&lt;=8),'Model inputs'!AG230&lt;=8,IF('Model inputs'!AG230="","",'Model inputs'!AG230&lt;=8))="",FALSE,IF(ISERROR('Model inputs'!AG230&lt;=8),'Model inputs'!AG230&lt;=8,IF('Model inputs'!AG230="","",'Model inputs'!AG230&lt;=8))),IF('Model inputs'!B229="","",'Model inputs'!B229),IF('Model inputs'!B225="","",'Model inputs'!B225))))))</f>
        <v>0</v>
      </c>
    </row>
    <row r="265">
      <c r="A265" t="inlineStr" s="16">
        <is>
          <t xml:space="preserve">Upgrades in</t>
        </is>
      </c>
      <c r="C265" s="19">
        <f>IF('Model inputs'!C191="","",'Model inputs'!C191)</f>
        <v>0</v>
      </c>
      <c r="D265" s="19">
        <f>IF('Model inputs'!D191="","",'Model inputs'!D191)</f>
        <v>0</v>
      </c>
      <c r="E265" s="19">
        <f>IF('Model inputs'!E191="","",'Model inputs'!E191)</f>
        <v>0</v>
      </c>
      <c r="F265" s="19">
        <f>IF('Model inputs'!F191="","",'Model inputs'!F191)</f>
        <v>0.2916666666666667</v>
      </c>
      <c r="G265" s="19">
        <f>IF('Model inputs'!G191="","",'Model inputs'!G191)</f>
        <v>0.5333125</v>
      </c>
      <c r="H265" s="19">
        <f>IF('Model inputs'!H191="","",'Model inputs'!H191)</f>
        <v>0.6948002488425927</v>
      </c>
      <c r="I265" s="19">
        <f>IF('Model inputs'!I191="","",'Model inputs'!I191)</f>
        <v>0.8623815489824461</v>
      </c>
      <c r="J265" s="19">
        <f>IF('Model inputs'!J191="","",'Model inputs'!J191)</f>
        <v>1.0370073007913894</v>
      </c>
      <c r="K265" s="19">
        <f>IF('Model inputs'!K191="","",'Model inputs'!K191)</f>
        <v>1.2196778790980267</v>
      </c>
      <c r="L265" s="19">
        <f>IF('Model inputs'!L191="","",'Model inputs'!L191)</f>
        <v>1.4114491758402756</v>
      </c>
      <c r="M265" s="19">
        <f>IF('Model inputs'!M191="","",'Model inputs'!M191)</f>
        <v>1.6134390223399573</v>
      </c>
      <c r="N265" s="19">
        <f>IF('Model inputs'!N191="","",'Model inputs'!N191)</f>
        <v>1.8268340318695697</v>
      </c>
      <c r="O265" s="19">
        <f>IF('Model inputs'!O191="","",'Model inputs'!O191)</f>
        <v>2.0400098731409044</v>
      </c>
      <c r="P265" s="19">
        <f>IF('Model inputs'!P191="","",'Model inputs'!P191)</f>
        <v>2.2535015079062166</v>
      </c>
      <c r="Q265" s="19">
        <f>IF('Model inputs'!Q191="","",'Model inputs'!Q191)</f>
        <v>2.467830412305536</v>
      </c>
      <c r="R265" s="19">
        <f>IF('Model inputs'!R191="","",'Model inputs'!R191)</f>
        <v>2.683506316427823</v>
      </c>
      <c r="S265" s="19">
        <f>IF('Model inputs'!S191="","",'Model inputs'!S191)</f>
        <v>2.9010288631150405</v>
      </c>
      <c r="T265" s="19">
        <f>IF('Model inputs'!T191="","",'Model inputs'!T191)</f>
        <v>3.12088919274707</v>
      </c>
      <c r="U265" s="19">
        <f>IF('Model inputs'!U191="","",'Model inputs'!U191)</f>
        <v>3.3435714603522264</v>
      </c>
      <c r="V265" s="19">
        <f>IF('Model inputs'!V191="","",'Model inputs'!V191)</f>
        <v>3.569554291023361</v>
      </c>
      <c r="W265" s="19">
        <f>SUM('Model inputs'!W266,'Model inputs'!W267,'Model inputs'!W268)</f>
        <v>0</v>
      </c>
      <c r="X265" s="19">
        <f>SUM('Model inputs'!X266,'Model inputs'!X267,'Model inputs'!X268)</f>
        <v>0</v>
      </c>
      <c r="Y265" s="19">
        <f>SUM('Model inputs'!Y266,'Model inputs'!Y267,'Model inputs'!Y268)</f>
        <v>0</v>
      </c>
      <c r="Z265" s="19">
        <f>SUM('Model inputs'!Z266,'Model inputs'!Z267,'Model inputs'!Z268)</f>
        <v>0</v>
      </c>
      <c r="AA265" s="19">
        <f>SUM('Model inputs'!AA266,'Model inputs'!AA267,'Model inputs'!AA268)</f>
        <v>0</v>
      </c>
      <c r="AB265" s="19">
        <f>SUM('Model inputs'!AB266,'Model inputs'!AB267,'Model inputs'!AB268)</f>
        <v>0</v>
      </c>
      <c r="AC265" s="19">
        <f>SUM('Model inputs'!AC266,'Model inputs'!AC267,'Model inputs'!AC268)</f>
        <v>0</v>
      </c>
      <c r="AD265" s="19">
        <f>SUM('Model inputs'!AD266,'Model inputs'!AD267,'Model inputs'!AD268)</f>
        <v>0</v>
      </c>
      <c r="AE265" s="19">
        <f>SUM('Model inputs'!AE266,'Model inputs'!AE267,'Model inputs'!AE268)</f>
        <v>0</v>
      </c>
      <c r="AF265" s="19">
        <f>SUM('Model inputs'!AF266,'Model inputs'!AF267,'Model inputs'!AF268)</f>
        <v>0</v>
      </c>
      <c r="AG265" s="19">
        <f>SUM('Model inputs'!AG266,'Model inputs'!AG267,'Model inputs'!AG268)</f>
        <v>0</v>
      </c>
    </row>
    <row r="266" outlineLevel="1">
      <c r="A266" t="inlineStr" s="18">
        <is>
          <t xml:space="preserve">Upgrades in &gt; Indie</t>
        </is>
      </c>
      <c r="C266" s="13">
        <f>IF('Model inputs'!C192="","",'Model inputs'!C192)</f>
        <v>0</v>
      </c>
      <c r="D266" s="13">
        <f>IF('Model inputs'!D192="","",'Model inputs'!D192)</f>
        <v>0</v>
      </c>
      <c r="E266" s="13">
        <f>IF('Model inputs'!E192="","",'Model inputs'!E192)</f>
        <v>0</v>
      </c>
      <c r="F266" s="13">
        <f>IF('Model inputs'!F192="","",'Model inputs'!F192)</f>
        <v>0</v>
      </c>
      <c r="G266" s="13">
        <f>IF('Model inputs'!G192="","",'Model inputs'!G192)</f>
        <v>0</v>
      </c>
      <c r="H266" s="13">
        <f>IF('Model inputs'!H192="","",'Model inputs'!H192)</f>
        <v>0</v>
      </c>
      <c r="I266" s="13">
        <f>IF('Model inputs'!I192="","",'Model inputs'!I192)</f>
        <v>0</v>
      </c>
      <c r="J266" s="13">
        <f>IF('Model inputs'!J192="","",'Model inputs'!J192)</f>
        <v>0</v>
      </c>
      <c r="K266" s="13">
        <f>IF('Model inputs'!K192="","",'Model inputs'!K192)</f>
        <v>0</v>
      </c>
      <c r="L266" s="13">
        <f>IF('Model inputs'!L192="","",'Model inputs'!L192)</f>
        <v>0</v>
      </c>
      <c r="M266" s="13">
        <f>IF('Model inputs'!M192="","",'Model inputs'!M192)</f>
        <v>0</v>
      </c>
      <c r="N266" s="13">
        <f>IF('Model inputs'!N192="","",'Model inputs'!N192)</f>
        <v>0</v>
      </c>
      <c r="O266" s="13">
        <f>IF('Model inputs'!O192="","",'Model inputs'!O192)</f>
        <v>0</v>
      </c>
      <c r="P266" s="13">
        <f>IF('Model inputs'!P192="","",'Model inputs'!P192)</f>
        <v>0</v>
      </c>
      <c r="Q266" s="13">
        <f>IF('Model inputs'!Q192="","",'Model inputs'!Q192)</f>
        <v>0</v>
      </c>
      <c r="R266" s="13">
        <f>IF('Model inputs'!R192="","",'Model inputs'!R192)</f>
        <v>0</v>
      </c>
      <c r="S266" s="13">
        <f>IF('Model inputs'!S192="","",'Model inputs'!S192)</f>
        <v>0</v>
      </c>
      <c r="T266" s="13">
        <f>IF('Model inputs'!T192="","",'Model inputs'!T192)</f>
        <v>0</v>
      </c>
      <c r="U266" s="13">
        <f>IF('Model inputs'!U192="","",'Model inputs'!U192)</f>
        <v>0</v>
      </c>
      <c r="V266" s="13">
        <f>IF('Model inputs'!V192="","",'Model inputs'!V192)</f>
        <v>0</v>
      </c>
      <c r="W266" s="13">
        <f>IF(EXACT("Indie","Team"),IF('Model inputs'!W270="","",'Model inputs'!W270),IF(EXACT("Indie","Launch"),IF('Model inputs'!W272="","",'Model inputs'!W272),0))</f>
        <v>0</v>
      </c>
      <c r="X266" s="13">
        <f>IF(EXACT("Indie","Team"),IF('Model inputs'!X270="","",'Model inputs'!X270),IF(EXACT("Indie","Launch"),IF('Model inputs'!X272="","",'Model inputs'!X272),0))</f>
        <v>0</v>
      </c>
      <c r="Y266" s="13">
        <f>IF(EXACT("Indie","Team"),IF('Model inputs'!Y270="","",'Model inputs'!Y270),IF(EXACT("Indie","Launch"),IF('Model inputs'!Y272="","",'Model inputs'!Y272),0))</f>
        <v>0</v>
      </c>
      <c r="Z266" s="13">
        <f>IF(EXACT("Indie","Team"),IF('Model inputs'!Z270="","",'Model inputs'!Z270),IF(EXACT("Indie","Launch"),IF('Model inputs'!Z272="","",'Model inputs'!Z272),0))</f>
        <v>0</v>
      </c>
      <c r="AA266" s="13">
        <f>IF(EXACT("Indie","Team"),IF('Model inputs'!AA270="","",'Model inputs'!AA270),IF(EXACT("Indie","Launch"),IF('Model inputs'!AA272="","",'Model inputs'!AA272),0))</f>
        <v>0</v>
      </c>
      <c r="AB266" s="13">
        <f>IF(EXACT("Indie","Team"),IF('Model inputs'!AB270="","",'Model inputs'!AB270),IF(EXACT("Indie","Launch"),IF('Model inputs'!AB272="","",'Model inputs'!AB272),0))</f>
        <v>0</v>
      </c>
      <c r="AC266" s="13">
        <f>IF(EXACT("Indie","Team"),IF('Model inputs'!AC270="","",'Model inputs'!AC270),IF(EXACT("Indie","Launch"),IF('Model inputs'!AC272="","",'Model inputs'!AC272),0))</f>
        <v>0</v>
      </c>
      <c r="AD266" s="13">
        <f>IF(EXACT("Indie","Team"),IF('Model inputs'!AD270="","",'Model inputs'!AD270),IF(EXACT("Indie","Launch"),IF('Model inputs'!AD272="","",'Model inputs'!AD272),0))</f>
        <v>0</v>
      </c>
      <c r="AE266" s="13">
        <f>IF(EXACT("Indie","Team"),IF('Model inputs'!AE270="","",'Model inputs'!AE270),IF(EXACT("Indie","Launch"),IF('Model inputs'!AE272="","",'Model inputs'!AE272),0))</f>
        <v>0</v>
      </c>
      <c r="AF266" s="13">
        <f>IF(EXACT("Indie","Team"),IF('Model inputs'!AF270="","",'Model inputs'!AF270),IF(EXACT("Indie","Launch"),IF('Model inputs'!AF272="","",'Model inputs'!AF272),0))</f>
        <v>0</v>
      </c>
      <c r="AG266" s="13">
        <f>IF(EXACT("Indie","Team"),IF('Model inputs'!AG270="","",'Model inputs'!AG270),IF(EXACT("Indie","Launch"),IF('Model inputs'!AG272="","",'Model inputs'!AG272),0))</f>
        <v>0</v>
      </c>
    </row>
    <row r="267" outlineLevel="1">
      <c r="A267" t="inlineStr" s="18">
        <is>
          <t xml:space="preserve">Upgrades in &gt; Launch</t>
        </is>
      </c>
      <c r="C267" s="13">
        <f>IF('Model inputs'!C193="","",'Model inputs'!C193)</f>
        <v>0</v>
      </c>
      <c r="D267" s="13">
        <f>IF('Model inputs'!D193="","",'Model inputs'!D193)</f>
        <v>0</v>
      </c>
      <c r="E267" s="13">
        <f>IF('Model inputs'!E193="","",'Model inputs'!E193)</f>
        <v>0</v>
      </c>
      <c r="F267" s="13">
        <f>IF('Model inputs'!F193="","",'Model inputs'!F193)</f>
        <v>0.025</v>
      </c>
      <c r="G267" s="13">
        <f>IF('Model inputs'!G193="","",'Model inputs'!G193)</f>
        <v>0.03775694444444445</v>
      </c>
      <c r="H267" s="13">
        <f>IF('Model inputs'!H193="","",'Model inputs'!H193)</f>
        <v>0.05228173032407408</v>
      </c>
      <c r="I267" s="13">
        <f>IF('Model inputs'!I193="","",'Model inputs'!I193)</f>
        <v>0.06829759836516204</v>
      </c>
      <c r="J267" s="13">
        <f>IF('Model inputs'!J193="","",'Model inputs'!J193)</f>
        <v>0.08591028021525769</v>
      </c>
      <c r="K267" s="13">
        <f>IF('Model inputs'!K193="","",'Model inputs'!K193)</f>
        <v>0.10523916656030362</v>
      </c>
      <c r="L267" s="13">
        <f>IF('Model inputs'!L193="","",'Model inputs'!L193)</f>
        <v>0.12641836467173376</v>
      </c>
      <c r="M267" s="13">
        <f>IF('Model inputs'!M193="","",'Model inputs'!M193)</f>
        <v>0.1495978780919851</v>
      </c>
      <c r="N267" s="13">
        <f>IF('Model inputs'!N193="","",'Model inputs'!N193)</f>
        <v>0.17494491910820884</v>
      </c>
      <c r="O267" s="13">
        <f>IF('Model inputs'!O193="","",'Model inputs'!O193)</f>
        <v>0.20118382797518408</v>
      </c>
      <c r="P267" s="13">
        <f>IF('Model inputs'!P193="","",'Model inputs'!P193)</f>
        <v>0.22831847756622248</v>
      </c>
      <c r="Q267" s="13">
        <f>IF('Model inputs'!Q193="","",'Model inputs'!Q193)</f>
        <v>0.2563563802754732</v>
      </c>
      <c r="R267" s="13">
        <f>IF('Model inputs'!R193="","",'Model inputs'!R193)</f>
        <v>0.28530855467185373</v>
      </c>
      <c r="S267" s="13">
        <f>IF('Model inputs'!S193="","",'Model inputs'!S193)</f>
        <v>0.3151894070071091</v>
      </c>
      <c r="T267" s="13">
        <f>IF('Model inputs'!T193="","",'Model inputs'!T193)</f>
        <v>0.34601662677187894</v>
      </c>
      <c r="U267" s="13">
        <f>IF('Model inputs'!U193="","",'Model inputs'!U193)</f>
        <v>0.3778110955566152</v>
      </c>
      <c r="V267" s="13">
        <f>IF('Model inputs'!V193="","",'Model inputs'!V193)</f>
        <v>0.41059680853327324</v>
      </c>
      <c r="W267" s="13">
        <f>IF(EXACT("Launch","Team"),IF('Model inputs'!W270="","",'Model inputs'!W270),IF(EXACT("Launch","Launch"),IF('Model inputs'!W272="","",'Model inputs'!W272),0))</f>
        <v>0</v>
      </c>
      <c r="X267" s="13">
        <f>IF(EXACT("Launch","Team"),IF('Model inputs'!X270="","",'Model inputs'!X270),IF(EXACT("Launch","Launch"),IF('Model inputs'!X272="","",'Model inputs'!X272),0))</f>
        <v>0</v>
      </c>
      <c r="Y267" s="13">
        <f>IF(EXACT("Launch","Team"),IF('Model inputs'!Y270="","",'Model inputs'!Y270),IF(EXACT("Launch","Launch"),IF('Model inputs'!Y272="","",'Model inputs'!Y272),0))</f>
        <v>0</v>
      </c>
      <c r="Z267" s="13">
        <f>IF(EXACT("Launch","Team"),IF('Model inputs'!Z270="","",'Model inputs'!Z270),IF(EXACT("Launch","Launch"),IF('Model inputs'!Z272="","",'Model inputs'!Z272),0))</f>
        <v>0</v>
      </c>
      <c r="AA267" s="13">
        <f>IF(EXACT("Launch","Team"),IF('Model inputs'!AA270="","",'Model inputs'!AA270),IF(EXACT("Launch","Launch"),IF('Model inputs'!AA272="","",'Model inputs'!AA272),0))</f>
        <v>0</v>
      </c>
      <c r="AB267" s="13">
        <f>IF(EXACT("Launch","Team"),IF('Model inputs'!AB270="","",'Model inputs'!AB270),IF(EXACT("Launch","Launch"),IF('Model inputs'!AB272="","",'Model inputs'!AB272),0))</f>
        <v>0</v>
      </c>
      <c r="AC267" s="13">
        <f>IF(EXACT("Launch","Team"),IF('Model inputs'!AC270="","",'Model inputs'!AC270),IF(EXACT("Launch","Launch"),IF('Model inputs'!AC272="","",'Model inputs'!AC272),0))</f>
        <v>0</v>
      </c>
      <c r="AD267" s="13">
        <f>IF(EXACT("Launch","Team"),IF('Model inputs'!AD270="","",'Model inputs'!AD270),IF(EXACT("Launch","Launch"),IF('Model inputs'!AD272="","",'Model inputs'!AD272),0))</f>
        <v>0</v>
      </c>
      <c r="AE267" s="13">
        <f>IF(EXACT("Launch","Team"),IF('Model inputs'!AE270="","",'Model inputs'!AE270),IF(EXACT("Launch","Launch"),IF('Model inputs'!AE272="","",'Model inputs'!AE272),0))</f>
        <v>0</v>
      </c>
      <c r="AF267" s="13">
        <f>IF(EXACT("Launch","Team"),IF('Model inputs'!AF270="","",'Model inputs'!AF270),IF(EXACT("Launch","Launch"),IF('Model inputs'!AF272="","",'Model inputs'!AF272),0))</f>
        <v>0</v>
      </c>
      <c r="AG267" s="13">
        <f>IF(EXACT("Launch","Team"),IF('Model inputs'!AG270="","",'Model inputs'!AG270),IF(EXACT("Launch","Launch"),IF('Model inputs'!AG272="","",'Model inputs'!AG272),0))</f>
        <v>0</v>
      </c>
    </row>
    <row r="268" outlineLevel="1">
      <c r="A268" t="inlineStr" s="18">
        <is>
          <t xml:space="preserve">Upgrades in &gt; Team</t>
        </is>
      </c>
      <c r="C268" s="13">
        <f>IF('Model inputs'!C194="","",'Model inputs'!C194)</f>
        <v>0</v>
      </c>
      <c r="D268" s="13">
        <f>IF('Model inputs'!D194="","",'Model inputs'!D194)</f>
        <v>0</v>
      </c>
      <c r="E268" s="13">
        <f>IF('Model inputs'!E194="","",'Model inputs'!E194)</f>
        <v>0</v>
      </c>
      <c r="F268" s="13">
        <f>IF('Model inputs'!F194="","",'Model inputs'!F194)</f>
        <v>0.26666666666666666</v>
      </c>
      <c r="G268" s="13">
        <f>IF('Model inputs'!G194="","",'Model inputs'!G194)</f>
        <v>0.4955555555555555</v>
      </c>
      <c r="H268" s="13">
        <f>IF('Model inputs'!H194="","",'Model inputs'!H194)</f>
        <v>0.6425185185185186</v>
      </c>
      <c r="I268" s="13">
        <f>IF('Model inputs'!I194="","",'Model inputs'!I194)</f>
        <v>0.7940839506172841</v>
      </c>
      <c r="J268" s="13">
        <f>IF('Model inputs'!J194="","",'Model inputs'!J194)</f>
        <v>0.9510970205761318</v>
      </c>
      <c r="K268" s="13">
        <f>IF('Model inputs'!K194="","",'Model inputs'!K194)</f>
        <v>1.114438712537723</v>
      </c>
      <c r="L268" s="13">
        <f>IF('Model inputs'!L194="","",'Model inputs'!L194)</f>
        <v>1.2850308111685418</v>
      </c>
      <c r="M268" s="13">
        <f>IF('Model inputs'!M194="","",'Model inputs'!M194)</f>
        <v>1.4638411442479722</v>
      </c>
      <c r="N268" s="13">
        <f>IF('Model inputs'!N194="","",'Model inputs'!N194)</f>
        <v>1.6518891127613609</v>
      </c>
      <c r="O268" s="13">
        <f>IF('Model inputs'!O194="","",'Model inputs'!O194)</f>
        <v>1.8388260451657203</v>
      </c>
      <c r="P268" s="13">
        <f>IF('Model inputs'!P194="","",'Model inputs'!P194)</f>
        <v>2.0251830303399943</v>
      </c>
      <c r="Q268" s="13">
        <f>IF('Model inputs'!Q194="","",'Model inputs'!Q194)</f>
        <v>2.211474032030063</v>
      </c>
      <c r="R268" s="13">
        <f>IF('Model inputs'!R194="","",'Model inputs'!R194)</f>
        <v>2.398197761755969</v>
      </c>
      <c r="S268" s="13">
        <f>IF('Model inputs'!S194="","",'Model inputs'!S194)</f>
        <v>2.5858394561079314</v>
      </c>
      <c r="T268" s="13">
        <f>IF('Model inputs'!T194="","",'Model inputs'!T194)</f>
        <v>2.774872565975191</v>
      </c>
      <c r="U268" s="13">
        <f>IF('Model inputs'!U194="","",'Model inputs'!U194)</f>
        <v>2.9657603647956114</v>
      </c>
      <c r="V268" s="13">
        <f>IF('Model inputs'!V194="","",'Model inputs'!V194)</f>
        <v>3.158957482490088</v>
      </c>
      <c r="W268" s="13">
        <f>IF(EXACT("Team","Team"),IF('Model inputs'!W270="","",'Model inputs'!W270),IF(EXACT("Team","Launch"),IF('Model inputs'!W272="","",'Model inputs'!W272),0))</f>
        <v>0</v>
      </c>
      <c r="X268" s="13">
        <f>IF(EXACT("Team","Team"),IF('Model inputs'!X270="","",'Model inputs'!X270),IF(EXACT("Team","Launch"),IF('Model inputs'!X272="","",'Model inputs'!X272),0))</f>
        <v>0</v>
      </c>
      <c r="Y268" s="13">
        <f>IF(EXACT("Team","Team"),IF('Model inputs'!Y270="","",'Model inputs'!Y270),IF(EXACT("Team","Launch"),IF('Model inputs'!Y272="","",'Model inputs'!Y272),0))</f>
        <v>0</v>
      </c>
      <c r="Z268" s="13">
        <f>IF(EXACT("Team","Team"),IF('Model inputs'!Z270="","",'Model inputs'!Z270),IF(EXACT("Team","Launch"),IF('Model inputs'!Z272="","",'Model inputs'!Z272),0))</f>
        <v>0</v>
      </c>
      <c r="AA268" s="13">
        <f>IF(EXACT("Team","Team"),IF('Model inputs'!AA270="","",'Model inputs'!AA270),IF(EXACT("Team","Launch"),IF('Model inputs'!AA272="","",'Model inputs'!AA272),0))</f>
        <v>0</v>
      </c>
      <c r="AB268" s="13">
        <f>IF(EXACT("Team","Team"),IF('Model inputs'!AB270="","",'Model inputs'!AB270),IF(EXACT("Team","Launch"),IF('Model inputs'!AB272="","",'Model inputs'!AB272),0))</f>
        <v>0</v>
      </c>
      <c r="AC268" s="13">
        <f>IF(EXACT("Team","Team"),IF('Model inputs'!AC270="","",'Model inputs'!AC270),IF(EXACT("Team","Launch"),IF('Model inputs'!AC272="","",'Model inputs'!AC272),0))</f>
        <v>0</v>
      </c>
      <c r="AD268" s="13">
        <f>IF(EXACT("Team","Team"),IF('Model inputs'!AD270="","",'Model inputs'!AD270),IF(EXACT("Team","Launch"),IF('Model inputs'!AD272="","",'Model inputs'!AD272),0))</f>
        <v>0</v>
      </c>
      <c r="AE268" s="13">
        <f>IF(EXACT("Team","Team"),IF('Model inputs'!AE270="","",'Model inputs'!AE270),IF(EXACT("Team","Launch"),IF('Model inputs'!AE272="","",'Model inputs'!AE272),0))</f>
        <v>0</v>
      </c>
      <c r="AF268" s="13">
        <f>IF(EXACT("Team","Team"),IF('Model inputs'!AF270="","",'Model inputs'!AF270),IF(EXACT("Team","Launch"),IF('Model inputs'!AF272="","",'Model inputs'!AF272),0))</f>
        <v>0</v>
      </c>
      <c r="AG268" s="13">
        <f>IF(EXACT("Team","Team"),IF('Model inputs'!AG270="","",'Model inputs'!AG270),IF(EXACT("Team","Launch"),IF('Model inputs'!AG272="","",'Model inputs'!AG272),0))</f>
        <v>0</v>
      </c>
    </row>
    <row r="269">
      <c r="A269" t="inlineStr" s="16">
        <is>
          <t xml:space="preserve">Upgrades out</t>
        </is>
      </c>
      <c r="C269" s="19">
        <f>IF('Model inputs'!C195="","",'Model inputs'!C195)</f>
        <v>0</v>
      </c>
      <c r="D269" s="19">
        <f>IF('Model inputs'!D195="","",'Model inputs'!D195)</f>
        <v>0</v>
      </c>
      <c r="E269" s="19">
        <f>IF('Model inputs'!E195="","",'Model inputs'!E195)</f>
        <v>0</v>
      </c>
      <c r="F269" s="19">
        <f>IF('Model inputs'!F195="","",'Model inputs'!F195)</f>
        <v>0.2916666666666667</v>
      </c>
      <c r="G269" s="19">
        <f>IF('Model inputs'!G195="","",'Model inputs'!G195)</f>
        <v>0.5333125</v>
      </c>
      <c r="H269" s="19">
        <f>IF('Model inputs'!H195="","",'Model inputs'!H195)</f>
        <v>0.6948002488425927</v>
      </c>
      <c r="I269" s="19">
        <f>IF('Model inputs'!I195="","",'Model inputs'!I195)</f>
        <v>0.8623815489824461</v>
      </c>
      <c r="J269" s="19">
        <f>IF('Model inputs'!J195="","",'Model inputs'!J195)</f>
        <v>1.0370073007913894</v>
      </c>
      <c r="K269" s="19">
        <f>IF('Model inputs'!K195="","",'Model inputs'!K195)</f>
        <v>1.2196778790980267</v>
      </c>
      <c r="L269" s="19">
        <f>IF('Model inputs'!L195="","",'Model inputs'!L195)</f>
        <v>1.4114491758402756</v>
      </c>
      <c r="M269" s="19">
        <f>IF('Model inputs'!M195="","",'Model inputs'!M195)</f>
        <v>1.6134390223399573</v>
      </c>
      <c r="N269" s="19">
        <f>IF('Model inputs'!N195="","",'Model inputs'!N195)</f>
        <v>1.8268340318695697</v>
      </c>
      <c r="O269" s="19">
        <f>IF('Model inputs'!O195="","",'Model inputs'!O195)</f>
        <v>2.0400098731409044</v>
      </c>
      <c r="P269" s="19">
        <f>IF('Model inputs'!P195="","",'Model inputs'!P195)</f>
        <v>2.2535015079062166</v>
      </c>
      <c r="Q269" s="19">
        <f>IF('Model inputs'!Q195="","",'Model inputs'!Q195)</f>
        <v>2.467830412305536</v>
      </c>
      <c r="R269" s="19">
        <f>IF('Model inputs'!R195="","",'Model inputs'!R195)</f>
        <v>2.683506316427823</v>
      </c>
      <c r="S269" s="19">
        <f>IF('Model inputs'!S195="","",'Model inputs'!S195)</f>
        <v>2.9010288631150405</v>
      </c>
      <c r="T269" s="19">
        <f>IF('Model inputs'!T195="","",'Model inputs'!T195)</f>
        <v>3.12088919274707</v>
      </c>
      <c r="U269" s="19">
        <f>IF('Model inputs'!U195="","",'Model inputs'!U195)</f>
        <v>3.3435714603522264</v>
      </c>
      <c r="V269" s="19">
        <f>IF('Model inputs'!V195="","",'Model inputs'!V195)</f>
        <v>3.569554291023361</v>
      </c>
      <c r="W269" s="19">
        <f>SUM('Model inputs'!W270,'Model inputs'!W271,'Model inputs'!W272)</f>
        <v>0</v>
      </c>
      <c r="X269" s="19">
        <f>SUM('Model inputs'!X270,'Model inputs'!X271,'Model inputs'!X272)</f>
        <v>0</v>
      </c>
      <c r="Y269" s="19">
        <f>SUM('Model inputs'!Y270,'Model inputs'!Y271,'Model inputs'!Y272)</f>
        <v>0</v>
      </c>
      <c r="Z269" s="19">
        <f>SUM('Model inputs'!Z270,'Model inputs'!Z271,'Model inputs'!Z272)</f>
        <v>0</v>
      </c>
      <c r="AA269" s="19">
        <f>SUM('Model inputs'!AA270,'Model inputs'!AA271,'Model inputs'!AA272)</f>
        <v>0</v>
      </c>
      <c r="AB269" s="19">
        <f>SUM('Model inputs'!AB270,'Model inputs'!AB271,'Model inputs'!AB272)</f>
        <v>0</v>
      </c>
      <c r="AC269" s="19">
        <f>SUM('Model inputs'!AC270,'Model inputs'!AC271,'Model inputs'!AC272)</f>
        <v>0</v>
      </c>
      <c r="AD269" s="19">
        <f>SUM('Model inputs'!AD270,'Model inputs'!AD271,'Model inputs'!AD272)</f>
        <v>0</v>
      </c>
      <c r="AE269" s="19">
        <f>SUM('Model inputs'!AE270,'Model inputs'!AE271,'Model inputs'!AE272)</f>
        <v>0</v>
      </c>
      <c r="AF269" s="19">
        <f>SUM('Model inputs'!AF270,'Model inputs'!AF271,'Model inputs'!AF272)</f>
        <v>0</v>
      </c>
      <c r="AG269" s="19">
        <f>SUM('Model inputs'!AG270,'Model inputs'!AG271,'Model inputs'!AG272)</f>
        <v>0</v>
      </c>
    </row>
    <row r="270" outlineLevel="1">
      <c r="A270" t="inlineStr" s="18">
        <is>
          <t xml:space="preserve">Upgrades out &gt; Indie</t>
        </is>
      </c>
      <c r="C270" s="13">
        <f>IF('Model inputs'!C196="","",'Model inputs'!C196)</f>
        <v>0</v>
      </c>
      <c r="D270" s="13">
        <f>IF('Model inputs'!D196="","",'Model inputs'!D196)</f>
        <v>0</v>
      </c>
      <c r="E270" s="13">
        <f>IF('Model inputs'!E196="","",'Model inputs'!E196)</f>
        <v>0</v>
      </c>
      <c r="F270" s="13">
        <f>IF('Model inputs'!F196="","",'Model inputs'!F196)</f>
        <v>0.26666666666666666</v>
      </c>
      <c r="G270" s="13">
        <f>IF('Model inputs'!G196="","",'Model inputs'!G196)</f>
        <v>0.4955555555555555</v>
      </c>
      <c r="H270" s="13">
        <f>IF('Model inputs'!H196="","",'Model inputs'!H196)</f>
        <v>0.6425185185185186</v>
      </c>
      <c r="I270" s="13">
        <f>IF('Model inputs'!I196="","",'Model inputs'!I196)</f>
        <v>0.7940839506172841</v>
      </c>
      <c r="J270" s="13">
        <f>IF('Model inputs'!J196="","",'Model inputs'!J196)</f>
        <v>0.9510970205761318</v>
      </c>
      <c r="K270" s="13">
        <f>IF('Model inputs'!K196="","",'Model inputs'!K196)</f>
        <v>1.114438712537723</v>
      </c>
      <c r="L270" s="13">
        <f>IF('Model inputs'!L196="","",'Model inputs'!L196)</f>
        <v>1.2850308111685418</v>
      </c>
      <c r="M270" s="13">
        <f>IF('Model inputs'!M196="","",'Model inputs'!M196)</f>
        <v>1.4638411442479722</v>
      </c>
      <c r="N270" s="13">
        <f>IF('Model inputs'!N196="","",'Model inputs'!N196)</f>
        <v>1.6518891127613609</v>
      </c>
      <c r="O270" s="13">
        <f>IF('Model inputs'!O196="","",'Model inputs'!O196)</f>
        <v>1.8388260451657203</v>
      </c>
      <c r="P270" s="13">
        <f>IF('Model inputs'!P196="","",'Model inputs'!P196)</f>
        <v>2.0251830303399943</v>
      </c>
      <c r="Q270" s="13">
        <f>IF('Model inputs'!Q196="","",'Model inputs'!Q196)</f>
        <v>2.211474032030063</v>
      </c>
      <c r="R270" s="13">
        <f>IF('Model inputs'!R196="","",'Model inputs'!R196)</f>
        <v>2.398197761755969</v>
      </c>
      <c r="S270" s="13">
        <f>IF('Model inputs'!S196="","",'Model inputs'!S196)</f>
        <v>2.5858394561079314</v>
      </c>
      <c r="T270" s="13">
        <f>IF('Model inputs'!T196="","",'Model inputs'!T196)</f>
        <v>2.774872565975191</v>
      </c>
      <c r="U270" s="13">
        <f>IF('Model inputs'!U196="","",'Model inputs'!U196)</f>
        <v>2.9657603647956114</v>
      </c>
      <c r="V270" s="13">
        <f>IF('Model inputs'!V196="","",'Model inputs'!V196)</f>
        <v>3.158957482490088</v>
      </c>
      <c r="W270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inputs'!W258="",0,'Model inputs'!W258)*'Model inputs'!B208/12)</f>
        <v>0</v>
      </c>
      <c r="X270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inputs'!X258*'Model inputs'!B208/12)</f>
        <v>0</v>
      </c>
      <c r="Y270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inputs'!Y258*'Model inputs'!B208/12)</f>
        <v>0</v>
      </c>
      <c r="Z270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inputs'!Z258*'Model inputs'!B208/12)</f>
        <v>0</v>
      </c>
      <c r="AA270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inputs'!AA258*'Model inputs'!B208/12)</f>
        <v>0</v>
      </c>
      <c r="AB270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inputs'!AB258*'Model inputs'!B208/12)</f>
        <v>0</v>
      </c>
      <c r="AC270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inputs'!AC258*'Model inputs'!B208/12)</f>
        <v>0</v>
      </c>
      <c r="AD270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inputs'!AD258*'Model inputs'!B208/12)</f>
        <v>0</v>
      </c>
      <c r="AE270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inputs'!AE258*'Model inputs'!B208/12)</f>
        <v>0</v>
      </c>
      <c r="AF270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inputs'!AF258*'Model inputs'!B208/12)</f>
        <v>0</v>
      </c>
      <c r="AG270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inputs'!AG258*'Model inputs'!B208/12)</f>
        <v>0</v>
      </c>
    </row>
    <row r="271" outlineLevel="1">
      <c r="A271" t="inlineStr" s="18">
        <is>
          <t xml:space="preserve">Upgrades out &gt; Launch</t>
        </is>
      </c>
      <c r="C271" s="13">
        <f>IF('Model inputs'!C197="","",'Model inputs'!C197)</f>
        <v>0</v>
      </c>
      <c r="D271" s="13">
        <f>IF('Model inputs'!D197="","",'Model inputs'!D197)</f>
        <v>0</v>
      </c>
      <c r="E271" s="13">
        <f>IF('Model inputs'!E197="","",'Model inputs'!E197)</f>
        <v>0</v>
      </c>
      <c r="F271" s="13">
        <f>IF('Model inputs'!F197="","",'Model inputs'!F197)</f>
        <v>0</v>
      </c>
      <c r="G271" s="13">
        <f>IF('Model inputs'!G197="","",'Model inputs'!G197)</f>
        <v>0</v>
      </c>
      <c r="H271" s="13">
        <f>IF('Model inputs'!H197="","",'Model inputs'!H197)</f>
        <v>0</v>
      </c>
      <c r="I271" s="13">
        <f>IF('Model inputs'!I197="","",'Model inputs'!I197)</f>
        <v>0</v>
      </c>
      <c r="J271" s="13">
        <f>IF('Model inputs'!J197="","",'Model inputs'!J197)</f>
        <v>0</v>
      </c>
      <c r="K271" s="13">
        <f>IF('Model inputs'!K197="","",'Model inputs'!K197)</f>
        <v>0</v>
      </c>
      <c r="L271" s="13">
        <f>IF('Model inputs'!L197="","",'Model inputs'!L197)</f>
        <v>0</v>
      </c>
      <c r="M271" s="13">
        <f>IF('Model inputs'!M197="","",'Model inputs'!M197)</f>
        <v>0</v>
      </c>
      <c r="N271" s="13">
        <f>IF('Model inputs'!N197="","",'Model inputs'!N197)</f>
        <v>0</v>
      </c>
      <c r="O271" s="13">
        <f>IF('Model inputs'!O197="","",'Model inputs'!O197)</f>
        <v>0</v>
      </c>
      <c r="P271" s="13">
        <f>IF('Model inputs'!P197="","",'Model inputs'!P197)</f>
        <v>0</v>
      </c>
      <c r="Q271" s="13">
        <f>IF('Model inputs'!Q197="","",'Model inputs'!Q197)</f>
        <v>0</v>
      </c>
      <c r="R271" s="13">
        <f>IF('Model inputs'!R197="","",'Model inputs'!R197)</f>
        <v>0</v>
      </c>
      <c r="S271" s="13">
        <f>IF('Model inputs'!S197="","",'Model inputs'!S197)</f>
        <v>0</v>
      </c>
      <c r="T271" s="13">
        <f>IF('Model inputs'!T197="","",'Model inputs'!T197)</f>
        <v>0</v>
      </c>
      <c r="U271" s="13">
        <f>IF('Model inputs'!U197="","",'Model inputs'!U197)</f>
        <v>0</v>
      </c>
      <c r="V271" s="13">
        <f>IF('Model inputs'!V197="","",'Model inputs'!V197)</f>
        <v>0</v>
      </c>
      <c r="W271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inputs'!W259="",0,'Model inputs'!W259)*'Model inputs'!B209/12)</f>
        <v>0</v>
      </c>
      <c r="X271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inputs'!X259*'Model inputs'!B209/12)</f>
        <v>0</v>
      </c>
      <c r="Y271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inputs'!Y259*'Model inputs'!B209/12)</f>
        <v>0</v>
      </c>
      <c r="Z271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inputs'!Z259*'Model inputs'!B209/12)</f>
        <v>0</v>
      </c>
      <c r="AA271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inputs'!AA259*'Model inputs'!B209/12)</f>
        <v>0</v>
      </c>
      <c r="AB271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inputs'!AB259*'Model inputs'!B209/12)</f>
        <v>0</v>
      </c>
      <c r="AC271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inputs'!AC259*'Model inputs'!B209/12)</f>
        <v>0</v>
      </c>
      <c r="AD271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inputs'!AD259*'Model inputs'!B209/12)</f>
        <v>0</v>
      </c>
      <c r="AE271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inputs'!AE259*'Model inputs'!B209/12)</f>
        <v>0</v>
      </c>
      <c r="AF271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inputs'!AF259*'Model inputs'!B209/12)</f>
        <v>0</v>
      </c>
      <c r="AG271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inputs'!AG259*'Model inputs'!B209/12)</f>
        <v>0</v>
      </c>
    </row>
    <row r="272" outlineLevel="1">
      <c r="A272" t="inlineStr" s="18">
        <is>
          <t xml:space="preserve">Upgrades out &gt; Team</t>
        </is>
      </c>
      <c r="C272" s="13">
        <f>IF('Model inputs'!C198="","",'Model inputs'!C198)</f>
        <v>0</v>
      </c>
      <c r="D272" s="13">
        <f>IF('Model inputs'!D198="","",'Model inputs'!D198)</f>
        <v>0</v>
      </c>
      <c r="E272" s="13">
        <f>IF('Model inputs'!E198="","",'Model inputs'!E198)</f>
        <v>0</v>
      </c>
      <c r="F272" s="13">
        <f>IF('Model inputs'!F198="","",'Model inputs'!F198)</f>
        <v>0.025</v>
      </c>
      <c r="G272" s="13">
        <f>IF('Model inputs'!G198="","",'Model inputs'!G198)</f>
        <v>0.03775694444444445</v>
      </c>
      <c r="H272" s="13">
        <f>IF('Model inputs'!H198="","",'Model inputs'!H198)</f>
        <v>0.05228173032407408</v>
      </c>
      <c r="I272" s="13">
        <f>IF('Model inputs'!I198="","",'Model inputs'!I198)</f>
        <v>0.06829759836516204</v>
      </c>
      <c r="J272" s="13">
        <f>IF('Model inputs'!J198="","",'Model inputs'!J198)</f>
        <v>0.08591028021525769</v>
      </c>
      <c r="K272" s="13">
        <f>IF('Model inputs'!K198="","",'Model inputs'!K198)</f>
        <v>0.10523916656030362</v>
      </c>
      <c r="L272" s="13">
        <f>IF('Model inputs'!L198="","",'Model inputs'!L198)</f>
        <v>0.12641836467173376</v>
      </c>
      <c r="M272" s="13">
        <f>IF('Model inputs'!M198="","",'Model inputs'!M198)</f>
        <v>0.1495978780919851</v>
      </c>
      <c r="N272" s="13">
        <f>IF('Model inputs'!N198="","",'Model inputs'!N198)</f>
        <v>0.17494491910820884</v>
      </c>
      <c r="O272" s="13">
        <f>IF('Model inputs'!O198="","",'Model inputs'!O198)</f>
        <v>0.20118382797518408</v>
      </c>
      <c r="P272" s="13">
        <f>IF('Model inputs'!P198="","",'Model inputs'!P198)</f>
        <v>0.22831847756622248</v>
      </c>
      <c r="Q272" s="13">
        <f>IF('Model inputs'!Q198="","",'Model inputs'!Q198)</f>
        <v>0.2563563802754732</v>
      </c>
      <c r="R272" s="13">
        <f>IF('Model inputs'!R198="","",'Model inputs'!R198)</f>
        <v>0.28530855467185373</v>
      </c>
      <c r="S272" s="13">
        <f>IF('Model inputs'!S198="","",'Model inputs'!S198)</f>
        <v>0.3151894070071091</v>
      </c>
      <c r="T272" s="13">
        <f>IF('Model inputs'!T198="","",'Model inputs'!T198)</f>
        <v>0.34601662677187894</v>
      </c>
      <c r="U272" s="13">
        <f>IF('Model inputs'!U198="","",'Model inputs'!U198)</f>
        <v>0.3778110955566152</v>
      </c>
      <c r="V272" s="13">
        <f>IF('Model inputs'!V198="","",'Model inputs'!V198)</f>
        <v>0.41059680853327324</v>
      </c>
      <c r="W272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inputs'!W260="",0,'Model inputs'!W260)*'Model inputs'!B210/12)</f>
        <v>0</v>
      </c>
      <c r="X272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inputs'!X260*'Model inputs'!B210/12)</f>
        <v>0</v>
      </c>
      <c r="Y272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inputs'!Y260*'Model inputs'!B210/12)</f>
        <v>0</v>
      </c>
      <c r="Z272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inputs'!Z260*'Model inputs'!B210/12)</f>
        <v>0</v>
      </c>
      <c r="AA272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inputs'!AA260*'Model inputs'!B210/12)</f>
        <v>0</v>
      </c>
      <c r="AB272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inputs'!AB260*'Model inputs'!B210/12)</f>
        <v>0</v>
      </c>
      <c r="AC272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inputs'!AC260*'Model inputs'!B210/12)</f>
        <v>0</v>
      </c>
      <c r="AD272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inputs'!AD260*'Model inputs'!B210/12)</f>
        <v>0</v>
      </c>
      <c r="AE272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inputs'!AE260*'Model inputs'!B210/12)</f>
        <v>0</v>
      </c>
      <c r="AF272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inputs'!AF260*'Model inputs'!B210/12)</f>
        <v>0</v>
      </c>
      <c r="AG272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inputs'!AG260*'Model inputs'!B210/12)</f>
        <v>0</v>
      </c>
    </row>
    <row r="273">
      <c r="A273" t="inlineStr" s="16">
        <is>
          <t xml:space="preserve">Waitlist new logos</t>
        </is>
      </c>
      <c r="C273" s="19">
        <f>IF('Model inputs'!C199="","",'Model inputs'!C199)</f>
        <v>0</v>
      </c>
      <c r="D273" s="19">
        <f>IF('Model inputs'!D199="","",'Model inputs'!D199)</f>
        <v>0</v>
      </c>
      <c r="E273" s="19">
        <f>IF('Model inputs'!E199="","",'Model inputs'!E199)</f>
        <v>0</v>
      </c>
      <c r="F273" s="19">
        <f>IF('Model inputs'!F199="","",'Model inputs'!F199)</f>
        <v>12</v>
      </c>
      <c r="G273" s="19">
        <f>IF('Model inputs'!G199="","",'Model inputs'!G199)</f>
        <v>0</v>
      </c>
      <c r="H273" s="19">
        <f>IF('Model inputs'!H199="","",'Model inputs'!H199)</f>
        <v>0</v>
      </c>
      <c r="I273" s="19">
        <f>IF('Model inputs'!I199="","",'Model inputs'!I199)</f>
        <v>0</v>
      </c>
      <c r="J273" s="19">
        <f>IF('Model inputs'!J199="","",'Model inputs'!J199)</f>
        <v>0</v>
      </c>
      <c r="K273" s="19">
        <f>IF('Model inputs'!K199="","",'Model inputs'!K199)</f>
        <v>0</v>
      </c>
      <c r="L273" s="19">
        <f>IF('Model inputs'!L199="","",'Model inputs'!L199)</f>
        <v>0</v>
      </c>
      <c r="M273" s="19">
        <f>IF('Model inputs'!M199="","",'Model inputs'!M199)</f>
        <v>0</v>
      </c>
      <c r="N273" s="19">
        <f>IF('Model inputs'!N199="","",'Model inputs'!N199)</f>
        <v>0</v>
      </c>
      <c r="O273" s="19">
        <f>IF('Model inputs'!O199="","",'Model inputs'!O199)</f>
        <v>0</v>
      </c>
      <c r="P273" s="19">
        <f>IF('Model inputs'!P199="","",'Model inputs'!P199)</f>
        <v>0</v>
      </c>
      <c r="Q273" s="19">
        <f>IF('Model inputs'!Q199="","",'Model inputs'!Q199)</f>
        <v>0</v>
      </c>
      <c r="R273" s="19">
        <f>IF('Model inputs'!R199="","",'Model inputs'!R199)</f>
        <v>0</v>
      </c>
      <c r="S273" s="19">
        <f>IF('Model inputs'!S199="","",'Model inputs'!S199)</f>
        <v>0</v>
      </c>
      <c r="T273" s="19">
        <f>IF('Model inputs'!T199="","",'Model inputs'!T199)</f>
        <v>0</v>
      </c>
      <c r="U273" s="19">
        <f>IF('Model inputs'!U199="","",'Model inputs'!U199)</f>
        <v>0</v>
      </c>
      <c r="V273" s="19">
        <f>IF('Model inputs'!V199="","",'Model inputs'!V199)</f>
        <v>0</v>
      </c>
      <c r="W273" s="19">
        <f>SUM('Model inputs'!W274,'Model inputs'!W275,'Model inputs'!W276)</f>
        <v>0</v>
      </c>
      <c r="X273" s="19">
        <f>SUM('Model inputs'!X274,'Model inputs'!X275,'Model inputs'!X276)</f>
        <v>0</v>
      </c>
      <c r="Y273" s="19">
        <f>SUM('Model inputs'!Y274,'Model inputs'!Y275,'Model inputs'!Y276)</f>
        <v>0</v>
      </c>
      <c r="Z273" s="19">
        <f>SUM('Model inputs'!Z274,'Model inputs'!Z275,'Model inputs'!Z276)</f>
        <v>0</v>
      </c>
      <c r="AA273" s="19">
        <f>SUM('Model inputs'!AA274,'Model inputs'!AA275,'Model inputs'!AA276)</f>
        <v>0</v>
      </c>
      <c r="AB273" s="19">
        <f>SUM('Model inputs'!AB274,'Model inputs'!AB275,'Model inputs'!AB276)</f>
        <v>0</v>
      </c>
      <c r="AC273" s="19">
        <f>SUM('Model inputs'!AC274,'Model inputs'!AC275,'Model inputs'!AC276)</f>
        <v>0</v>
      </c>
      <c r="AD273" s="19">
        <f>SUM('Model inputs'!AD274,'Model inputs'!AD275,'Model inputs'!AD276)</f>
        <v>0</v>
      </c>
      <c r="AE273" s="19">
        <f>SUM('Model inputs'!AE274,'Model inputs'!AE275,'Model inputs'!AE276)</f>
        <v>0</v>
      </c>
      <c r="AF273" s="19">
        <f>SUM('Model inputs'!AF274,'Model inputs'!AF275,'Model inputs'!AF276)</f>
        <v>0</v>
      </c>
      <c r="AG273" s="19">
        <f>SUM('Model inputs'!AG274,'Model inputs'!AG275,'Model inputs'!AG276)</f>
        <v>0</v>
      </c>
    </row>
    <row r="274" outlineLevel="1">
      <c r="A274" t="inlineStr" s="18">
        <is>
          <t xml:space="preserve">Waitlist new logos &gt; Indie</t>
        </is>
      </c>
      <c r="C274" s="13">
        <f>IF('Model inputs'!C200="","",'Model inputs'!C200)</f>
        <v>0</v>
      </c>
      <c r="D274" s="13">
        <f>IF('Model inputs'!D200="","",'Model inputs'!D200)</f>
        <v>0</v>
      </c>
      <c r="E274" s="13">
        <f>IF('Model inputs'!E200="","",'Model inputs'!E200)</f>
        <v>0</v>
      </c>
      <c r="F274" s="13">
        <f>IF('Model inputs'!F200="","",'Model inputs'!F200)</f>
        <v>12</v>
      </c>
      <c r="G274" s="13">
        <f>IF('Model inputs'!G200="","",'Model inputs'!G200)</f>
        <v>0</v>
      </c>
      <c r="H274" s="13">
        <f>IF('Model inputs'!H200="","",'Model inputs'!H200)</f>
        <v>0</v>
      </c>
      <c r="I274" s="13">
        <f>IF('Model inputs'!I200="","",'Model inputs'!I200)</f>
        <v>0</v>
      </c>
      <c r="J274" s="13">
        <f>IF('Model inputs'!J200="","",'Model inputs'!J200)</f>
        <v>0</v>
      </c>
      <c r="K274" s="13">
        <f>IF('Model inputs'!K200="","",'Model inputs'!K200)</f>
        <v>0</v>
      </c>
      <c r="L274" s="13">
        <f>IF('Model inputs'!L200="","",'Model inputs'!L200)</f>
        <v>0</v>
      </c>
      <c r="M274" s="13">
        <f>IF('Model inputs'!M200="","",'Model inputs'!M200)</f>
        <v>0</v>
      </c>
      <c r="N274" s="13">
        <f>IF('Model inputs'!N200="","",'Model inputs'!N200)</f>
        <v>0</v>
      </c>
      <c r="O274" s="13">
        <f>IF('Model inputs'!O200="","",'Model inputs'!O200)</f>
        <v>0</v>
      </c>
      <c r="P274" s="13">
        <f>IF('Model inputs'!P200="","",'Model inputs'!P200)</f>
        <v>0</v>
      </c>
      <c r="Q274" s="13">
        <f>IF('Model inputs'!Q200="","",'Model inputs'!Q200)</f>
        <v>0</v>
      </c>
      <c r="R274" s="13">
        <f>IF('Model inputs'!R200="","",'Model inputs'!R200)</f>
        <v>0</v>
      </c>
      <c r="S274" s="13">
        <f>IF('Model inputs'!S200="","",'Model inputs'!S200)</f>
        <v>0</v>
      </c>
      <c r="T274" s="13">
        <f>IF('Model inputs'!T200="","",'Model inputs'!T200)</f>
        <v>0</v>
      </c>
      <c r="U274" s="13">
        <f>IF('Model inputs'!U200="","",'Model inputs'!U200)</f>
        <v>0</v>
      </c>
      <c r="V274" s="13">
        <f>IF('Model inputs'!V200="","",'Model inputs'!V200)</f>
        <v>0</v>
      </c>
      <c r="W274" s="13">
        <f>IF(IF(IF(ISERROR('Model inputs'!W230=1),'Model inputs'!W230=1,IF('Model inputs'!W230="","",'Model inputs'!W230=1))="",FALSE,IF(ISERROR('Model inputs'!W230=1),'Model inputs'!W230=1,IF('Model inputs'!W230="","",'Model inputs'!W230=1))),IF('Model inputs'!B250="","",'Model inputs'!B250),0)</f>
        <v>0</v>
      </c>
      <c r="X274" s="13">
        <f>IF(IF(IF(ISERROR('Model inputs'!X230=1),'Model inputs'!X230=1,IF('Model inputs'!X230="","",'Model inputs'!X230=1))="",FALSE,IF(ISERROR('Model inputs'!X230=1),'Model inputs'!X230=1,IF('Model inputs'!X230="","",'Model inputs'!X230=1))),IF('Model inputs'!B250="","",'Model inputs'!B250),0)</f>
        <v>0</v>
      </c>
      <c r="Y274" s="13">
        <f>IF(IF(IF(ISERROR('Model inputs'!Y230=1),'Model inputs'!Y230=1,IF('Model inputs'!Y230="","",'Model inputs'!Y230=1))="",FALSE,IF(ISERROR('Model inputs'!Y230=1),'Model inputs'!Y230=1,IF('Model inputs'!Y230="","",'Model inputs'!Y230=1))),IF('Model inputs'!B250="","",'Model inputs'!B250),0)</f>
        <v>0</v>
      </c>
      <c r="Z274" s="13">
        <f>IF(IF(IF(ISERROR('Model inputs'!Z230=1),'Model inputs'!Z230=1,IF('Model inputs'!Z230="","",'Model inputs'!Z230=1))="",FALSE,IF(ISERROR('Model inputs'!Z230=1),'Model inputs'!Z230=1,IF('Model inputs'!Z230="","",'Model inputs'!Z230=1))),IF('Model inputs'!B250="","",'Model inputs'!B250),0)</f>
        <v>0</v>
      </c>
      <c r="AA274" s="13">
        <f>IF(IF(IF(ISERROR('Model inputs'!AA230=1),'Model inputs'!AA230=1,IF('Model inputs'!AA230="","",'Model inputs'!AA230=1))="",FALSE,IF(ISERROR('Model inputs'!AA230=1),'Model inputs'!AA230=1,IF('Model inputs'!AA230="","",'Model inputs'!AA230=1))),IF('Model inputs'!B250="","",'Model inputs'!B250),0)</f>
        <v>0</v>
      </c>
      <c r="AB274" s="13">
        <f>IF(IF(IF(ISERROR('Model inputs'!AB230=1),'Model inputs'!AB230=1,IF('Model inputs'!AB230="","",'Model inputs'!AB230=1))="",FALSE,IF(ISERROR('Model inputs'!AB230=1),'Model inputs'!AB230=1,IF('Model inputs'!AB230="","",'Model inputs'!AB230=1))),IF('Model inputs'!B250="","",'Model inputs'!B250),0)</f>
        <v>0</v>
      </c>
      <c r="AC274" s="13">
        <f>IF(IF(IF(ISERROR('Model inputs'!AC230=1),'Model inputs'!AC230=1,IF('Model inputs'!AC230="","",'Model inputs'!AC230=1))="",FALSE,IF(ISERROR('Model inputs'!AC230=1),'Model inputs'!AC230=1,IF('Model inputs'!AC230="","",'Model inputs'!AC230=1))),IF('Model inputs'!B250="","",'Model inputs'!B250),0)</f>
        <v>0</v>
      </c>
      <c r="AD274" s="13">
        <f>IF(IF(IF(ISERROR('Model inputs'!AD230=1),'Model inputs'!AD230=1,IF('Model inputs'!AD230="","",'Model inputs'!AD230=1))="",FALSE,IF(ISERROR('Model inputs'!AD230=1),'Model inputs'!AD230=1,IF('Model inputs'!AD230="","",'Model inputs'!AD230=1))),IF('Model inputs'!B250="","",'Model inputs'!B250),0)</f>
        <v>0</v>
      </c>
      <c r="AE274" s="13">
        <f>IF(IF(IF(ISERROR('Model inputs'!AE230=1),'Model inputs'!AE230=1,IF('Model inputs'!AE230="","",'Model inputs'!AE230=1))="",FALSE,IF(ISERROR('Model inputs'!AE230=1),'Model inputs'!AE230=1,IF('Model inputs'!AE230="","",'Model inputs'!AE230=1))),IF('Model inputs'!B250="","",'Model inputs'!B250),0)</f>
        <v>0</v>
      </c>
      <c r="AF274" s="13">
        <f>IF(IF(IF(ISERROR('Model inputs'!AF230=1),'Model inputs'!AF230=1,IF('Model inputs'!AF230="","",'Model inputs'!AF230=1))="",FALSE,IF(ISERROR('Model inputs'!AF230=1),'Model inputs'!AF230=1,IF('Model inputs'!AF230="","",'Model inputs'!AF230=1))),IF('Model inputs'!B250="","",'Model inputs'!B250),0)</f>
        <v>0</v>
      </c>
      <c r="AG274" s="13">
        <f>IF(IF(IF(ISERROR('Model inputs'!AG230=1),'Model inputs'!AG230=1,IF('Model inputs'!AG230="","",'Model inputs'!AG230=1))="",FALSE,IF(ISERROR('Model inputs'!AG230=1),'Model inputs'!AG230=1,IF('Model inputs'!AG230="","",'Model inputs'!AG230=1))),IF('Model inputs'!B250="","",'Model inputs'!B250),0)</f>
        <v>0</v>
      </c>
    </row>
    <row r="275" outlineLevel="1">
      <c r="A275" t="inlineStr" s="18">
        <is>
          <t xml:space="preserve">Waitlist new logos &gt; Launch</t>
        </is>
      </c>
      <c r="C275" s="13">
        <f>IF('Model inputs'!C201="","",'Model inputs'!C201)</f>
        <v>0</v>
      </c>
      <c r="D275" s="13">
        <f>IF('Model inputs'!D201="","",'Model inputs'!D201)</f>
        <v>0</v>
      </c>
      <c r="E275" s="13">
        <f>IF('Model inputs'!E201="","",'Model inputs'!E201)</f>
        <v>0</v>
      </c>
      <c r="F275" s="13">
        <f>IF('Model inputs'!F201="","",'Model inputs'!F201)</f>
        <v>0</v>
      </c>
      <c r="G275" s="13">
        <f>IF('Model inputs'!G201="","",'Model inputs'!G201)</f>
        <v>0</v>
      </c>
      <c r="H275" s="13">
        <f>IF('Model inputs'!H201="","",'Model inputs'!H201)</f>
        <v>0</v>
      </c>
      <c r="I275" s="13">
        <f>IF('Model inputs'!I201="","",'Model inputs'!I201)</f>
        <v>0</v>
      </c>
      <c r="J275" s="13">
        <f>IF('Model inputs'!J201="","",'Model inputs'!J201)</f>
        <v>0</v>
      </c>
      <c r="K275" s="13">
        <f>IF('Model inputs'!K201="","",'Model inputs'!K201)</f>
        <v>0</v>
      </c>
      <c r="L275" s="13">
        <f>IF('Model inputs'!L201="","",'Model inputs'!L201)</f>
        <v>0</v>
      </c>
      <c r="M275" s="13">
        <f>IF('Model inputs'!M201="","",'Model inputs'!M201)</f>
        <v>0</v>
      </c>
      <c r="N275" s="13">
        <f>IF('Model inputs'!N201="","",'Model inputs'!N201)</f>
        <v>0</v>
      </c>
      <c r="O275" s="13">
        <f>IF('Model inputs'!O201="","",'Model inputs'!O201)</f>
        <v>0</v>
      </c>
      <c r="P275" s="13">
        <f>IF('Model inputs'!P201="","",'Model inputs'!P201)</f>
        <v>0</v>
      </c>
      <c r="Q275" s="13">
        <f>IF('Model inputs'!Q201="","",'Model inputs'!Q201)</f>
        <v>0</v>
      </c>
      <c r="R275" s="13">
        <f>IF('Model inputs'!R201="","",'Model inputs'!R201)</f>
        <v>0</v>
      </c>
      <c r="S275" s="13">
        <f>IF('Model inputs'!S201="","",'Model inputs'!S201)</f>
        <v>0</v>
      </c>
      <c r="T275" s="13">
        <f>IF('Model inputs'!T201="","",'Model inputs'!T201)</f>
        <v>0</v>
      </c>
      <c r="U275" s="13">
        <f>IF('Model inputs'!U201="","",'Model inputs'!U201)</f>
        <v>0</v>
      </c>
      <c r="V275" s="13">
        <f>IF('Model inputs'!V201="","",'Model inputs'!V201)</f>
        <v>0</v>
      </c>
      <c r="W275" s="13">
        <f>IF(IF(IF(ISERROR('Model inputs'!W230=1),'Model inputs'!W230=1,IF('Model inputs'!W230="","",'Model inputs'!W230=1))="",FALSE,IF(ISERROR('Model inputs'!W230=1),'Model inputs'!W230=1,IF('Model inputs'!W230="","",'Model inputs'!W230=1))),IF('Model inputs'!B251="","",'Model inputs'!B251),0)</f>
        <v>0</v>
      </c>
      <c r="X275" s="13">
        <f>IF(IF(IF(ISERROR('Model inputs'!X230=1),'Model inputs'!X230=1,IF('Model inputs'!X230="","",'Model inputs'!X230=1))="",FALSE,IF(ISERROR('Model inputs'!X230=1),'Model inputs'!X230=1,IF('Model inputs'!X230="","",'Model inputs'!X230=1))),IF('Model inputs'!B251="","",'Model inputs'!B251),0)</f>
        <v>0</v>
      </c>
      <c r="Y275" s="13">
        <f>IF(IF(IF(ISERROR('Model inputs'!Y230=1),'Model inputs'!Y230=1,IF('Model inputs'!Y230="","",'Model inputs'!Y230=1))="",FALSE,IF(ISERROR('Model inputs'!Y230=1),'Model inputs'!Y230=1,IF('Model inputs'!Y230="","",'Model inputs'!Y230=1))),IF('Model inputs'!B251="","",'Model inputs'!B251),0)</f>
        <v>0</v>
      </c>
      <c r="Z275" s="13">
        <f>IF(IF(IF(ISERROR('Model inputs'!Z230=1),'Model inputs'!Z230=1,IF('Model inputs'!Z230="","",'Model inputs'!Z230=1))="",FALSE,IF(ISERROR('Model inputs'!Z230=1),'Model inputs'!Z230=1,IF('Model inputs'!Z230="","",'Model inputs'!Z230=1))),IF('Model inputs'!B251="","",'Model inputs'!B251),0)</f>
        <v>0</v>
      </c>
      <c r="AA275" s="13">
        <f>IF(IF(IF(ISERROR('Model inputs'!AA230=1),'Model inputs'!AA230=1,IF('Model inputs'!AA230="","",'Model inputs'!AA230=1))="",FALSE,IF(ISERROR('Model inputs'!AA230=1),'Model inputs'!AA230=1,IF('Model inputs'!AA230="","",'Model inputs'!AA230=1))),IF('Model inputs'!B251="","",'Model inputs'!B251),0)</f>
        <v>0</v>
      </c>
      <c r="AB275" s="13">
        <f>IF(IF(IF(ISERROR('Model inputs'!AB230=1),'Model inputs'!AB230=1,IF('Model inputs'!AB230="","",'Model inputs'!AB230=1))="",FALSE,IF(ISERROR('Model inputs'!AB230=1),'Model inputs'!AB230=1,IF('Model inputs'!AB230="","",'Model inputs'!AB230=1))),IF('Model inputs'!B251="","",'Model inputs'!B251),0)</f>
        <v>0</v>
      </c>
      <c r="AC275" s="13">
        <f>IF(IF(IF(ISERROR('Model inputs'!AC230=1),'Model inputs'!AC230=1,IF('Model inputs'!AC230="","",'Model inputs'!AC230=1))="",FALSE,IF(ISERROR('Model inputs'!AC230=1),'Model inputs'!AC230=1,IF('Model inputs'!AC230="","",'Model inputs'!AC230=1))),IF('Model inputs'!B251="","",'Model inputs'!B251),0)</f>
        <v>0</v>
      </c>
      <c r="AD275" s="13">
        <f>IF(IF(IF(ISERROR('Model inputs'!AD230=1),'Model inputs'!AD230=1,IF('Model inputs'!AD230="","",'Model inputs'!AD230=1))="",FALSE,IF(ISERROR('Model inputs'!AD230=1),'Model inputs'!AD230=1,IF('Model inputs'!AD230="","",'Model inputs'!AD230=1))),IF('Model inputs'!B251="","",'Model inputs'!B251),0)</f>
        <v>0</v>
      </c>
      <c r="AE275" s="13">
        <f>IF(IF(IF(ISERROR('Model inputs'!AE230=1),'Model inputs'!AE230=1,IF('Model inputs'!AE230="","",'Model inputs'!AE230=1))="",FALSE,IF(ISERROR('Model inputs'!AE230=1),'Model inputs'!AE230=1,IF('Model inputs'!AE230="","",'Model inputs'!AE230=1))),IF('Model inputs'!B251="","",'Model inputs'!B251),0)</f>
        <v>0</v>
      </c>
      <c r="AF275" s="13">
        <f>IF(IF(IF(ISERROR('Model inputs'!AF230=1),'Model inputs'!AF230=1,IF('Model inputs'!AF230="","",'Model inputs'!AF230=1))="",FALSE,IF(ISERROR('Model inputs'!AF230=1),'Model inputs'!AF230=1,IF('Model inputs'!AF230="","",'Model inputs'!AF230=1))),IF('Model inputs'!B251="","",'Model inputs'!B251),0)</f>
        <v>0</v>
      </c>
      <c r="AG275" s="13">
        <f>IF(IF(IF(ISERROR('Model inputs'!AG230=1),'Model inputs'!AG230=1,IF('Model inputs'!AG230="","",'Model inputs'!AG230=1))="",FALSE,IF(ISERROR('Model inputs'!AG230=1),'Model inputs'!AG230=1,IF('Model inputs'!AG230="","",'Model inputs'!AG230=1))),IF('Model inputs'!B251="","",'Model inputs'!B251),0)</f>
        <v>0</v>
      </c>
    </row>
    <row r="276" outlineLevel="1">
      <c r="A276" t="inlineStr" s="18">
        <is>
          <t xml:space="preserve">Waitlist new logos &gt; Team</t>
        </is>
      </c>
      <c r="C276" s="13">
        <f>IF('Model inputs'!C202="","",'Model inputs'!C202)</f>
        <v>0</v>
      </c>
      <c r="D276" s="13">
        <f>IF('Model inputs'!D202="","",'Model inputs'!D202)</f>
        <v>0</v>
      </c>
      <c r="E276" s="13">
        <f>IF('Model inputs'!E202="","",'Model inputs'!E202)</f>
        <v>0</v>
      </c>
      <c r="F276" s="13">
        <f>IF('Model inputs'!F202="","",'Model inputs'!F202)</f>
        <v>0</v>
      </c>
      <c r="G276" s="13">
        <f>IF('Model inputs'!G202="","",'Model inputs'!G202)</f>
        <v>0</v>
      </c>
      <c r="H276" s="13">
        <f>IF('Model inputs'!H202="","",'Model inputs'!H202)</f>
        <v>0</v>
      </c>
      <c r="I276" s="13">
        <f>IF('Model inputs'!I202="","",'Model inputs'!I202)</f>
        <v>0</v>
      </c>
      <c r="J276" s="13">
        <f>IF('Model inputs'!J202="","",'Model inputs'!J202)</f>
        <v>0</v>
      </c>
      <c r="K276" s="13">
        <f>IF('Model inputs'!K202="","",'Model inputs'!K202)</f>
        <v>0</v>
      </c>
      <c r="L276" s="13">
        <f>IF('Model inputs'!L202="","",'Model inputs'!L202)</f>
        <v>0</v>
      </c>
      <c r="M276" s="13">
        <f>IF('Model inputs'!M202="","",'Model inputs'!M202)</f>
        <v>0</v>
      </c>
      <c r="N276" s="13">
        <f>IF('Model inputs'!N202="","",'Model inputs'!N202)</f>
        <v>0</v>
      </c>
      <c r="O276" s="13">
        <f>IF('Model inputs'!O202="","",'Model inputs'!O202)</f>
        <v>0</v>
      </c>
      <c r="P276" s="13">
        <f>IF('Model inputs'!P202="","",'Model inputs'!P202)</f>
        <v>0</v>
      </c>
      <c r="Q276" s="13">
        <f>IF('Model inputs'!Q202="","",'Model inputs'!Q202)</f>
        <v>0</v>
      </c>
      <c r="R276" s="13">
        <f>IF('Model inputs'!R202="","",'Model inputs'!R202)</f>
        <v>0</v>
      </c>
      <c r="S276" s="13">
        <f>IF('Model inputs'!S202="","",'Model inputs'!S202)</f>
        <v>0</v>
      </c>
      <c r="T276" s="13">
        <f>IF('Model inputs'!T202="","",'Model inputs'!T202)</f>
        <v>0</v>
      </c>
      <c r="U276" s="13">
        <f>IF('Model inputs'!U202="","",'Model inputs'!U202)</f>
        <v>0</v>
      </c>
      <c r="V276" s="13">
        <f>IF('Model inputs'!V202="","",'Model inputs'!V202)</f>
        <v>0</v>
      </c>
      <c r="W276" s="13">
        <f>IF(IF(IF(ISERROR('Model inputs'!W230=1),'Model inputs'!W230=1,IF('Model inputs'!W230="","",'Model inputs'!W230=1))="",FALSE,IF(ISERROR('Model inputs'!W230=1),'Model inputs'!W230=1,IF('Model inputs'!W230="","",'Model inputs'!W230=1))),IF('Model inputs'!B252="","",'Model inputs'!B252),0)</f>
        <v>0</v>
      </c>
      <c r="X276" s="13">
        <f>IF(IF(IF(ISERROR('Model inputs'!X230=1),'Model inputs'!X230=1,IF('Model inputs'!X230="","",'Model inputs'!X230=1))="",FALSE,IF(ISERROR('Model inputs'!X230=1),'Model inputs'!X230=1,IF('Model inputs'!X230="","",'Model inputs'!X230=1))),IF('Model inputs'!B252="","",'Model inputs'!B252),0)</f>
        <v>0</v>
      </c>
      <c r="Y276" s="13">
        <f>IF(IF(IF(ISERROR('Model inputs'!Y230=1),'Model inputs'!Y230=1,IF('Model inputs'!Y230="","",'Model inputs'!Y230=1))="",FALSE,IF(ISERROR('Model inputs'!Y230=1),'Model inputs'!Y230=1,IF('Model inputs'!Y230="","",'Model inputs'!Y230=1))),IF('Model inputs'!B252="","",'Model inputs'!B252),0)</f>
        <v>0</v>
      </c>
      <c r="Z276" s="13">
        <f>IF(IF(IF(ISERROR('Model inputs'!Z230=1),'Model inputs'!Z230=1,IF('Model inputs'!Z230="","",'Model inputs'!Z230=1))="",FALSE,IF(ISERROR('Model inputs'!Z230=1),'Model inputs'!Z230=1,IF('Model inputs'!Z230="","",'Model inputs'!Z230=1))),IF('Model inputs'!B252="","",'Model inputs'!B252),0)</f>
        <v>0</v>
      </c>
      <c r="AA276" s="13">
        <f>IF(IF(IF(ISERROR('Model inputs'!AA230=1),'Model inputs'!AA230=1,IF('Model inputs'!AA230="","",'Model inputs'!AA230=1))="",FALSE,IF(ISERROR('Model inputs'!AA230=1),'Model inputs'!AA230=1,IF('Model inputs'!AA230="","",'Model inputs'!AA230=1))),IF('Model inputs'!B252="","",'Model inputs'!B252),0)</f>
        <v>0</v>
      </c>
      <c r="AB276" s="13">
        <f>IF(IF(IF(ISERROR('Model inputs'!AB230=1),'Model inputs'!AB230=1,IF('Model inputs'!AB230="","",'Model inputs'!AB230=1))="",FALSE,IF(ISERROR('Model inputs'!AB230=1),'Model inputs'!AB230=1,IF('Model inputs'!AB230="","",'Model inputs'!AB230=1))),IF('Model inputs'!B252="","",'Model inputs'!B252),0)</f>
        <v>0</v>
      </c>
      <c r="AC276" s="13">
        <f>IF(IF(IF(ISERROR('Model inputs'!AC230=1),'Model inputs'!AC230=1,IF('Model inputs'!AC230="","",'Model inputs'!AC230=1))="",FALSE,IF(ISERROR('Model inputs'!AC230=1),'Model inputs'!AC230=1,IF('Model inputs'!AC230="","",'Model inputs'!AC230=1))),IF('Model inputs'!B252="","",'Model inputs'!B252),0)</f>
        <v>0</v>
      </c>
      <c r="AD276" s="13">
        <f>IF(IF(IF(ISERROR('Model inputs'!AD230=1),'Model inputs'!AD230=1,IF('Model inputs'!AD230="","",'Model inputs'!AD230=1))="",FALSE,IF(ISERROR('Model inputs'!AD230=1),'Model inputs'!AD230=1,IF('Model inputs'!AD230="","",'Model inputs'!AD230=1))),IF('Model inputs'!B252="","",'Model inputs'!B252),0)</f>
        <v>0</v>
      </c>
      <c r="AE276" s="13">
        <f>IF(IF(IF(ISERROR('Model inputs'!AE230=1),'Model inputs'!AE230=1,IF('Model inputs'!AE230="","",'Model inputs'!AE230=1))="",FALSE,IF(ISERROR('Model inputs'!AE230=1),'Model inputs'!AE230=1,IF('Model inputs'!AE230="","",'Model inputs'!AE230=1))),IF('Model inputs'!B252="","",'Model inputs'!B252),0)</f>
        <v>0</v>
      </c>
      <c r="AF276" s="13">
        <f>IF(IF(IF(ISERROR('Model inputs'!AF230=1),'Model inputs'!AF230=1,IF('Model inputs'!AF230="","",'Model inputs'!AF230=1))="",FALSE,IF(ISERROR('Model inputs'!AF230=1),'Model inputs'!AF230=1,IF('Model inputs'!AF230="","",'Model inputs'!AF230=1))),IF('Model inputs'!B252="","",'Model inputs'!B252),0)</f>
        <v>0</v>
      </c>
      <c r="AG276" s="13">
        <f>IF(IF(IF(ISERROR('Model inputs'!AG230=1),'Model inputs'!AG230=1,IF('Model inputs'!AG230="","",'Model inputs'!AG230=1))="",FALSE,IF(ISERROR('Model inputs'!AG230=1),'Model inputs'!AG230=1,IF('Model inputs'!AG230="","",'Model inputs'!AG230=1))),IF('Model inputs'!B252="","",'Model inputs'!B252),0)</f>
        <v>0</v>
      </c>
    </row>
    <row r="277">
      <c r="A277" t="inlineStr" s="16">
        <is>
          <t xml:space="preserve">Annual-mix ramp months · Annual-pay share · Annual payers</t>
        </is>
      </c>
      <c r="B277" s="17">
        <f>6</f>
        <v>6</v>
      </c>
    </row>
    <row r="278">
      <c r="A278" t="inlineStr" s="16">
        <is>
          <t xml:space="preserve">Annual-pay share target</t>
        </is>
      </c>
      <c r="B278" s="22">
        <v>0</v>
      </c>
    </row>
    <row r="279" outlineLevel="1">
      <c r="A279" t="inlineStr" s="18">
        <is>
          <t xml:space="preserve">Annual-pay share target &gt; Indie</t>
        </is>
      </c>
      <c r="B279" s="21">
        <f>0</f>
        <v>0</v>
      </c>
    </row>
    <row r="280" outlineLevel="1">
      <c r="A280" t="inlineStr" s="18">
        <is>
          <t xml:space="preserve">Annual-pay share target &gt; Launch</t>
        </is>
      </c>
      <c r="B280" s="21">
        <f>0.35</f>
        <v>0.35</v>
      </c>
    </row>
    <row r="281" outlineLevel="1">
      <c r="A281" t="inlineStr" s="18">
        <is>
          <t xml:space="preserve">Annual-pay share target &gt; Team</t>
        </is>
      </c>
      <c r="B281" s="21">
        <f>0.35</f>
        <v>0.35</v>
      </c>
    </row>
    <row r="282">
      <c r="A282" t="inlineStr" s="16">
        <is>
          <t xml:space="preserve">Cash collected</t>
        </is>
      </c>
      <c r="C282" s="7">
        <f>IF('Model inputs'!C9="","",'Model inputs'!C9)</f>
        <v>0</v>
      </c>
      <c r="D282" s="7">
        <f>IF('Model inputs'!D9="","",'Model inputs'!D9)</f>
        <v>0</v>
      </c>
      <c r="E282" s="7">
        <f>IF('Model inputs'!E9="","",'Model inputs'!E9)</f>
        <v>2697.6800000000003</v>
      </c>
      <c r="F282" s="7">
        <f>IF('Model inputs'!F9="","",'Model inputs'!F9)</f>
        <v>5606.778625</v>
      </c>
      <c r="G282" s="7">
        <f>IF('Model inputs'!G9="","",'Model inputs'!G9)</f>
        <v>7825.437596222222</v>
      </c>
      <c r="H282" s="7">
        <f>IF('Model inputs'!H9="","",'Model inputs'!H9)</f>
        <v>10146.445979945347</v>
      </c>
      <c r="I282" s="7">
        <f>IF('Model inputs'!I9="","",'Model inputs'!I9)</f>
        <v>12580.773190708544</v>
      </c>
      <c r="J282" s="7">
        <f>IF('Model inputs'!J9="","",'Model inputs'!J9)</f>
        <v>15140.751003750247</v>
      </c>
      <c r="K282" s="7">
        <f>IF('Model inputs'!K9="","",'Model inputs'!K9)</f>
        <v>17840.17124589042</v>
      </c>
      <c r="L282" s="7">
        <f>IF('Model inputs'!L9="","",'Model inputs'!L9)</f>
        <v>16646.246766121458</v>
      </c>
      <c r="M282" s="7">
        <f>IF('Model inputs'!M9="","",'Model inputs'!M9)</f>
        <v>18752.950290076937</v>
      </c>
      <c r="N282" s="7">
        <f>IF('Model inputs'!N9="","",'Model inputs'!N9)</f>
        <v>20735.056775405457</v>
      </c>
      <c r="O282" s="7">
        <f>IF('Model inputs'!O9="","",'Model inputs'!O9)</f>
        <v>22748.46821725793</v>
      </c>
      <c r="P282" s="7">
        <f>IF('Model inputs'!P9="","",'Model inputs'!P9)</f>
        <v>24796.445311724372</v>
      </c>
      <c r="Q282" s="7">
        <f>IF('Model inputs'!Q9="","",'Model inputs'!Q9)</f>
        <v>26882.269077899713</v>
      </c>
      <c r="R282" s="7">
        <f>IF('Model inputs'!R9="","",'Model inputs'!R9)</f>
        <v>29922.356426534036</v>
      </c>
      <c r="S282" s="7">
        <f>IF('Model inputs'!S9="","",'Model inputs'!S9)</f>
        <v>32786.31787579432</v>
      </c>
      <c r="T282" s="7">
        <f>IF('Model inputs'!T9="","",'Model inputs'!T9)</f>
        <v>35784.22746472322</v>
      </c>
      <c r="U282" s="7">
        <f>IF('Model inputs'!U9="","",'Model inputs'!U9)</f>
        <v>38929.0091771567</v>
      </c>
      <c r="V282" s="7">
        <f>IF('Model inputs'!V9="","",'Model inputs'!V9)</f>
        <v>42234.939596773154</v>
      </c>
      <c r="W282" s="7">
        <f>SUM('Model inputs'!W283,'Model inputs'!W284,'Model inputs'!W285)</f>
        <v>0</v>
      </c>
      <c r="X282" s="7">
        <f>SUM('Model inputs'!X283,'Model inputs'!X284,'Model inputs'!X285)</f>
        <v>0</v>
      </c>
      <c r="Y282" s="7">
        <f>SUM('Model inputs'!Y283,'Model inputs'!Y284,'Model inputs'!Y285)</f>
        <v>0</v>
      </c>
      <c r="Z282" s="7">
        <f>SUM('Model inputs'!Z283,'Model inputs'!Z284,'Model inputs'!Z285)</f>
        <v>0</v>
      </c>
      <c r="AA282" s="7">
        <f>SUM('Model inputs'!AA283,'Model inputs'!AA284,'Model inputs'!AA285)</f>
        <v>0</v>
      </c>
      <c r="AB282" s="7">
        <f>SUM('Model inputs'!AB283,'Model inputs'!AB284,'Model inputs'!AB285)</f>
        <v>0</v>
      </c>
      <c r="AC282" s="7">
        <f>SUM('Model inputs'!AC283,'Model inputs'!AC284,'Model inputs'!AC285)</f>
        <v>0</v>
      </c>
      <c r="AD282" s="7">
        <f>SUM('Model inputs'!AD283,'Model inputs'!AD284,'Model inputs'!AD285)</f>
        <v>0</v>
      </c>
      <c r="AE282" s="7">
        <f>SUM('Model inputs'!AE283,'Model inputs'!AE284,'Model inputs'!AE285)</f>
        <v>0</v>
      </c>
      <c r="AF282" s="7">
        <f>SUM('Model inputs'!AF283,'Model inputs'!AF284,'Model inputs'!AF285)</f>
        <v>0</v>
      </c>
      <c r="AG282" s="7">
        <f>SUM('Model inputs'!AG283,'Model inputs'!AG284,'Model inputs'!AG285)</f>
        <v>0</v>
      </c>
    </row>
    <row r="283" outlineLevel="1">
      <c r="A283" t="inlineStr" s="18">
        <is>
          <t xml:space="preserve">Cash collected &gt; Indie</t>
        </is>
      </c>
      <c r="C283" s="9">
        <f>IF('Model inputs'!C10="","",'Model inputs'!C10)</f>
        <v>0</v>
      </c>
      <c r="D283" s="9">
        <f>IF('Model inputs'!D10="","",'Model inputs'!D10)</f>
        <v>0</v>
      </c>
      <c r="E283" s="9">
        <f>IF('Model inputs'!E10="","",'Model inputs'!E10)</f>
        <v>1230.4</v>
      </c>
      <c r="F283" s="9">
        <f>IF('Model inputs'!F10="","",'Model inputs'!F10)</f>
        <v>2286.4933333333333</v>
      </c>
      <c r="G283" s="9">
        <f>IF('Model inputs'!G10="","",'Model inputs'!G10)</f>
        <v>2964.5804444444448</v>
      </c>
      <c r="H283" s="9">
        <f>IF('Model inputs'!H10="","",'Model inputs'!H10)</f>
        <v>3663.903348148149</v>
      </c>
      <c r="I283" s="9">
        <f>IF('Model inputs'!I10="","",'Model inputs'!I10)</f>
        <v>4388.3616529382725</v>
      </c>
      <c r="J283" s="9">
        <f>IF('Model inputs'!J10="","",'Model inputs'!J10)</f>
        <v>5142.0202196490545</v>
      </c>
      <c r="K283" s="9">
        <f>IF('Model inputs'!K10="","",'Model inputs'!K10)</f>
        <v>5929.13216273165</v>
      </c>
      <c r="L283" s="9">
        <f>IF('Model inputs'!L10="","",'Model inputs'!L10)</f>
        <v>6754.163039560144</v>
      </c>
      <c r="M283" s="9">
        <f>IF('Model inputs'!M10="","",'Model inputs'!M10)</f>
        <v>7621.816366280919</v>
      </c>
      <c r="N283" s="9">
        <f>IF('Model inputs'!N10="","",'Model inputs'!N10)</f>
        <v>8484.343372394635</v>
      </c>
      <c r="O283" s="9">
        <f>IF('Model inputs'!O10="","",'Model inputs'!O10)</f>
        <v>9344.194501988735</v>
      </c>
      <c r="P283" s="9">
        <f>IF('Model inputs'!P10="","",'Model inputs'!P10)</f>
        <v>10203.74118378671</v>
      </c>
      <c r="Q283" s="9">
        <f>IF('Model inputs'!Q10="","",'Model inputs'!Q10)</f>
        <v>11065.284472742042</v>
      </c>
      <c r="R283" s="9">
        <f>IF('Model inputs'!R10="","",'Model inputs'!R10)</f>
        <v>11931.063250481995</v>
      </c>
      <c r="S283" s="9">
        <f>IF('Model inputs'!S10="","",'Model inputs'!S10)</f>
        <v>12803.262019409533</v>
      </c>
      <c r="T283" s="9">
        <f>IF('Model inputs'!T10="","",'Model inputs'!T10)</f>
        <v>13684.01832316695</v>
      </c>
      <c r="U283" s="9">
        <f>IF('Model inputs'!U10="","",'Model inputs'!U10)</f>
        <v>14575.429824209265</v>
      </c>
      <c r="V283" s="9">
        <f>IF('Model inputs'!V10="","",'Model inputs'!V10)</f>
        <v>15479.561067418897</v>
      </c>
      <c r="W283" s="9">
        <f>'Model inputs'!W333*'Model inputs'!B171+('Model inputs'!W237+'Model inputs'!W317)*'Model inputs'!B81+'Model inputs'!W349+'Model inputs'!W329</f>
        <v>0</v>
      </c>
      <c r="X283" s="9">
        <f>'Model inputs'!X333*'Model inputs'!B171+('Model inputs'!X237+'Model inputs'!X317)*'Model inputs'!B81+'Model inputs'!X349+'Model inputs'!X329</f>
        <v>0</v>
      </c>
      <c r="Y283" s="9">
        <f>'Model inputs'!Y333*'Model inputs'!B171+('Model inputs'!Y237+'Model inputs'!Y317)*'Model inputs'!B81+'Model inputs'!Y349+'Model inputs'!Y329</f>
        <v>0</v>
      </c>
      <c r="Z283" s="9">
        <f>'Model inputs'!Z333*'Model inputs'!B171+('Model inputs'!Z237+'Model inputs'!Z317)*'Model inputs'!B81+'Model inputs'!Z349+'Model inputs'!Z329</f>
        <v>0</v>
      </c>
      <c r="AA283" s="9">
        <f>'Model inputs'!AA333*'Model inputs'!B171+('Model inputs'!AA237+'Model inputs'!AA317)*'Model inputs'!B81+'Model inputs'!AA349+'Model inputs'!AA329</f>
        <v>0</v>
      </c>
      <c r="AB283" s="9">
        <f>'Model inputs'!AB333*'Model inputs'!B171+('Model inputs'!AB237+'Model inputs'!AB317)*'Model inputs'!B81+'Model inputs'!AB349+'Model inputs'!AB329</f>
        <v>0</v>
      </c>
      <c r="AC283" s="9">
        <f>'Model inputs'!AC333*'Model inputs'!B171+('Model inputs'!AC237+'Model inputs'!AC317)*'Model inputs'!B81+'Model inputs'!AC349+'Model inputs'!AC329</f>
        <v>0</v>
      </c>
      <c r="AD283" s="9">
        <f>'Model inputs'!AD333*'Model inputs'!B171+('Model inputs'!AD237+'Model inputs'!AD317)*'Model inputs'!B81+'Model inputs'!AD349+'Model inputs'!AD329</f>
        <v>0</v>
      </c>
      <c r="AE283" s="9">
        <f>'Model inputs'!AE333*'Model inputs'!B171+('Model inputs'!AE237+'Model inputs'!AE317)*'Model inputs'!B81+'Model inputs'!AE349+'Model inputs'!AE329</f>
        <v>0</v>
      </c>
      <c r="AF283" s="9">
        <f>'Model inputs'!AF333*'Model inputs'!B171+('Model inputs'!AF237+'Model inputs'!AF317)*'Model inputs'!B81+'Model inputs'!AF349+'Model inputs'!AF329</f>
        <v>0</v>
      </c>
      <c r="AG283" s="9">
        <f>'Model inputs'!AG333*'Model inputs'!B171+('Model inputs'!AG237+'Model inputs'!AG317)*'Model inputs'!B81+'Model inputs'!AG349+'Model inputs'!AG329</f>
        <v>0</v>
      </c>
    </row>
    <row r="284" outlineLevel="1">
      <c r="A284" t="inlineStr" s="18">
        <is>
          <t xml:space="preserve">Cash collected &gt; Launch</t>
        </is>
      </c>
      <c r="C284" s="9">
        <f>IF('Model inputs'!C11="","",'Model inputs'!C11)</f>
        <v>0</v>
      </c>
      <c r="D284" s="9">
        <f>IF('Model inputs'!D11="","",'Model inputs'!D11)</f>
        <v>0</v>
      </c>
      <c r="E284" s="9">
        <f>IF('Model inputs'!E11="","",'Model inputs'!E11)</f>
        <v>526.36</v>
      </c>
      <c r="F284" s="9">
        <f>IF('Model inputs'!F11="","",'Model inputs'!F11)</f>
        <v>1190.38585</v>
      </c>
      <c r="G284" s="9">
        <f>IF('Model inputs'!G11="","",'Model inputs'!G11)</f>
        <v>1694.0472789861105</v>
      </c>
      <c r="H284" s="9">
        <f>IF('Model inputs'!H11="","",'Model inputs'!H11)</f>
        <v>2181.1402219713705</v>
      </c>
      <c r="I284" s="9">
        <f>IF('Model inputs'!I11="","",'Model inputs'!I11)</f>
        <v>2653.3468948407544</v>
      </c>
      <c r="J284" s="9">
        <f>IF('Model inputs'!J11="","",'Model inputs'!J11)</f>
        <v>3112.3679228149263</v>
      </c>
      <c r="K284" s="9">
        <f>IF('Model inputs'!K11="","",'Model inputs'!K11)</f>
        <v>3559.9378256713617</v>
      </c>
      <c r="L284" s="9">
        <f>IF('Model inputs'!L11="","",'Model inputs'!L11)</f>
        <v>2758.24177524009</v>
      </c>
      <c r="M284" s="9">
        <f>IF('Model inputs'!M11="","",'Model inputs'!M11)</f>
        <v>3002.2318336121766</v>
      </c>
      <c r="N284" s="9">
        <f>IF('Model inputs'!N11="","",'Model inputs'!N11)</f>
        <v>3255.8696811536925</v>
      </c>
      <c r="O284" s="9">
        <f>IF('Model inputs'!O11="","",'Model inputs'!O11)</f>
        <v>3517.153123928048</v>
      </c>
      <c r="P284" s="9">
        <f>IF('Model inputs'!P11="","",'Model inputs'!P11)</f>
        <v>3786.3126476580737</v>
      </c>
      <c r="Q284" s="9">
        <f>IF('Model inputs'!Q11="","",'Model inputs'!Q11)</f>
        <v>4063.584380847636</v>
      </c>
      <c r="R284" s="9">
        <f>IF('Model inputs'!R11="","",'Model inputs'!R11)</f>
        <v>4715.841995568784</v>
      </c>
      <c r="S284" s="9">
        <f>IF('Model inputs'!S11="","",'Model inputs'!S11)</f>
        <v>5265.711491962355</v>
      </c>
      <c r="T284" s="9">
        <f>IF('Model inputs'!T11="","",'Model inputs'!T11)</f>
        <v>5833.149285373777</v>
      </c>
      <c r="U284" s="9">
        <f>IF('Model inputs'!U11="","",'Model inputs'!U11)</f>
        <v>6419.8472544429615</v>
      </c>
      <c r="V284" s="9">
        <f>IF('Model inputs'!V11="","",'Model inputs'!V11)</f>
        <v>7027.630974811705</v>
      </c>
      <c r="W284" s="9">
        <f>'Model inputs'!W334*'Model inputs'!B172+('Model inputs'!W238+'Model inputs'!W318)*'Model inputs'!B82+'Model inputs'!W350+'Model inputs'!W330</f>
        <v>0</v>
      </c>
      <c r="X284" s="9">
        <f>'Model inputs'!X334*'Model inputs'!B172+('Model inputs'!X238+'Model inputs'!X318)*'Model inputs'!B82+'Model inputs'!X350+'Model inputs'!X330</f>
        <v>0</v>
      </c>
      <c r="Y284" s="9">
        <f>'Model inputs'!Y334*'Model inputs'!B172+('Model inputs'!Y238+'Model inputs'!Y318)*'Model inputs'!B82+'Model inputs'!Y350+'Model inputs'!Y330</f>
        <v>0</v>
      </c>
      <c r="Z284" s="9">
        <f>'Model inputs'!Z334*'Model inputs'!B172+('Model inputs'!Z238+'Model inputs'!Z318)*'Model inputs'!B82+'Model inputs'!Z350+'Model inputs'!Z330</f>
        <v>0</v>
      </c>
      <c r="AA284" s="9">
        <f>'Model inputs'!AA334*'Model inputs'!B172+('Model inputs'!AA238+'Model inputs'!AA318)*'Model inputs'!B82+'Model inputs'!AA350+'Model inputs'!AA330</f>
        <v>0</v>
      </c>
      <c r="AB284" s="9">
        <f>'Model inputs'!AB334*'Model inputs'!B172+('Model inputs'!AB238+'Model inputs'!AB318)*'Model inputs'!B82+'Model inputs'!AB350+'Model inputs'!AB330</f>
        <v>0</v>
      </c>
      <c r="AC284" s="9">
        <f>'Model inputs'!AC334*'Model inputs'!B172+('Model inputs'!AC238+'Model inputs'!AC318)*'Model inputs'!B82+'Model inputs'!AC350+'Model inputs'!AC330</f>
        <v>0</v>
      </c>
      <c r="AD284" s="9">
        <f>'Model inputs'!AD334*'Model inputs'!B172+('Model inputs'!AD238+'Model inputs'!AD318)*'Model inputs'!B82+'Model inputs'!AD350+'Model inputs'!AD330</f>
        <v>0</v>
      </c>
      <c r="AE284" s="9">
        <f>'Model inputs'!AE334*'Model inputs'!B172+('Model inputs'!AE238+'Model inputs'!AE318)*'Model inputs'!B82+'Model inputs'!AE350+'Model inputs'!AE330</f>
        <v>0</v>
      </c>
      <c r="AF284" s="9">
        <f>'Model inputs'!AF334*'Model inputs'!B172+('Model inputs'!AF238+'Model inputs'!AF318)*'Model inputs'!B82+'Model inputs'!AF350+'Model inputs'!AF330</f>
        <v>0</v>
      </c>
      <c r="AG284" s="9">
        <f>'Model inputs'!AG334*'Model inputs'!B172+('Model inputs'!AG238+'Model inputs'!AG318)*'Model inputs'!B82+'Model inputs'!AG350+'Model inputs'!AG330</f>
        <v>0</v>
      </c>
    </row>
    <row r="285" outlineLevel="1">
      <c r="A285" t="inlineStr" s="18">
        <is>
          <t xml:space="preserve">Cash collected &gt; Team</t>
        </is>
      </c>
      <c r="C285" s="9">
        <f>IF('Model inputs'!C12="","",'Model inputs'!C12)</f>
        <v>0</v>
      </c>
      <c r="D285" s="9">
        <f>IF('Model inputs'!D12="","",'Model inputs'!D12)</f>
        <v>0</v>
      </c>
      <c r="E285" s="9">
        <f>IF('Model inputs'!E12="","",'Model inputs'!E12)</f>
        <v>940.92</v>
      </c>
      <c r="F285" s="9">
        <f>IF('Model inputs'!F12="","",'Model inputs'!F12)</f>
        <v>2129.8994416666665</v>
      </c>
      <c r="G285" s="9">
        <f>IF('Model inputs'!G12="","",'Model inputs'!G12)</f>
        <v>3166.8098727916667</v>
      </c>
      <c r="H285" s="9">
        <f>IF('Model inputs'!H12="","",'Model inputs'!H12)</f>
        <v>4301.402409825828</v>
      </c>
      <c r="I285" s="9">
        <f>IF('Model inputs'!I12="","",'Model inputs'!I12)</f>
        <v>5539.064642929517</v>
      </c>
      <c r="J285" s="9">
        <f>IF('Model inputs'!J12="","",'Model inputs'!J12)</f>
        <v>6886.362861286267</v>
      </c>
      <c r="K285" s="9">
        <f>IF('Model inputs'!K12="","",'Model inputs'!K12)</f>
        <v>8351.101257487406</v>
      </c>
      <c r="L285" s="9">
        <f>IF('Model inputs'!L12="","",'Model inputs'!L12)</f>
        <v>7133.841951321224</v>
      </c>
      <c r="M285" s="9">
        <f>IF('Model inputs'!M12="","",'Model inputs'!M12)</f>
        <v>8128.902090183842</v>
      </c>
      <c r="N285" s="9">
        <f>IF('Model inputs'!N12="","",'Model inputs'!N12)</f>
        <v>8994.843721857133</v>
      </c>
      <c r="O285" s="9">
        <f>IF('Model inputs'!O12="","",'Model inputs'!O12)</f>
        <v>9887.120591341147</v>
      </c>
      <c r="P285" s="9">
        <f>IF('Model inputs'!P12="","",'Model inputs'!P12)</f>
        <v>10806.391480279588</v>
      </c>
      <c r="Q285" s="9">
        <f>IF('Model inputs'!Q12="","",'Model inputs'!Q12)</f>
        <v>11753.400224310035</v>
      </c>
      <c r="R285" s="9">
        <f>IF('Model inputs'!R12="","",'Model inputs'!R12)</f>
        <v>13275.451180483256</v>
      </c>
      <c r="S285" s="9">
        <f>IF('Model inputs'!S12="","",'Model inputs'!S12)</f>
        <v>14717.344364422432</v>
      </c>
      <c r="T285" s="9">
        <f>IF('Model inputs'!T12="","",'Model inputs'!T12)</f>
        <v>16267.05985618249</v>
      </c>
      <c r="U285" s="9">
        <f>IF('Model inputs'!U12="","",'Model inputs'!U12)</f>
        <v>17933.732098504475</v>
      </c>
      <c r="V285" s="9">
        <f>IF('Model inputs'!V12="","",'Model inputs'!V12)</f>
        <v>19727.74755454255</v>
      </c>
      <c r="W285" s="9">
        <f>'Model inputs'!W335*'Model inputs'!B173+('Model inputs'!W239+'Model inputs'!W319)*'Model inputs'!B83+'Model inputs'!W351+'Model inputs'!W331</f>
        <v>0</v>
      </c>
      <c r="X285" s="9">
        <f>'Model inputs'!X335*'Model inputs'!B173+('Model inputs'!X239+'Model inputs'!X319)*'Model inputs'!B83+'Model inputs'!X351+'Model inputs'!X331</f>
        <v>0</v>
      </c>
      <c r="Y285" s="9">
        <f>'Model inputs'!Y335*'Model inputs'!B173+('Model inputs'!Y239+'Model inputs'!Y319)*'Model inputs'!B83+'Model inputs'!Y351+'Model inputs'!Y331</f>
        <v>0</v>
      </c>
      <c r="Z285" s="9">
        <f>'Model inputs'!Z335*'Model inputs'!B173+('Model inputs'!Z239+'Model inputs'!Z319)*'Model inputs'!B83+'Model inputs'!Z351+'Model inputs'!Z331</f>
        <v>0</v>
      </c>
      <c r="AA285" s="9">
        <f>'Model inputs'!AA335*'Model inputs'!B173+('Model inputs'!AA239+'Model inputs'!AA319)*'Model inputs'!B83+'Model inputs'!AA351+'Model inputs'!AA331</f>
        <v>0</v>
      </c>
      <c r="AB285" s="9">
        <f>'Model inputs'!AB335*'Model inputs'!B173+('Model inputs'!AB239+'Model inputs'!AB319)*'Model inputs'!B83+'Model inputs'!AB351+'Model inputs'!AB331</f>
        <v>0</v>
      </c>
      <c r="AC285" s="9">
        <f>'Model inputs'!AC335*'Model inputs'!B173+('Model inputs'!AC239+'Model inputs'!AC319)*'Model inputs'!B83+'Model inputs'!AC351+'Model inputs'!AC331</f>
        <v>0</v>
      </c>
      <c r="AD285" s="9">
        <f>'Model inputs'!AD335*'Model inputs'!B173+('Model inputs'!AD239+'Model inputs'!AD319)*'Model inputs'!B83+'Model inputs'!AD351+'Model inputs'!AD331</f>
        <v>0</v>
      </c>
      <c r="AE285" s="9">
        <f>'Model inputs'!AE335*'Model inputs'!B173+('Model inputs'!AE239+'Model inputs'!AE319)*'Model inputs'!B83+'Model inputs'!AE351+'Model inputs'!AE331</f>
        <v>0</v>
      </c>
      <c r="AF285" s="9">
        <f>'Model inputs'!AF335*'Model inputs'!B173+('Model inputs'!AF239+'Model inputs'!AF319)*'Model inputs'!B83+'Model inputs'!AF351+'Model inputs'!AF331</f>
        <v>0</v>
      </c>
      <c r="AG285" s="9">
        <f>'Model inputs'!AG335*'Model inputs'!B173+('Model inputs'!AG239+'Model inputs'!AG319)*'Model inputs'!B83+'Model inputs'!AG351+'Model inputs'!AG331</f>
        <v>0</v>
      </c>
    </row>
    <row r="286">
      <c r="A286" t="inlineStr" s="16">
        <is>
          <t xml:space="preserve">Churned customers</t>
        </is>
      </c>
      <c r="C286" s="19">
        <f>IF('Model inputs'!C107="","",'Model inputs'!C107)</f>
        <v>0</v>
      </c>
      <c r="D286" s="19">
        <f>IF('Model inputs'!D107="","",'Model inputs'!D107)</f>
        <v>0</v>
      </c>
      <c r="E286" s="19">
        <f>IF('Model inputs'!E107="","",'Model inputs'!E107)</f>
        <v>0</v>
      </c>
      <c r="F286" s="19">
        <f>IF('Model inputs'!F107="","",'Model inputs'!F107)</f>
        <v>2.5949999999999998</v>
      </c>
      <c r="G286" s="19">
        <f>IF('Model inputs'!G107="","",'Model inputs'!G107)</f>
        <v>4.7545</v>
      </c>
      <c r="H286" s="19">
        <f>IF('Model inputs'!H107="","",'Model inputs'!H107)</f>
        <v>6.189471729166667</v>
      </c>
      <c r="I286" s="19">
        <f>IF('Model inputs'!I107="","",'Model inputs'!I107)</f>
        <v>7.67670344484375</v>
      </c>
      <c r="J286" s="19">
        <f>IF('Model inputs'!J107="","",'Model inputs'!J107)</f>
        <v>9.22458377005366</v>
      </c>
      <c r="K286" s="19">
        <f>IF('Model inputs'!K107="","",'Model inputs'!K107)</f>
        <v>10.841923285085763</v>
      </c>
      <c r="L286" s="19">
        <f>IF('Model inputs'!L107="","",'Model inputs'!L107)</f>
        <v>12.53800719356865</v>
      </c>
      <c r="M286" s="19">
        <f>IF('Model inputs'!M107="","",'Model inputs'!M107)</f>
        <v>14.322651198368181</v>
      </c>
      <c r="N286" s="19">
        <f>IF('Model inputs'!N107="","",'Model inputs'!N107)</f>
        <v>16.206260935808757</v>
      </c>
      <c r="O286" s="19">
        <f>IF('Model inputs'!O107="","",'Model inputs'!O107)</f>
        <v>18.08654281252618</v>
      </c>
      <c r="P286" s="19">
        <f>IF('Model inputs'!P107="","",'Model inputs'!P107)</f>
        <v>19.968314140900546</v>
      </c>
      <c r="Q286" s="19">
        <f>IF('Model inputs'!Q107="","",'Model inputs'!Q107)</f>
        <v>21.856264225340805</v>
      </c>
      <c r="R286" s="19">
        <f>IF('Model inputs'!R107="","",'Model inputs'!R107)</f>
        <v>23.75497031424573</v>
      </c>
      <c r="S286" s="19">
        <f>IF('Model inputs'!S107="","",'Model inputs'!S107)</f>
        <v>25.66891279557524</v>
      </c>
      <c r="T286" s="19">
        <f>IF('Model inputs'!T107="","",'Model inputs'!T107)</f>
        <v>27.602489698389732</v>
      </c>
      <c r="U286" s="19">
        <f>IF('Model inputs'!U107="","",'Model inputs'!U107)</f>
        <v>29.560030559047362</v>
      </c>
      <c r="V286" s="19">
        <f>IF('Model inputs'!V107="","",'Model inputs'!V107)</f>
        <v>31.545809707344752</v>
      </c>
      <c r="W286" s="19">
        <f>SUM('Model inputs'!W287,'Model inputs'!W288,'Model inputs'!W289)</f>
        <v>0</v>
      </c>
      <c r="X286" s="19">
        <f>SUM('Model inputs'!X287,'Model inputs'!X288,'Model inputs'!X289)</f>
        <v>0</v>
      </c>
      <c r="Y286" s="19">
        <f>SUM('Model inputs'!Y287,'Model inputs'!Y288,'Model inputs'!Y289)</f>
        <v>0</v>
      </c>
      <c r="Z286" s="19">
        <f>SUM('Model inputs'!Z287,'Model inputs'!Z288,'Model inputs'!Z289)</f>
        <v>0</v>
      </c>
      <c r="AA286" s="19">
        <f>SUM('Model inputs'!AA287,'Model inputs'!AA288,'Model inputs'!AA289)</f>
        <v>0</v>
      </c>
      <c r="AB286" s="19">
        <f>SUM('Model inputs'!AB287,'Model inputs'!AB288,'Model inputs'!AB289)</f>
        <v>0</v>
      </c>
      <c r="AC286" s="19">
        <f>SUM('Model inputs'!AC287,'Model inputs'!AC288,'Model inputs'!AC289)</f>
        <v>0</v>
      </c>
      <c r="AD286" s="19">
        <f>SUM('Model inputs'!AD287,'Model inputs'!AD288,'Model inputs'!AD289)</f>
        <v>0</v>
      </c>
      <c r="AE286" s="19">
        <f>SUM('Model inputs'!AE287,'Model inputs'!AE288,'Model inputs'!AE289)</f>
        <v>0</v>
      </c>
      <c r="AF286" s="19">
        <f>SUM('Model inputs'!AF287,'Model inputs'!AF288,'Model inputs'!AF289)</f>
        <v>0</v>
      </c>
      <c r="AG286" s="19">
        <f>SUM('Model inputs'!AG287,'Model inputs'!AG288,'Model inputs'!AG289)</f>
        <v>0</v>
      </c>
    </row>
    <row r="287" outlineLevel="1">
      <c r="A287" t="inlineStr" s="18">
        <is>
          <t xml:space="preserve">Churned customers &gt; Indie</t>
        </is>
      </c>
      <c r="C287" s="13">
        <f>IF('Model inputs'!C108="","",'Model inputs'!C108)</f>
        <v>0</v>
      </c>
      <c r="D287" s="13">
        <f>IF('Model inputs'!D108="","",'Model inputs'!D108)</f>
        <v>0</v>
      </c>
      <c r="E287" s="13">
        <f>IF('Model inputs'!E108="","",'Model inputs'!E108)</f>
        <v>0</v>
      </c>
      <c r="F287" s="13">
        <f>IF('Model inputs'!F108="","",'Model inputs'!F108)</f>
        <v>2.4</v>
      </c>
      <c r="G287" s="13">
        <f>IF('Model inputs'!G108="","",'Model inputs'!G108)</f>
        <v>4.46</v>
      </c>
      <c r="H287" s="13">
        <f>IF('Model inputs'!H108="","",'Model inputs'!H108)</f>
        <v>5.782666666666667</v>
      </c>
      <c r="I287" s="13">
        <f>IF('Model inputs'!I108="","",'Model inputs'!I108)</f>
        <v>7.146755555555556</v>
      </c>
      <c r="J287" s="13">
        <f>IF('Model inputs'!J108="","",'Model inputs'!J108)</f>
        <v>8.559873185185186</v>
      </c>
      <c r="K287" s="13">
        <f>IF('Model inputs'!K108="","",'Model inputs'!K108)</f>
        <v>10.029948412839508</v>
      </c>
      <c r="L287" s="13">
        <f>IF('Model inputs'!L108="","",'Model inputs'!L108)</f>
        <v>11.565277300516874</v>
      </c>
      <c r="M287" s="13">
        <f>IF('Model inputs'!M108="","",'Model inputs'!M108)</f>
        <v>13.17457029823175</v>
      </c>
      <c r="N287" s="13">
        <f>IF('Model inputs'!N108="","",'Model inputs'!N108)</f>
        <v>14.867002014852247</v>
      </c>
      <c r="O287" s="13">
        <f>IF('Model inputs'!O108="","",'Model inputs'!O108)</f>
        <v>16.549434406491486</v>
      </c>
      <c r="P287" s="13">
        <f>IF('Model inputs'!P108="","",'Model inputs'!P108)</f>
        <v>18.22664727305995</v>
      </c>
      <c r="Q287" s="13">
        <f>IF('Model inputs'!Q108="","",'Model inputs'!Q108)</f>
        <v>19.903266288270565</v>
      </c>
      <c r="R287" s="13">
        <f>IF('Model inputs'!R108="","",'Model inputs'!R108)</f>
        <v>21.58377985580372</v>
      </c>
      <c r="S287" s="13">
        <f>IF('Model inputs'!S108="","",'Model inputs'!S108)</f>
        <v>23.27255510497138</v>
      </c>
      <c r="T287" s="13">
        <f>IF('Model inputs'!T108="","",'Model inputs'!T108)</f>
        <v>24.973853093776718</v>
      </c>
      <c r="U287" s="13">
        <f>IF('Model inputs'!U108="","",'Model inputs'!U108)</f>
        <v>26.6918432831605</v>
      </c>
      <c r="V287" s="13">
        <f>IF('Model inputs'!V108="","",'Model inputs'!V108)</f>
        <v>28.43061734241079</v>
      </c>
      <c r="W287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inputs'!W258="",0,'Model inputs'!W258)*'Model inputs'!B232)</f>
        <v>0</v>
      </c>
      <c r="X287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inputs'!X258*'Model inputs'!B232)</f>
        <v>0</v>
      </c>
      <c r="Y287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inputs'!Y258*'Model inputs'!B232)</f>
        <v>0</v>
      </c>
      <c r="Z287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inputs'!Z258*'Model inputs'!B232)</f>
        <v>0</v>
      </c>
      <c r="AA287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inputs'!AA258*'Model inputs'!B232)</f>
        <v>0</v>
      </c>
      <c r="AB287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inputs'!AB258*'Model inputs'!B232)</f>
        <v>0</v>
      </c>
      <c r="AC287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inputs'!AC258*'Model inputs'!B232)</f>
        <v>0</v>
      </c>
      <c r="AD287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inputs'!AD258*'Model inputs'!B232)</f>
        <v>0</v>
      </c>
      <c r="AE287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inputs'!AE258*'Model inputs'!B232)</f>
        <v>0</v>
      </c>
      <c r="AF287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inputs'!AF258*'Model inputs'!B232)</f>
        <v>0</v>
      </c>
      <c r="AG287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inputs'!AG258*'Model inputs'!B232)</f>
        <v>0</v>
      </c>
    </row>
    <row r="288" outlineLevel="1">
      <c r="A288" t="inlineStr" s="18">
        <is>
          <t xml:space="preserve">Churned customers &gt; Launch</t>
        </is>
      </c>
      <c r="C288" s="13">
        <f>IF('Model inputs'!C109="","",'Model inputs'!C109)</f>
        <v>0</v>
      </c>
      <c r="D288" s="13">
        <f>IF('Model inputs'!D109="","",'Model inputs'!D109)</f>
        <v>0</v>
      </c>
      <c r="E288" s="13">
        <f>IF('Model inputs'!E109="","",'Model inputs'!E109)</f>
        <v>0</v>
      </c>
      <c r="F288" s="13">
        <f>IF('Model inputs'!F109="","",'Model inputs'!F109)</f>
        <v>0.015</v>
      </c>
      <c r="G288" s="13">
        <f>IF('Model inputs'!G109="","",'Model inputs'!G109)</f>
        <v>0.02265</v>
      </c>
      <c r="H288" s="13">
        <f>IF('Model inputs'!H109="","",'Model inputs'!H109)</f>
        <v>0.03037660416666666</v>
      </c>
      <c r="I288" s="13">
        <f>IF('Model inputs'!I109="","",'Model inputs'!I109)</f>
        <v>0.03820518105902777</v>
      </c>
      <c r="J288" s="13">
        <f>IF('Model inputs'!J109="","",'Model inputs'!J109)</f>
        <v>0.04615656731861978</v>
      </c>
      <c r="K288" s="13">
        <f>IF('Model inputs'!K109="","",'Model inputs'!K109)</f>
        <v>0.054252873012069346</v>
      </c>
      <c r="L288" s="13">
        <f>IF('Model inputs'!L109="","",'Model inputs'!L109)</f>
        <v>0.06251766741529285</v>
      </c>
      <c r="M288" s="13">
        <f>IF('Model inputs'!M109="","",'Model inputs'!M109)</f>
        <v>0.07097617787413947</v>
      </c>
      <c r="N288" s="13">
        <f>IF('Model inputs'!N109="","",'Model inputs'!N109)</f>
        <v>0.07965550337740715</v>
      </c>
      <c r="O288" s="13">
        <f>IF('Model inputs'!O109="","",'Model inputs'!O109)</f>
        <v>0.08858484461336918</v>
      </c>
      <c r="P288" s="13">
        <f>IF('Model inputs'!P109="","",'Model inputs'!P109)</f>
        <v>0.0977738293637964</v>
      </c>
      <c r="Q288" s="13">
        <f>IF('Model inputs'!Q109="","",'Model inputs'!Q109)</f>
        <v>0.1072319990868328</v>
      </c>
      <c r="R288" s="13">
        <f>IF('Model inputs'!R109="","",'Model inputs'!R109)</f>
        <v>0.11696886480466241</v>
      </c>
      <c r="S288" s="13">
        <f>IF('Model inputs'!S109="","",'Model inputs'!S109)</f>
        <v>0.12699396015267028</v>
      </c>
      <c r="T288" s="13">
        <f>IF('Model inputs'!T109="","",'Model inputs'!T109)</f>
        <v>0.13731689185548684</v>
      </c>
      <c r="U288" s="13">
        <f>IF('Model inputs'!U109="","",'Model inputs'!U109)</f>
        <v>0.14794738787923273</v>
      </c>
      <c r="V288" s="13">
        <f>IF('Model inputs'!V109="","",'Model inputs'!V109)</f>
        <v>0.15889534349439347</v>
      </c>
      <c r="W288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inputs'!W259="",0,'Model inputs'!W259)*'Model inputs'!B233)</f>
        <v>0</v>
      </c>
      <c r="X288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inputs'!X259*'Model inputs'!B233)</f>
        <v>0</v>
      </c>
      <c r="Y288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inputs'!Y259*'Model inputs'!B233)</f>
        <v>0</v>
      </c>
      <c r="Z288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inputs'!Z259*'Model inputs'!B233)</f>
        <v>0</v>
      </c>
      <c r="AA288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inputs'!AA259*'Model inputs'!B233)</f>
        <v>0</v>
      </c>
      <c r="AB288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inputs'!AB259*'Model inputs'!B233)</f>
        <v>0</v>
      </c>
      <c r="AC288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inputs'!AC259*'Model inputs'!B233)</f>
        <v>0</v>
      </c>
      <c r="AD288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inputs'!AD259*'Model inputs'!B233)</f>
        <v>0</v>
      </c>
      <c r="AE288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inputs'!AE259*'Model inputs'!B233)</f>
        <v>0</v>
      </c>
      <c r="AF288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inputs'!AF259*'Model inputs'!B233)</f>
        <v>0</v>
      </c>
      <c r="AG288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inputs'!AG259*'Model inputs'!B233)</f>
        <v>0</v>
      </c>
    </row>
    <row r="289" outlineLevel="1">
      <c r="A289" t="inlineStr" s="18">
        <is>
          <t xml:space="preserve">Churned customers &gt; Team</t>
        </is>
      </c>
      <c r="C289" s="13">
        <f>IF('Model inputs'!C110="","",'Model inputs'!C110)</f>
        <v>0</v>
      </c>
      <c r="D289" s="13">
        <f>IF('Model inputs'!D110="","",'Model inputs'!D110)</f>
        <v>0</v>
      </c>
      <c r="E289" s="13">
        <f>IF('Model inputs'!E110="","",'Model inputs'!E110)</f>
        <v>0</v>
      </c>
      <c r="F289" s="13">
        <f>IF('Model inputs'!F110="","",'Model inputs'!F110)</f>
        <v>0.18</v>
      </c>
      <c r="G289" s="13">
        <f>IF('Model inputs'!G110="","",'Model inputs'!G110)</f>
        <v>0.27185000000000004</v>
      </c>
      <c r="H289" s="13">
        <f>IF('Model inputs'!H110="","",'Model inputs'!H110)</f>
        <v>0.3764284583333333</v>
      </c>
      <c r="I289" s="13">
        <f>IF('Model inputs'!I110="","",'Model inputs'!I110)</f>
        <v>0.4917427082291666</v>
      </c>
      <c r="J289" s="13">
        <f>IF('Model inputs'!J110="","",'Model inputs'!J110)</f>
        <v>0.6185540175498553</v>
      </c>
      <c r="K289" s="13">
        <f>IF('Model inputs'!K110="","",'Model inputs'!K110)</f>
        <v>0.7577219992341859</v>
      </c>
      <c r="L289" s="13">
        <f>IF('Model inputs'!L110="","",'Model inputs'!L110)</f>
        <v>0.910212225636483</v>
      </c>
      <c r="M289" s="13">
        <f>IF('Model inputs'!M110="","",'Model inputs'!M110)</f>
        <v>1.0771047222622927</v>
      </c>
      <c r="N289" s="13">
        <f>IF('Model inputs'!N110="","",'Model inputs'!N110)</f>
        <v>1.2596034175791035</v>
      </c>
      <c r="O289" s="13">
        <f>IF('Model inputs'!O110="","",'Model inputs'!O110)</f>
        <v>1.4485235614213252</v>
      </c>
      <c r="P289" s="13">
        <f>IF('Model inputs'!P110="","",'Model inputs'!P110)</f>
        <v>1.6438930384768016</v>
      </c>
      <c r="Q289" s="13">
        <f>IF('Model inputs'!Q110="","",'Model inputs'!Q110)</f>
        <v>1.845765937983407</v>
      </c>
      <c r="R289" s="13">
        <f>IF('Model inputs'!R110="","",'Model inputs'!R110)</f>
        <v>2.054221593637347</v>
      </c>
      <c r="S289" s="13">
        <f>IF('Model inputs'!S110="","",'Model inputs'!S110)</f>
        <v>2.2693637304511856</v>
      </c>
      <c r="T289" s="13">
        <f>IF('Model inputs'!T110="","",'Model inputs'!T110)</f>
        <v>2.491319712757528</v>
      </c>
      <c r="U289" s="13">
        <f>IF('Model inputs'!U110="","",'Model inputs'!U110)</f>
        <v>2.720239888007629</v>
      </c>
      <c r="V289" s="13">
        <f>IF('Model inputs'!V110="","",'Model inputs'!V110)</f>
        <v>2.956297021439567</v>
      </c>
      <c r="W289" s="13">
        <f>IF(IF(IF(ISERROR('Model inputs'!W230&lt;1),'Model inputs'!W230&lt;1,IF('Model inputs'!W230="","",'Model inputs'!W230&lt;1))="",FALSE,IF(ISERROR('Model inputs'!W230&lt;1),'Model inputs'!W230&lt;1,IF('Model inputs'!W230="","",'Model inputs'!W230&lt;1))),0,IF('Model inputs'!W260="",0,'Model inputs'!W260)*'Model inputs'!B234)</f>
        <v>0</v>
      </c>
      <c r="X289" s="13">
        <f>IF(IF(IF(ISERROR('Model inputs'!X230&lt;1),'Model inputs'!X230&lt;1,IF('Model inputs'!X230="","",'Model inputs'!X230&lt;1))="",FALSE,IF(ISERROR('Model inputs'!X230&lt;1),'Model inputs'!X230&lt;1,IF('Model inputs'!X230="","",'Model inputs'!X230&lt;1))),0,'Model inputs'!X260*'Model inputs'!B234)</f>
        <v>0</v>
      </c>
      <c r="Y289" s="13">
        <f>IF(IF(IF(ISERROR('Model inputs'!Y230&lt;1),'Model inputs'!Y230&lt;1,IF('Model inputs'!Y230="","",'Model inputs'!Y230&lt;1))="",FALSE,IF(ISERROR('Model inputs'!Y230&lt;1),'Model inputs'!Y230&lt;1,IF('Model inputs'!Y230="","",'Model inputs'!Y230&lt;1))),0,'Model inputs'!Y260*'Model inputs'!B234)</f>
        <v>0</v>
      </c>
      <c r="Z289" s="13">
        <f>IF(IF(IF(ISERROR('Model inputs'!Z230&lt;1),'Model inputs'!Z230&lt;1,IF('Model inputs'!Z230="","",'Model inputs'!Z230&lt;1))="",FALSE,IF(ISERROR('Model inputs'!Z230&lt;1),'Model inputs'!Z230&lt;1,IF('Model inputs'!Z230="","",'Model inputs'!Z230&lt;1))),0,'Model inputs'!Z260*'Model inputs'!B234)</f>
        <v>0</v>
      </c>
      <c r="AA289" s="13">
        <f>IF(IF(IF(ISERROR('Model inputs'!AA230&lt;1),'Model inputs'!AA230&lt;1,IF('Model inputs'!AA230="","",'Model inputs'!AA230&lt;1))="",FALSE,IF(ISERROR('Model inputs'!AA230&lt;1),'Model inputs'!AA230&lt;1,IF('Model inputs'!AA230="","",'Model inputs'!AA230&lt;1))),0,'Model inputs'!AA260*'Model inputs'!B234)</f>
        <v>0</v>
      </c>
      <c r="AB289" s="13">
        <f>IF(IF(IF(ISERROR('Model inputs'!AB230&lt;1),'Model inputs'!AB230&lt;1,IF('Model inputs'!AB230="","",'Model inputs'!AB230&lt;1))="",FALSE,IF(ISERROR('Model inputs'!AB230&lt;1),'Model inputs'!AB230&lt;1,IF('Model inputs'!AB230="","",'Model inputs'!AB230&lt;1))),0,'Model inputs'!AB260*'Model inputs'!B234)</f>
        <v>0</v>
      </c>
      <c r="AC289" s="13">
        <f>IF(IF(IF(ISERROR('Model inputs'!AC230&lt;1),'Model inputs'!AC230&lt;1,IF('Model inputs'!AC230="","",'Model inputs'!AC230&lt;1))="",FALSE,IF(ISERROR('Model inputs'!AC230&lt;1),'Model inputs'!AC230&lt;1,IF('Model inputs'!AC230="","",'Model inputs'!AC230&lt;1))),0,'Model inputs'!AC260*'Model inputs'!B234)</f>
        <v>0</v>
      </c>
      <c r="AD289" s="13">
        <f>IF(IF(IF(ISERROR('Model inputs'!AD230&lt;1),'Model inputs'!AD230&lt;1,IF('Model inputs'!AD230="","",'Model inputs'!AD230&lt;1))="",FALSE,IF(ISERROR('Model inputs'!AD230&lt;1),'Model inputs'!AD230&lt;1,IF('Model inputs'!AD230="","",'Model inputs'!AD230&lt;1))),0,'Model inputs'!AD260*'Model inputs'!B234)</f>
        <v>0</v>
      </c>
      <c r="AE289" s="13">
        <f>IF(IF(IF(ISERROR('Model inputs'!AE230&lt;1),'Model inputs'!AE230&lt;1,IF('Model inputs'!AE230="","",'Model inputs'!AE230&lt;1))="",FALSE,IF(ISERROR('Model inputs'!AE230&lt;1),'Model inputs'!AE230&lt;1,IF('Model inputs'!AE230="","",'Model inputs'!AE230&lt;1))),0,'Model inputs'!AE260*'Model inputs'!B234)</f>
        <v>0</v>
      </c>
      <c r="AF289" s="13">
        <f>IF(IF(IF(ISERROR('Model inputs'!AF230&lt;1),'Model inputs'!AF230&lt;1,IF('Model inputs'!AF230="","",'Model inputs'!AF230&lt;1))="",FALSE,IF(ISERROR('Model inputs'!AF230&lt;1),'Model inputs'!AF230&lt;1,IF('Model inputs'!AF230="","",'Model inputs'!AF230&lt;1))),0,'Model inputs'!AF260*'Model inputs'!B234)</f>
        <v>0</v>
      </c>
      <c r="AG289" s="13">
        <f>IF(IF(IF(ISERROR('Model inputs'!AG230&lt;1),'Model inputs'!AG230&lt;1,IF('Model inputs'!AG230="","",'Model inputs'!AG230&lt;1))="",FALSE,IF(ISERROR('Model inputs'!AG230&lt;1),'Model inputs'!AG230&lt;1,IF('Model inputs'!AG230="","",'Model inputs'!AG230&lt;1))),0,'Model inputs'!AG260*'Model inputs'!B234)</f>
        <v>0</v>
      </c>
    </row>
    <row r="290">
      <c r="A290" t="inlineStr" s="16">
        <is>
          <t xml:space="preserve">Equity raised · Cash on hand</t>
        </is>
      </c>
      <c r="C290" s="9">
        <f>IF('Model inputs'!C23="","",'Model inputs'!C23)</f>
        <v>0</v>
      </c>
      <c r="D290" s="9">
        <f>IF('Model inputs'!D23="","",'Model inputs'!D23)</f>
        <v>0</v>
      </c>
      <c r="E290" s="9">
        <f>IF('Model inputs'!E23="","",'Model inputs'!E23)</f>
        <v>0</v>
      </c>
      <c r="F290" s="9">
        <f>IF('Model inputs'!F23="","",'Model inputs'!F23)</f>
        <v>0</v>
      </c>
      <c r="G290" s="9">
        <f>IF('Model inputs'!G23="","",'Model inputs'!G23)</f>
        <v>0</v>
      </c>
      <c r="H290" s="9">
        <f>IF('Model inputs'!H23="","",'Model inputs'!H23)</f>
        <v>0</v>
      </c>
      <c r="I290" s="9">
        <f>IF('Model inputs'!I23="","",'Model inputs'!I23)</f>
        <v>0</v>
      </c>
      <c r="J290" s="9">
        <f>IF('Model inputs'!J23="","",'Model inputs'!J23)</f>
        <v>0</v>
      </c>
      <c r="K290" s="9">
        <f>IF('Model inputs'!K23="","",'Model inputs'!K23)</f>
        <v>0</v>
      </c>
      <c r="L290" s="9">
        <f>IF('Model inputs'!L23="","",'Model inputs'!L23)</f>
        <v>0</v>
      </c>
      <c r="M290" s="9">
        <f>IF('Model inputs'!M23="","",'Model inputs'!M23)</f>
        <v>0</v>
      </c>
      <c r="N290" s="9">
        <f>IF('Model inputs'!N23="","",'Model inputs'!N23)</f>
        <v>0</v>
      </c>
      <c r="O290" s="9">
        <f>IF('Model inputs'!O23="","",'Model inputs'!O23)</f>
        <v>0</v>
      </c>
      <c r="P290" s="9">
        <f>IF('Model inputs'!P23="","",'Model inputs'!P23)</f>
        <v>0</v>
      </c>
      <c r="Q290" s="9">
        <f>IF('Model inputs'!Q23="","",'Model inputs'!Q23)</f>
        <v>0</v>
      </c>
      <c r="R290" s="9">
        <f>IF('Model inputs'!R23="","",'Model inputs'!R23)</f>
        <v>0</v>
      </c>
      <c r="S290" s="9">
        <f>IF('Model inputs'!S23="","",'Model inputs'!S23)</f>
        <v>0</v>
      </c>
      <c r="T290" s="9">
        <f>IF('Model inputs'!T23="","",'Model inputs'!T23)</f>
        <v>0</v>
      </c>
      <c r="U290" s="9">
        <f>IF('Model inputs'!U23="","",'Model inputs'!U23)</f>
        <v>0</v>
      </c>
      <c r="V290" s="9">
        <f>IF('Model inputs'!V23="","",'Model inputs'!V23)</f>
        <v>0</v>
      </c>
      <c r="W290" s="9">
        <f>IF(IF(IF(IFERROR(IF(ISERROR('Model inputs'!B8=1),'Model inputs'!B8=1,IF('Model inputs'!B8="","",'Model inputs'!B8=1))=FALSE,FALSE),FALSE,IF(IFERROR('Model inputs'!B1089=FALSE,FALSE),FALSE,IF(IFERROR('Model inputs'!B1090=FALSE,FALSE),FALSE,IF(OR(IF(ISERROR('Model inputs'!B8=1),'Model inputs'!B8=1,IF('Model inputs'!B8="","",'Model inputs'!B8=1))="",'Model inputs'!B1089="",'Model inputs'!B1090=""),"",AND(IF(ISERROR('Model inputs'!B8=1),'Model inputs'!B8=1,IF('Model inputs'!B8="","",'Model inputs'!B8=1)),'Model inputs'!B1089,'Model inputs'!B1090)))))="",FALSE,IF(IFERROR(IF(ISERROR('Model inputs'!B8=1),'Model inputs'!B8=1,IF('Model inputs'!B8="","",'Model inputs'!B8=1))=FALSE,FALSE),FALSE,IF(IFERROR('Model inputs'!B1089=FALSE,FALSE),FALSE,IF(IFERROR('Model inputs'!B1090=FALSE,FALSE),FALSE,IF(OR(IF(ISERROR('Model inputs'!B8=1),'Model inputs'!B8=1,IF('Model inputs'!B8="","",'Model inputs'!B8=1))="",'Model inputs'!B1089="",'Model inputs'!B1090=""),"",AND(IF(ISERROR('Model inputs'!B8=1),'Model inputs'!B8=1,IF('Model inputs'!B8="","",'Model inputs'!B8=1)),'Model inputs'!B1089,'Model inputs'!B1090)))))),IF('Model inputs'!B6="","",'Model inputs'!B6),0)</f>
        <v>0</v>
      </c>
      <c r="X290" s="9">
        <f>IF(IF(IF(IFERROR(IF(ISERROR('Model inputs'!B8=1),'Model inputs'!B8=1,IF('Model inputs'!B8="","",'Model inputs'!B8=1))=FALSE,FALSE),FALSE,IF(IFERROR('Model inputs'!B1091=FALSE,FALSE),FALSE,IF(IFERROR('Model inputs'!B1092=FALSE,FALSE),FALSE,IF(OR(IF(ISERROR('Model inputs'!B8=1),'Model inputs'!B8=1,IF('Model inputs'!B8="","",'Model inputs'!B8=1))="",'Model inputs'!B1091="",'Model inputs'!B1092=""),"",AND(IF(ISERROR('Model inputs'!B8=1),'Model inputs'!B8=1,IF('Model inputs'!B8="","",'Model inputs'!B8=1)),'Model inputs'!B1091,'Model inputs'!B1092)))))="",FALSE,IF(IFERROR(IF(ISERROR('Model inputs'!B8=1),'Model inputs'!B8=1,IF('Model inputs'!B8="","",'Model inputs'!B8=1))=FALSE,FALSE),FALSE,IF(IFERROR('Model inputs'!B1091=FALSE,FALSE),FALSE,IF(IFERROR('Model inputs'!B1092=FALSE,FALSE),FALSE,IF(OR(IF(ISERROR('Model inputs'!B8=1),'Model inputs'!B8=1,IF('Model inputs'!B8="","",'Model inputs'!B8=1))="",'Model inputs'!B1091="",'Model inputs'!B1092=""),"",AND(IF(ISERROR('Model inputs'!B8=1),'Model inputs'!B8=1,IF('Model inputs'!B8="","",'Model inputs'!B8=1)),'Model inputs'!B1091,'Model inputs'!B1092)))))),IF('Model inputs'!B6="","",'Model inputs'!B6),0)</f>
        <v>0</v>
      </c>
      <c r="Y290" s="9">
        <f>IF(IF(IF(IFERROR(IF(ISERROR('Model inputs'!B8=1),'Model inputs'!B8=1,IF('Model inputs'!B8="","",'Model inputs'!B8=1))=FALSE,FALSE),FALSE,IF(IFERROR('Model inputs'!B1093=FALSE,FALSE),FALSE,IF(IFERROR('Model inputs'!B1094=FALSE,FALSE),FALSE,IF(OR(IF(ISERROR('Model inputs'!B8=1),'Model inputs'!B8=1,IF('Model inputs'!B8="","",'Model inputs'!B8=1))="",'Model inputs'!B1093="",'Model inputs'!B1094=""),"",AND(IF(ISERROR('Model inputs'!B8=1),'Model inputs'!B8=1,IF('Model inputs'!B8="","",'Model inputs'!B8=1)),'Model inputs'!B1093,'Model inputs'!B1094)))))="",FALSE,IF(IFERROR(IF(ISERROR('Model inputs'!B8=1),'Model inputs'!B8=1,IF('Model inputs'!B8="","",'Model inputs'!B8=1))=FALSE,FALSE),FALSE,IF(IFERROR('Model inputs'!B1093=FALSE,FALSE),FALSE,IF(IFERROR('Model inputs'!B1094=FALSE,FALSE),FALSE,IF(OR(IF(ISERROR('Model inputs'!B8=1),'Model inputs'!B8=1,IF('Model inputs'!B8="","",'Model inputs'!B8=1))="",'Model inputs'!B1093="",'Model inputs'!B1094=""),"",AND(IF(ISERROR('Model inputs'!B8=1),'Model inputs'!B8=1,IF('Model inputs'!B8="","",'Model inputs'!B8=1)),'Model inputs'!B1093,'Model inputs'!B1094)))))),IF('Model inputs'!B6="","",'Model inputs'!B6),0)</f>
        <v>0</v>
      </c>
      <c r="Z290" s="9">
        <f>IF(IF(IF(IFERROR(IF(ISERROR('Model inputs'!B8=1),'Model inputs'!B8=1,IF('Model inputs'!B8="","",'Model inputs'!B8=1))=FALSE,FALSE),FALSE,IF(IFERROR('Model inputs'!B1095=FALSE,FALSE),FALSE,IF(IFERROR('Model inputs'!B1096=FALSE,FALSE),FALSE,IF(OR(IF(ISERROR('Model inputs'!B8=1),'Model inputs'!B8=1,IF('Model inputs'!B8="","",'Model inputs'!B8=1))="",'Model inputs'!B1095="",'Model inputs'!B1096=""),"",AND(IF(ISERROR('Model inputs'!B8=1),'Model inputs'!B8=1,IF('Model inputs'!B8="","",'Model inputs'!B8=1)),'Model inputs'!B1095,'Model inputs'!B1096)))))="",FALSE,IF(IFERROR(IF(ISERROR('Model inputs'!B8=1),'Model inputs'!B8=1,IF('Model inputs'!B8="","",'Model inputs'!B8=1))=FALSE,FALSE),FALSE,IF(IFERROR('Model inputs'!B1095=FALSE,FALSE),FALSE,IF(IFERROR('Model inputs'!B1096=FALSE,FALSE),FALSE,IF(OR(IF(ISERROR('Model inputs'!B8=1),'Model inputs'!B8=1,IF('Model inputs'!B8="","",'Model inputs'!B8=1))="",'Model inputs'!B1095="",'Model inputs'!B1096=""),"",AND(IF(ISERROR('Model inputs'!B8=1),'Model inputs'!B8=1,IF('Model inputs'!B8="","",'Model inputs'!B8=1)),'Model inputs'!B1095,'Model inputs'!B1096)))))),IF('Model inputs'!B6="","",'Model inputs'!B6),0)</f>
        <v>0</v>
      </c>
      <c r="AA290" s="9">
        <f>IF(IF(IF(IFERROR(IF(ISERROR('Model inputs'!B8=1),'Model inputs'!B8=1,IF('Model inputs'!B8="","",'Model inputs'!B8=1))=FALSE,FALSE),FALSE,IF(IFERROR('Model inputs'!B1097=FALSE,FALSE),FALSE,IF(IFERROR('Model inputs'!B1098=FALSE,FALSE),FALSE,IF(OR(IF(ISERROR('Model inputs'!B8=1),'Model inputs'!B8=1,IF('Model inputs'!B8="","",'Model inputs'!B8=1))="",'Model inputs'!B1097="",'Model inputs'!B1098=""),"",AND(IF(ISERROR('Model inputs'!B8=1),'Model inputs'!B8=1,IF('Model inputs'!B8="","",'Model inputs'!B8=1)),'Model inputs'!B1097,'Model inputs'!B1098)))))="",FALSE,IF(IFERROR(IF(ISERROR('Model inputs'!B8=1),'Model inputs'!B8=1,IF('Model inputs'!B8="","",'Model inputs'!B8=1))=FALSE,FALSE),FALSE,IF(IFERROR('Model inputs'!B1097=FALSE,FALSE),FALSE,IF(IFERROR('Model inputs'!B1098=FALSE,FALSE),FALSE,IF(OR(IF(ISERROR('Model inputs'!B8=1),'Model inputs'!B8=1,IF('Model inputs'!B8="","",'Model inputs'!B8=1))="",'Model inputs'!B1097="",'Model inputs'!B1098=""),"",AND(IF(ISERROR('Model inputs'!B8=1),'Model inputs'!B8=1,IF('Model inputs'!B8="","",'Model inputs'!B8=1)),'Model inputs'!B1097,'Model inputs'!B1098)))))),IF('Model inputs'!B6="","",'Model inputs'!B6),0)</f>
        <v>0</v>
      </c>
      <c r="AB290" s="9">
        <f>IF(IF(IF(IFERROR(IF(ISERROR('Model inputs'!B8=1),'Model inputs'!B8=1,IF('Model inputs'!B8="","",'Model inputs'!B8=1))=FALSE,FALSE),FALSE,IF(IFERROR('Model inputs'!B1099=FALSE,FALSE),FALSE,IF(IFERROR('Model inputs'!B1100=FALSE,FALSE),FALSE,IF(OR(IF(ISERROR('Model inputs'!B8=1),'Model inputs'!B8=1,IF('Model inputs'!B8="","",'Model inputs'!B8=1))="",'Model inputs'!B1099="",'Model inputs'!B1100=""),"",AND(IF(ISERROR('Model inputs'!B8=1),'Model inputs'!B8=1,IF('Model inputs'!B8="","",'Model inputs'!B8=1)),'Model inputs'!B1099,'Model inputs'!B1100)))))="",FALSE,IF(IFERROR(IF(ISERROR('Model inputs'!B8=1),'Model inputs'!B8=1,IF('Model inputs'!B8="","",'Model inputs'!B8=1))=FALSE,FALSE),FALSE,IF(IFERROR('Model inputs'!B1099=FALSE,FALSE),FALSE,IF(IFERROR('Model inputs'!B1100=FALSE,FALSE),FALSE,IF(OR(IF(ISERROR('Model inputs'!B8=1),'Model inputs'!B8=1,IF('Model inputs'!B8="","",'Model inputs'!B8=1))="",'Model inputs'!B1099="",'Model inputs'!B1100=""),"",AND(IF(ISERROR('Model inputs'!B8=1),'Model inputs'!B8=1,IF('Model inputs'!B8="","",'Model inputs'!B8=1)),'Model inputs'!B1099,'Model inputs'!B1100)))))),IF('Model inputs'!B6="","",'Model inputs'!B6),0)</f>
        <v>0</v>
      </c>
      <c r="AC290" s="9">
        <f>IF(IF(IF(IFERROR(IF(ISERROR('Model inputs'!B8=1),'Model inputs'!B8=1,IF('Model inputs'!B8="","",'Model inputs'!B8=1))=FALSE,FALSE),FALSE,IF(IFERROR('Model inputs'!B1101=FALSE,FALSE),FALSE,IF(IFERROR('Model inputs'!B1102=FALSE,FALSE),FALSE,IF(OR(IF(ISERROR('Model inputs'!B8=1),'Model inputs'!B8=1,IF('Model inputs'!B8="","",'Model inputs'!B8=1))="",'Model inputs'!B1101="",'Model inputs'!B1102=""),"",AND(IF(ISERROR('Model inputs'!B8=1),'Model inputs'!B8=1,IF('Model inputs'!B8="","",'Model inputs'!B8=1)),'Model inputs'!B1101,'Model inputs'!B1102)))))="",FALSE,IF(IFERROR(IF(ISERROR('Model inputs'!B8=1),'Model inputs'!B8=1,IF('Model inputs'!B8="","",'Model inputs'!B8=1))=FALSE,FALSE),FALSE,IF(IFERROR('Model inputs'!B1101=FALSE,FALSE),FALSE,IF(IFERROR('Model inputs'!B1102=FALSE,FALSE),FALSE,IF(OR(IF(ISERROR('Model inputs'!B8=1),'Model inputs'!B8=1,IF('Model inputs'!B8="","",'Model inputs'!B8=1))="",'Model inputs'!B1101="",'Model inputs'!B1102=""),"",AND(IF(ISERROR('Model inputs'!B8=1),'Model inputs'!B8=1,IF('Model inputs'!B8="","",'Model inputs'!B8=1)),'Model inputs'!B1101,'Model inputs'!B1102)))))),IF('Model inputs'!B6="","",'Model inputs'!B6),0)</f>
        <v>0</v>
      </c>
      <c r="AD290" s="9">
        <f>IF(IF(IF(IFERROR(IF(ISERROR('Model inputs'!B8=1),'Model inputs'!B8=1,IF('Model inputs'!B8="","",'Model inputs'!B8=1))=FALSE,FALSE),FALSE,IF(IFERROR('Model inputs'!B1103=FALSE,FALSE),FALSE,IF(IFERROR('Model inputs'!B1104=FALSE,FALSE),FALSE,IF(OR(IF(ISERROR('Model inputs'!B8=1),'Model inputs'!B8=1,IF('Model inputs'!B8="","",'Model inputs'!B8=1))="",'Model inputs'!B1103="",'Model inputs'!B1104=""),"",AND(IF(ISERROR('Model inputs'!B8=1),'Model inputs'!B8=1,IF('Model inputs'!B8="","",'Model inputs'!B8=1)),'Model inputs'!B1103,'Model inputs'!B1104)))))="",FALSE,IF(IFERROR(IF(ISERROR('Model inputs'!B8=1),'Model inputs'!B8=1,IF('Model inputs'!B8="","",'Model inputs'!B8=1))=FALSE,FALSE),FALSE,IF(IFERROR('Model inputs'!B1103=FALSE,FALSE),FALSE,IF(IFERROR('Model inputs'!B1104=FALSE,FALSE),FALSE,IF(OR(IF(ISERROR('Model inputs'!B8=1),'Model inputs'!B8=1,IF('Model inputs'!B8="","",'Model inputs'!B8=1))="",'Model inputs'!B1103="",'Model inputs'!B1104=""),"",AND(IF(ISERROR('Model inputs'!B8=1),'Model inputs'!B8=1,IF('Model inputs'!B8="","",'Model inputs'!B8=1)),'Model inputs'!B1103,'Model inputs'!B1104)))))),IF('Model inputs'!B6="","",'Model inputs'!B6),0)</f>
        <v>0</v>
      </c>
      <c r="AE290" s="9">
        <f>IF(IF(IF(IFERROR(IF(ISERROR('Model inputs'!B8=1),'Model inputs'!B8=1,IF('Model inputs'!B8="","",'Model inputs'!B8=1))=FALSE,FALSE),FALSE,IF(IFERROR('Model inputs'!B1105=FALSE,FALSE),FALSE,IF(IFERROR('Model inputs'!B1106=FALSE,FALSE),FALSE,IF(OR(IF(ISERROR('Model inputs'!B8=1),'Model inputs'!B8=1,IF('Model inputs'!B8="","",'Model inputs'!B8=1))="",'Model inputs'!B1105="",'Model inputs'!B1106=""),"",AND(IF(ISERROR('Model inputs'!B8=1),'Model inputs'!B8=1,IF('Model inputs'!B8="","",'Model inputs'!B8=1)),'Model inputs'!B1105,'Model inputs'!B1106)))))="",FALSE,IF(IFERROR(IF(ISERROR('Model inputs'!B8=1),'Model inputs'!B8=1,IF('Model inputs'!B8="","",'Model inputs'!B8=1))=FALSE,FALSE),FALSE,IF(IFERROR('Model inputs'!B1105=FALSE,FALSE),FALSE,IF(IFERROR('Model inputs'!B1106=FALSE,FALSE),FALSE,IF(OR(IF(ISERROR('Model inputs'!B8=1),'Model inputs'!B8=1,IF('Model inputs'!B8="","",'Model inputs'!B8=1))="",'Model inputs'!B1105="",'Model inputs'!B1106=""),"",AND(IF(ISERROR('Model inputs'!B8=1),'Model inputs'!B8=1,IF('Model inputs'!B8="","",'Model inputs'!B8=1)),'Model inputs'!B1105,'Model inputs'!B1106)))))),IF('Model inputs'!B6="","",'Model inputs'!B6),0)</f>
        <v>0</v>
      </c>
      <c r="AF290" s="9">
        <f>IF(IF(IF(IFERROR(IF(ISERROR('Model inputs'!B8=1),'Model inputs'!B8=1,IF('Model inputs'!B8="","",'Model inputs'!B8=1))=FALSE,FALSE),FALSE,IF(IFERROR('Model inputs'!B1107=FALSE,FALSE),FALSE,IF(IFERROR('Model inputs'!B1108=FALSE,FALSE),FALSE,IF(OR(IF(ISERROR('Model inputs'!B8=1),'Model inputs'!B8=1,IF('Model inputs'!B8="","",'Model inputs'!B8=1))="",'Model inputs'!B1107="",'Model inputs'!B1108=""),"",AND(IF(ISERROR('Model inputs'!B8=1),'Model inputs'!B8=1,IF('Model inputs'!B8="","",'Model inputs'!B8=1)),'Model inputs'!B1107,'Model inputs'!B1108)))))="",FALSE,IF(IFERROR(IF(ISERROR('Model inputs'!B8=1),'Model inputs'!B8=1,IF('Model inputs'!B8="","",'Model inputs'!B8=1))=FALSE,FALSE),FALSE,IF(IFERROR('Model inputs'!B1107=FALSE,FALSE),FALSE,IF(IFERROR('Model inputs'!B1108=FALSE,FALSE),FALSE,IF(OR(IF(ISERROR('Model inputs'!B8=1),'Model inputs'!B8=1,IF('Model inputs'!B8="","",'Model inputs'!B8=1))="",'Model inputs'!B1107="",'Model inputs'!B1108=""),"",AND(IF(ISERROR('Model inputs'!B8=1),'Model inputs'!B8=1,IF('Model inputs'!B8="","",'Model inputs'!B8=1)),'Model inputs'!B1107,'Model inputs'!B1108)))))),IF('Model inputs'!B6="","",'Model inputs'!B6),0)</f>
        <v>0</v>
      </c>
      <c r="AG290" s="9">
        <f>IF(IF(IF(IFERROR(IF(ISERROR('Model inputs'!B8=1),'Model inputs'!B8=1,IF('Model inputs'!B8="","",'Model inputs'!B8=1))=FALSE,FALSE),FALSE,IF(IFERROR('Model inputs'!B1109=FALSE,FALSE),FALSE,IF(IFERROR('Model inputs'!B1110=FALSE,FALSE),FALSE,IF(OR(IF(ISERROR('Model inputs'!B8=1),'Model inputs'!B8=1,IF('Model inputs'!B8="","",'Model inputs'!B8=1))="",'Model inputs'!B1109="",'Model inputs'!B1110=""),"",AND(IF(ISERROR('Model inputs'!B8=1),'Model inputs'!B8=1,IF('Model inputs'!B8="","",'Model inputs'!B8=1)),'Model inputs'!B1109,'Model inputs'!B1110)))))="",FALSE,IF(IFERROR(IF(ISERROR('Model inputs'!B8=1),'Model inputs'!B8=1,IF('Model inputs'!B8="","",'Model inputs'!B8=1))=FALSE,FALSE),FALSE,IF(IFERROR('Model inputs'!B1109=FALSE,FALSE),FALSE,IF(IFERROR('Model inputs'!B1110=FALSE,FALSE),FALSE,IF(OR(IF(ISERROR('Model inputs'!B8=1),'Model inputs'!B8=1,IF('Model inputs'!B8="","",'Model inputs'!B8=1))="",'Model inputs'!B1109="",'Model inputs'!B1110=""),"",AND(IF(ISERROR('Model inputs'!B8=1),'Model inputs'!B8=1,IF('Model inputs'!B8="","",'Model inputs'!B8=1)),'Model inputs'!B1109,'Model inputs'!B1110)))))),IF('Model inputs'!B6="","",'Model inputs'!B6),0)</f>
        <v>0</v>
      </c>
    </row>
    <row r="291">
      <c r="A291" t="inlineStr" s="16">
        <is>
          <t xml:space="preserve">GitHub API per kit · Loaded COGS per kit · COGS per kit · Kit COGS</t>
        </is>
      </c>
      <c r="B291" s="20">
        <f>0</f>
        <v>0</v>
      </c>
    </row>
    <row r="292">
      <c r="A292" t="inlineStr" s="16">
        <is>
          <t xml:space="preserve">Kit COGS</t>
        </is>
      </c>
      <c r="C292" s="7">
        <f>IF('Model inputs'!C24="","",'Model inputs'!C24)</f>
        <v>0</v>
      </c>
      <c r="D292" s="7">
        <f>IF('Model inputs'!D24="","",'Model inputs'!D24)</f>
        <v>0</v>
      </c>
      <c r="E292" s="7">
        <f>IF('Model inputs'!E24="","",'Model inputs'!E24)</f>
        <v>198.71999999999997</v>
      </c>
      <c r="F292" s="7">
        <f>IF('Model inputs'!F24="","",'Model inputs'!F24)</f>
        <v>328.51</v>
      </c>
      <c r="G292" s="7">
        <f>IF('Model inputs'!G24="","",'Model inputs'!G24)</f>
        <v>438.2690543333333</v>
      </c>
      <c r="H292" s="7">
        <f>IF('Model inputs'!H24="","",'Model inputs'!H24)</f>
        <v>553.8092239536111</v>
      </c>
      <c r="I292" s="7">
        <f>IF('Model inputs'!I24="","",'Model inputs'!I24)</f>
        <v>675.7440447772127</v>
      </c>
      <c r="J292" s="7">
        <f>IF('Model inputs'!J24="","",'Model inputs'!J24)</f>
        <v>804.7391871963778</v>
      </c>
      <c r="K292" s="7">
        <f>IF('Model inputs'!K24="","",'Model inputs'!K24)</f>
        <v>941.5174568576965</v>
      </c>
      <c r="L292" s="7">
        <f>IF('Model inputs'!L24="","",'Model inputs'!L24)</f>
        <v>1086.8642479836653</v>
      </c>
      <c r="M292" s="7">
        <f>IF('Model inputs'!M24="","",'Model inputs'!M24)</f>
        <v>1241.6334926466532</v>
      </c>
      <c r="N292" s="7">
        <f>IF('Model inputs'!N24="","",'Model inputs'!N24)</f>
        <v>1399.3012767607936</v>
      </c>
      <c r="O292" s="7">
        <f>IF('Model inputs'!O24="","",'Model inputs'!O24)</f>
        <v>1560.0723313343888</v>
      </c>
      <c r="P292" s="7">
        <f>IF('Model inputs'!P24="","",'Model inputs'!P24)</f>
        <v>1724.155715473161</v>
      </c>
      <c r="Q292" s="7">
        <f>IF('Model inputs'!Q24="","",'Model inputs'!Q24)</f>
        <v>1891.765212701136</v>
      </c>
      <c r="R292" s="7">
        <f>IF('Model inputs'!R24="","",'Model inputs'!R24)</f>
        <v>2063.119728881874</v>
      </c>
      <c r="S292" s="7">
        <f>IF('Model inputs'!S24="","",'Model inputs'!S24)</f>
        <v>2238.443692740924</v>
      </c>
      <c r="T292" s="7">
        <f>IF('Model inputs'!T24="","",'Model inputs'!T24)</f>
        <v>2417.9674599682767</v>
      </c>
      <c r="U292" s="7">
        <f>IF('Model inputs'!U24="","",'Model inputs'!U24)</f>
        <v>2601.927721860765</v>
      </c>
      <c r="V292" s="7">
        <f>IF('Model inputs'!V24="","",'Model inputs'!V24)</f>
        <v>2790.5679194486015</v>
      </c>
      <c r="W292" s="7">
        <f>SUM('Model inputs'!W293,'Model inputs'!W294,'Model inputs'!W295)</f>
        <v>0</v>
      </c>
      <c r="X292" s="7">
        <f>SUM('Model inputs'!X293,'Model inputs'!X294,'Model inputs'!X295)</f>
        <v>0</v>
      </c>
      <c r="Y292" s="7">
        <f>SUM('Model inputs'!Y293,'Model inputs'!Y294,'Model inputs'!Y295)</f>
        <v>0</v>
      </c>
      <c r="Z292" s="7">
        <f>SUM('Model inputs'!Z293,'Model inputs'!Z294,'Model inputs'!Z295)</f>
        <v>0</v>
      </c>
      <c r="AA292" s="7">
        <f>SUM('Model inputs'!AA293,'Model inputs'!AA294,'Model inputs'!AA295)</f>
        <v>0</v>
      </c>
      <c r="AB292" s="7">
        <f>SUM('Model inputs'!AB293,'Model inputs'!AB294,'Model inputs'!AB295)</f>
        <v>0</v>
      </c>
      <c r="AC292" s="7">
        <f>SUM('Model inputs'!AC293,'Model inputs'!AC294,'Model inputs'!AC295)</f>
        <v>0</v>
      </c>
      <c r="AD292" s="7">
        <f>SUM('Model inputs'!AD293,'Model inputs'!AD294,'Model inputs'!AD295)</f>
        <v>0</v>
      </c>
      <c r="AE292" s="7">
        <f>SUM('Model inputs'!AE293,'Model inputs'!AE294,'Model inputs'!AE295)</f>
        <v>0</v>
      </c>
      <c r="AF292" s="7">
        <f>SUM('Model inputs'!AF293,'Model inputs'!AF294,'Model inputs'!AF295)</f>
        <v>0</v>
      </c>
      <c r="AG292" s="7">
        <f>SUM('Model inputs'!AG293,'Model inputs'!AG294,'Model inputs'!AG295)</f>
        <v>0</v>
      </c>
    </row>
    <row r="293" outlineLevel="1">
      <c r="A293" t="inlineStr" s="18">
        <is>
          <t xml:space="preserve">Kit COGS &gt; Indie</t>
        </is>
      </c>
      <c r="C293" s="9">
        <f>IF('Model inputs'!C25="","",'Model inputs'!C25)</f>
        <v>0</v>
      </c>
      <c r="D293" s="9">
        <f>IF('Model inputs'!D25="","",'Model inputs'!D25)</f>
        <v>0</v>
      </c>
      <c r="E293" s="9">
        <f>IF('Model inputs'!E25="","",'Model inputs'!E25)</f>
        <v>81.6</v>
      </c>
      <c r="F293" s="9">
        <f>IF('Model inputs'!F25="","",'Model inputs'!F25)</f>
        <v>151.64</v>
      </c>
      <c r="G293" s="9">
        <f>IF('Model inputs'!G25="","",'Model inputs'!G25)</f>
        <v>196.61066666666665</v>
      </c>
      <c r="H293" s="9">
        <f>IF('Model inputs'!H25="","",'Model inputs'!H25)</f>
        <v>242.9896888888889</v>
      </c>
      <c r="I293" s="9">
        <f>IF('Model inputs'!I25="","",'Model inputs'!I25)</f>
        <v>291.0356882962963</v>
      </c>
      <c r="J293" s="9">
        <f>IF('Model inputs'!J25="","",'Model inputs'!J25)</f>
        <v>341.01824603654325</v>
      </c>
      <c r="K293" s="9">
        <f>IF('Model inputs'!K25="","",'Model inputs'!K25)</f>
        <v>393.2194282175737</v>
      </c>
      <c r="L293" s="9">
        <f>IF('Model inputs'!L25="","",'Model inputs'!L25)</f>
        <v>447.9353901398795</v>
      </c>
      <c r="M293" s="9">
        <f>IF('Model inputs'!M25="","",'Model inputs'!M25)</f>
        <v>505.47806850497636</v>
      </c>
      <c r="N293" s="9">
        <f>IF('Model inputs'!N25="","",'Model inputs'!N25)</f>
        <v>562.6807698207105</v>
      </c>
      <c r="O293" s="9">
        <f>IF('Model inputs'!O25="","",'Model inputs'!O25)</f>
        <v>619.7060072840383</v>
      </c>
      <c r="P293" s="9">
        <f>IF('Model inputs'!P25="","",'Model inputs'!P25)</f>
        <v>676.7110538011991</v>
      </c>
      <c r="Q293" s="9">
        <f>IF('Model inputs'!Q25="","",'Model inputs'!Q25)</f>
        <v>733.8485150973265</v>
      </c>
      <c r="R293" s="9">
        <f>IF('Model inputs'!R25="","",'Model inputs'!R25)</f>
        <v>791.2668735690271</v>
      </c>
      <c r="S293" s="9">
        <f>IF('Model inputs'!S25="","",'Model inputs'!S25)</f>
        <v>849.1110051884084</v>
      </c>
      <c r="T293" s="9">
        <f>IF('Model inputs'!T25="","",'Model inputs'!T25)</f>
        <v>907.522671627457</v>
      </c>
      <c r="U293" s="9">
        <f>IF('Model inputs'!U25="","",'Model inputs'!U25)</f>
        <v>966.6409896419669</v>
      </c>
      <c r="V293" s="9">
        <f>IF('Model inputs'!V25="","",'Model inputs'!V25)</f>
        <v>1026.602879633763</v>
      </c>
      <c r="W293" s="9">
        <f>'Model inputs'!W325*'Model inputs'!W111</f>
        <v>0</v>
      </c>
      <c r="X293" s="9">
        <f>'Model inputs'!X325*'Model inputs'!X111</f>
        <v>0</v>
      </c>
      <c r="Y293" s="9">
        <f>'Model inputs'!Y325*'Model inputs'!Y111</f>
        <v>0</v>
      </c>
      <c r="Z293" s="9">
        <f>'Model inputs'!Z325*'Model inputs'!Z111</f>
        <v>0</v>
      </c>
      <c r="AA293" s="9">
        <f>'Model inputs'!AA325*'Model inputs'!AA111</f>
        <v>0</v>
      </c>
      <c r="AB293" s="9">
        <f>'Model inputs'!AB325*'Model inputs'!AB111</f>
        <v>0</v>
      </c>
      <c r="AC293" s="9">
        <f>'Model inputs'!AC325*'Model inputs'!AC111</f>
        <v>0</v>
      </c>
      <c r="AD293" s="9">
        <f>'Model inputs'!AD325*'Model inputs'!AD111</f>
        <v>0</v>
      </c>
      <c r="AE293" s="9">
        <f>'Model inputs'!AE325*'Model inputs'!AE111</f>
        <v>0</v>
      </c>
      <c r="AF293" s="9">
        <f>'Model inputs'!AF325*'Model inputs'!AF111</f>
        <v>0</v>
      </c>
      <c r="AG293" s="9">
        <f>'Model inputs'!AG325*'Model inputs'!AG111</f>
        <v>0</v>
      </c>
    </row>
    <row r="294" outlineLevel="1">
      <c r="A294" t="inlineStr" s="18">
        <is>
          <t xml:space="preserve">Kit COGS &gt; Launch</t>
        </is>
      </c>
      <c r="C294" s="9">
        <f>IF('Model inputs'!C26="","",'Model inputs'!C26)</f>
        <v>0</v>
      </c>
      <c r="D294" s="9">
        <f>IF('Model inputs'!D26="","",'Model inputs'!D26)</f>
        <v>0</v>
      </c>
      <c r="E294" s="9">
        <f>IF('Model inputs'!E26="","",'Model inputs'!E26)</f>
        <v>49.44</v>
      </c>
      <c r="F294" s="9">
        <f>IF('Model inputs'!F26="","",'Model inputs'!F26)</f>
        <v>74.6544</v>
      </c>
      <c r="G294" s="9">
        <f>IF('Model inputs'!G26="","",'Model inputs'!G26)</f>
        <v>100.12128733333331</v>
      </c>
      <c r="H294" s="9">
        <f>IF('Model inputs'!H26="","",'Model inputs'!H26)</f>
        <v>125.92427677055551</v>
      </c>
      <c r="I294" s="9">
        <f>IF('Model inputs'!I26="","",'Model inputs'!I26)</f>
        <v>152.1320458821708</v>
      </c>
      <c r="J294" s="9">
        <f>IF('Model inputs'!J26="","",'Model inputs'!J26)</f>
        <v>178.81746944778058</v>
      </c>
      <c r="K294" s="9">
        <f>IF('Model inputs'!K26="","",'Model inputs'!K26)</f>
        <v>206.05823180080523</v>
      </c>
      <c r="L294" s="9">
        <f>IF('Model inputs'!L26="","",'Model inputs'!L26)</f>
        <v>233.9374822731637</v>
      </c>
      <c r="M294" s="9">
        <f>IF('Model inputs'!M26="","",'Model inputs'!M26)</f>
        <v>262.544539131934</v>
      </c>
      <c r="N294" s="9">
        <f>IF('Model inputs'!N26="","",'Model inputs'!N26)</f>
        <v>291.9756478456648</v>
      </c>
      <c r="O294" s="9">
        <f>IF('Model inputs'!O26="","",'Model inputs'!O26)</f>
        <v>322.26254158307296</v>
      </c>
      <c r="P294" s="9">
        <f>IF('Model inputs'!P26="","",'Model inputs'!P26)</f>
        <v>353.43666899020087</v>
      </c>
      <c r="Q294" s="9">
        <f>IF('Model inputs'!Q26="","",'Model inputs'!Q26)</f>
        <v>385.5293783961673</v>
      </c>
      <c r="R294" s="9">
        <f>IF('Model inputs'!R26="","",'Model inputs'!R26)</f>
        <v>418.57209266320126</v>
      </c>
      <c r="S294" s="9">
        <f>IF('Model inputs'!S26="","",'Model inputs'!S26)</f>
        <v>452.59647555568466</v>
      </c>
      <c r="T294" s="9">
        <f>IF('Model inputs'!T26="","",'Model inputs'!T26)</f>
        <v>487.6345904499511</v>
      </c>
      <c r="U294" s="9">
        <f>IF('Model inputs'!U26="","",'Model inputs'!U26)</f>
        <v>523.7190521575209</v>
      </c>
      <c r="V294" s="9">
        <f>IF('Model inputs'!V26="","",'Model inputs'!V26)</f>
        <v>560.8831725890432</v>
      </c>
      <c r="W294" s="9">
        <f>'Model inputs'!W326*'Model inputs'!W111</f>
        <v>0</v>
      </c>
      <c r="X294" s="9">
        <f>'Model inputs'!X326*'Model inputs'!X111</f>
        <v>0</v>
      </c>
      <c r="Y294" s="9">
        <f>'Model inputs'!Y326*'Model inputs'!Y111</f>
        <v>0</v>
      </c>
      <c r="Z294" s="9">
        <f>'Model inputs'!Z326*'Model inputs'!Z111</f>
        <v>0</v>
      </c>
      <c r="AA294" s="9">
        <f>'Model inputs'!AA326*'Model inputs'!AA111</f>
        <v>0</v>
      </c>
      <c r="AB294" s="9">
        <f>'Model inputs'!AB326*'Model inputs'!AB111</f>
        <v>0</v>
      </c>
      <c r="AC294" s="9">
        <f>'Model inputs'!AC326*'Model inputs'!AC111</f>
        <v>0</v>
      </c>
      <c r="AD294" s="9">
        <f>'Model inputs'!AD326*'Model inputs'!AD111</f>
        <v>0</v>
      </c>
      <c r="AE294" s="9">
        <f>'Model inputs'!AE326*'Model inputs'!AE111</f>
        <v>0</v>
      </c>
      <c r="AF294" s="9">
        <f>'Model inputs'!AF326*'Model inputs'!AF111</f>
        <v>0</v>
      </c>
      <c r="AG294" s="9">
        <f>'Model inputs'!AG326*'Model inputs'!AG111</f>
        <v>0</v>
      </c>
    </row>
    <row r="295" outlineLevel="1">
      <c r="A295" t="inlineStr" s="18">
        <is>
          <t xml:space="preserve">Kit COGS &gt; Team</t>
        </is>
      </c>
      <c r="C295" s="9">
        <f>IF('Model inputs'!C27="","",'Model inputs'!C27)</f>
        <v>0</v>
      </c>
      <c r="D295" s="9">
        <f>IF('Model inputs'!D27="","",'Model inputs'!D27)</f>
        <v>0</v>
      </c>
      <c r="E295" s="9">
        <f>IF('Model inputs'!E27="","",'Model inputs'!E27)</f>
        <v>67.67999999999999</v>
      </c>
      <c r="F295" s="9">
        <f>IF('Model inputs'!F27="","",'Model inputs'!F27)</f>
        <v>102.21560000000001</v>
      </c>
      <c r="G295" s="9">
        <f>IF('Model inputs'!G27="","",'Model inputs'!G27)</f>
        <v>141.53710033333334</v>
      </c>
      <c r="H295" s="9">
        <f>IF('Model inputs'!H27="","",'Model inputs'!H27)</f>
        <v>184.89525829416667</v>
      </c>
      <c r="I295" s="9">
        <f>IF('Model inputs'!I27="","",'Model inputs'!I27)</f>
        <v>232.5763105987456</v>
      </c>
      <c r="J295" s="9">
        <f>IF('Model inputs'!J27="","",'Model inputs'!J27)</f>
        <v>284.9034717120539</v>
      </c>
      <c r="K295" s="9">
        <f>IF('Model inputs'!K27="","",'Model inputs'!K27)</f>
        <v>342.2397968393176</v>
      </c>
      <c r="L295" s="9">
        <f>IF('Model inputs'!L27="","",'Model inputs'!L27)</f>
        <v>404.99137557062204</v>
      </c>
      <c r="M295" s="9">
        <f>IF('Model inputs'!M27="","",'Model inputs'!M27)</f>
        <v>473.61088500974284</v>
      </c>
      <c r="N295" s="9">
        <f>IF('Model inputs'!N27="","",'Model inputs'!N27)</f>
        <v>544.6448590944183</v>
      </c>
      <c r="O295" s="9">
        <f>IF('Model inputs'!O27="","",'Model inputs'!O27)</f>
        <v>618.1037824672775</v>
      </c>
      <c r="P295" s="9">
        <f>IF('Model inputs'!P27="","",'Model inputs'!P27)</f>
        <v>694.007992681761</v>
      </c>
      <c r="Q295" s="9">
        <f>IF('Model inputs'!Q27="","",'Model inputs'!Q27)</f>
        <v>772.3873192076423</v>
      </c>
      <c r="R295" s="9">
        <f>IF('Model inputs'!R27="","",'Model inputs'!R27)</f>
        <v>853.2807626496458</v>
      </c>
      <c r="S295" s="9">
        <f>IF('Model inputs'!S27="","",'Model inputs'!S27)</f>
        <v>936.7362119968307</v>
      </c>
      <c r="T295" s="9">
        <f>IF('Model inputs'!T27="","",'Model inputs'!T27)</f>
        <v>1022.8101978908686</v>
      </c>
      <c r="U295" s="9">
        <f>IF('Model inputs'!U27="","",'Model inputs'!U27)</f>
        <v>1111.5676800612773</v>
      </c>
      <c r="V295" s="9">
        <f>IF('Model inputs'!V27="","",'Model inputs'!V27)</f>
        <v>1203.0818672257953</v>
      </c>
      <c r="W295" s="9">
        <f>'Model inputs'!W327*'Model inputs'!W111</f>
        <v>0</v>
      </c>
      <c r="X295" s="9">
        <f>'Model inputs'!X327*'Model inputs'!X111</f>
        <v>0</v>
      </c>
      <c r="Y295" s="9">
        <f>'Model inputs'!Y327*'Model inputs'!Y111</f>
        <v>0</v>
      </c>
      <c r="Z295" s="9">
        <f>'Model inputs'!Z327*'Model inputs'!Z111</f>
        <v>0</v>
      </c>
      <c r="AA295" s="9">
        <f>'Model inputs'!AA327*'Model inputs'!AA111</f>
        <v>0</v>
      </c>
      <c r="AB295" s="9">
        <f>'Model inputs'!AB327*'Model inputs'!AB111</f>
        <v>0</v>
      </c>
      <c r="AC295" s="9">
        <f>'Model inputs'!AC327*'Model inputs'!AC111</f>
        <v>0</v>
      </c>
      <c r="AD295" s="9">
        <f>'Model inputs'!AD327*'Model inputs'!AD111</f>
        <v>0</v>
      </c>
      <c r="AE295" s="9">
        <f>'Model inputs'!AE327*'Model inputs'!AE111</f>
        <v>0</v>
      </c>
      <c r="AF295" s="9">
        <f>'Model inputs'!AF327*'Model inputs'!AF111</f>
        <v>0</v>
      </c>
      <c r="AG295" s="9">
        <f>'Model inputs'!AG327*'Model inputs'!AG111</f>
        <v>0</v>
      </c>
    </row>
    <row r="296">
      <c r="A296" t="inlineStr" s="16">
        <is>
          <t xml:space="preserve">Kit storage per kit · Loaded COGS per kit · COGS per kit · Kit COGS</t>
        </is>
      </c>
      <c r="B296" s="20">
        <f>0.01</f>
        <v>0.01</v>
      </c>
    </row>
    <row r="297">
      <c r="A297" t="inlineStr" s="16">
        <is>
          <t xml:space="preserve">LLM tokens per kit · Loaded COGS per kit · COGS per kit · Kit COGS</t>
        </is>
      </c>
      <c r="B297" s="20">
        <f>0.18</f>
        <v>0.18</v>
      </c>
    </row>
    <row r="298">
      <c r="A298" t="inlineStr" s="16">
        <is>
          <t xml:space="preserve">neatlogs export per kit · Loaded COGS per kit · COGS per kit · Kit COGS</t>
        </is>
      </c>
      <c r="B298" s="20">
        <f>0.01</f>
        <v>0.01</v>
      </c>
    </row>
    <row r="299">
      <c r="A299" t="inlineStr" s="16">
        <is>
          <t xml:space="preserve">Opex cash paid</t>
        </is>
      </c>
      <c r="C299" s="7">
        <f>IF('Model inputs'!C46="","",'Model inputs'!C46)</f>
        <v>0</v>
      </c>
      <c r="D299" s="7">
        <f>IF('Model inputs'!D46="","",'Model inputs'!D46)</f>
        <v>0</v>
      </c>
      <c r="E299" s="7">
        <f>IF('Model inputs'!E46="","",'Model inputs'!E46)</f>
        <v>9370</v>
      </c>
      <c r="F299" s="7">
        <f>IF('Model inputs'!F46="","",'Model inputs'!F46)</f>
        <v>5220</v>
      </c>
      <c r="G299" s="7">
        <f>IF('Model inputs'!G46="","",'Model inputs'!G46)</f>
        <v>5220</v>
      </c>
      <c r="H299" s="7">
        <f>IF('Model inputs'!H46="","",'Model inputs'!H46)</f>
        <v>6870</v>
      </c>
      <c r="I299" s="7">
        <f>IF('Model inputs'!I46="","",'Model inputs'!I46)</f>
        <v>7070</v>
      </c>
      <c r="J299" s="7">
        <f>IF('Model inputs'!J46="","",'Model inputs'!J46)</f>
        <v>7070</v>
      </c>
      <c r="K299" s="7">
        <f>IF('Model inputs'!K46="","",'Model inputs'!K46)</f>
        <v>11070</v>
      </c>
      <c r="L299" s="7">
        <f>IF('Model inputs'!L46="","",'Model inputs'!L46)</f>
        <v>11070</v>
      </c>
      <c r="M299" s="7">
        <f>IF('Model inputs'!M46="","",'Model inputs'!M46)</f>
        <v>11070</v>
      </c>
      <c r="N299" s="7">
        <f>IF('Model inputs'!N46="","",'Model inputs'!N46)</f>
        <v>11070</v>
      </c>
      <c r="O299" s="7">
        <f>IF('Model inputs'!O46="","",'Model inputs'!O46)</f>
        <v>11070</v>
      </c>
      <c r="P299" s="7">
        <f>IF('Model inputs'!P46="","",'Model inputs'!P46)</f>
        <v>11070</v>
      </c>
      <c r="Q299" s="7">
        <f>IF('Model inputs'!Q46="","",'Model inputs'!Q46)</f>
        <v>15570</v>
      </c>
      <c r="R299" s="7">
        <f>IF('Model inputs'!R46="","",'Model inputs'!R46)</f>
        <v>11070</v>
      </c>
      <c r="S299" s="7">
        <f>IF('Model inputs'!S46="","",'Model inputs'!S46)</f>
        <v>11070</v>
      </c>
      <c r="T299" s="7">
        <f>IF('Model inputs'!T46="","",'Model inputs'!T46)</f>
        <v>11070</v>
      </c>
      <c r="U299" s="7">
        <f>IF('Model inputs'!U46="","",'Model inputs'!U46)</f>
        <v>11070</v>
      </c>
      <c r="V299" s="7">
        <f>IF('Model inputs'!V46="","",'Model inputs'!V46)</f>
        <v>11070</v>
      </c>
      <c r="W299" s="7">
        <f>SUM('Model inputs'!W300,'Model inputs'!W301,'Model inputs'!W302,'Model inputs'!W303,'Model inputs'!W304,'Model inputs'!W305,'Model inputs'!W306,'Model inputs'!W307,'Model inputs'!W308,'Model inputs'!W309,'Model inputs'!W310)</f>
        <v>0</v>
      </c>
      <c r="X299" s="7">
        <f>SUM('Model inputs'!X300,'Model inputs'!X301,'Model inputs'!X302,'Model inputs'!X303,'Model inputs'!X304,'Model inputs'!X305,'Model inputs'!X306,'Model inputs'!X307,'Model inputs'!X308,'Model inputs'!X309,'Model inputs'!X310)</f>
        <v>0</v>
      </c>
      <c r="Y299" s="7">
        <f>SUM('Model inputs'!Y300,'Model inputs'!Y301,'Model inputs'!Y302,'Model inputs'!Y303,'Model inputs'!Y304,'Model inputs'!Y305,'Model inputs'!Y306,'Model inputs'!Y307,'Model inputs'!Y308,'Model inputs'!Y309,'Model inputs'!Y310)</f>
        <v>0</v>
      </c>
      <c r="Z299" s="7">
        <f>SUM('Model inputs'!Z300,'Model inputs'!Z301,'Model inputs'!Z302,'Model inputs'!Z303,'Model inputs'!Z304,'Model inputs'!Z305,'Model inputs'!Z306,'Model inputs'!Z307,'Model inputs'!Z308,'Model inputs'!Z309,'Model inputs'!Z310)</f>
        <v>0</v>
      </c>
      <c r="AA299" s="7">
        <f>SUM('Model inputs'!AA300,'Model inputs'!AA301,'Model inputs'!AA302,'Model inputs'!AA303,'Model inputs'!AA304,'Model inputs'!AA305,'Model inputs'!AA306,'Model inputs'!AA307,'Model inputs'!AA308,'Model inputs'!AA309,'Model inputs'!AA310)</f>
        <v>0</v>
      </c>
      <c r="AB299" s="7">
        <f>SUM('Model inputs'!AB300,'Model inputs'!AB301,'Model inputs'!AB302,'Model inputs'!AB303,'Model inputs'!AB304,'Model inputs'!AB305,'Model inputs'!AB306,'Model inputs'!AB307,'Model inputs'!AB308,'Model inputs'!AB309,'Model inputs'!AB310)</f>
        <v>0</v>
      </c>
      <c r="AC299" s="7">
        <f>SUM('Model inputs'!AC300,'Model inputs'!AC301,'Model inputs'!AC302,'Model inputs'!AC303,'Model inputs'!AC304,'Model inputs'!AC305,'Model inputs'!AC306,'Model inputs'!AC307,'Model inputs'!AC308,'Model inputs'!AC309,'Model inputs'!AC310)</f>
        <v>0</v>
      </c>
      <c r="AD299" s="7">
        <f>SUM('Model inputs'!AD300,'Model inputs'!AD301,'Model inputs'!AD302,'Model inputs'!AD303,'Model inputs'!AD304,'Model inputs'!AD305,'Model inputs'!AD306,'Model inputs'!AD307,'Model inputs'!AD308,'Model inputs'!AD309,'Model inputs'!AD310)</f>
        <v>0</v>
      </c>
      <c r="AE299" s="7">
        <f>SUM('Model inputs'!AE300,'Model inputs'!AE301,'Model inputs'!AE302,'Model inputs'!AE303,'Model inputs'!AE304,'Model inputs'!AE305,'Model inputs'!AE306,'Model inputs'!AE307,'Model inputs'!AE308,'Model inputs'!AE309,'Model inputs'!AE310)</f>
        <v>0</v>
      </c>
      <c r="AF299" s="7">
        <f>SUM('Model inputs'!AF300,'Model inputs'!AF301,'Model inputs'!AF302,'Model inputs'!AF303,'Model inputs'!AF304,'Model inputs'!AF305,'Model inputs'!AF306,'Model inputs'!AF307,'Model inputs'!AF308,'Model inputs'!AF309,'Model inputs'!AF310)</f>
        <v>0</v>
      </c>
      <c r="AG299" s="7">
        <f>SUM('Model inputs'!AG300,'Model inputs'!AG301,'Model inputs'!AG302,'Model inputs'!AG303,'Model inputs'!AG304,'Model inputs'!AG305,'Model inputs'!AG306,'Model inputs'!AG307,'Model inputs'!AG308,'Model inputs'!AG309,'Model inputs'!AG310)</f>
        <v>0</v>
      </c>
    </row>
    <row r="300" outlineLevel="1">
      <c r="A300" t="inlineStr" s="18">
        <is>
          <t xml:space="preserve">Opex cash paid &gt; Domain, email, extras</t>
        </is>
      </c>
      <c r="C300" s="9">
        <f>IF('Model inputs'!C47="","",'Model inputs'!C47)</f>
        <v>0</v>
      </c>
      <c r="D300" s="9">
        <f>IF('Model inputs'!D47="","",'Model inputs'!D47)</f>
        <v>0</v>
      </c>
      <c r="E300" s="9">
        <f>IF('Model inputs'!E47="","",'Model inputs'!E47)</f>
        <v>40</v>
      </c>
      <c r="F300" s="9">
        <f>IF('Model inputs'!F47="","",'Model inputs'!F47)</f>
        <v>40</v>
      </c>
      <c r="G300" s="9">
        <f>IF('Model inputs'!G47="","",'Model inputs'!G47)</f>
        <v>40</v>
      </c>
      <c r="H300" s="9">
        <f>IF('Model inputs'!H47="","",'Model inputs'!H47)</f>
        <v>40</v>
      </c>
      <c r="I300" s="9">
        <f>IF('Model inputs'!I47="","",'Model inputs'!I47)</f>
        <v>40</v>
      </c>
      <c r="J300" s="9">
        <f>IF('Model inputs'!J47="","",'Model inputs'!J47)</f>
        <v>40</v>
      </c>
      <c r="K300" s="9">
        <f>IF('Model inputs'!K47="","",'Model inputs'!K47)</f>
        <v>40</v>
      </c>
      <c r="L300" s="9">
        <f>IF('Model inputs'!L47="","",'Model inputs'!L47)</f>
        <v>40</v>
      </c>
      <c r="M300" s="9">
        <f>IF('Model inputs'!M47="","",'Model inputs'!M47)</f>
        <v>40</v>
      </c>
      <c r="N300" s="9">
        <f>IF('Model inputs'!N47="","",'Model inputs'!N47)</f>
        <v>40</v>
      </c>
      <c r="O300" s="9">
        <f>IF('Model inputs'!O47="","",'Model inputs'!O47)</f>
        <v>40</v>
      </c>
      <c r="P300" s="9">
        <f>IF('Model inputs'!P47="","",'Model inputs'!P47)</f>
        <v>40</v>
      </c>
      <c r="Q300" s="9">
        <f>IF('Model inputs'!Q47="","",'Model inputs'!Q47)</f>
        <v>40</v>
      </c>
      <c r="R300" s="9">
        <f>IF('Model inputs'!R47="","",'Model inputs'!R47)</f>
        <v>40</v>
      </c>
      <c r="S300" s="9">
        <f>IF('Model inputs'!S47="","",'Model inputs'!S47)</f>
        <v>40</v>
      </c>
      <c r="T300" s="9">
        <f>IF('Model inputs'!T47="","",'Model inputs'!T47)</f>
        <v>40</v>
      </c>
      <c r="U300" s="9">
        <f>IF('Model inputs'!U47="","",'Model inputs'!U47)</f>
        <v>40</v>
      </c>
      <c r="V300" s="9">
        <f>IF('Model inputs'!V47="","",'Model inputs'!V47)</f>
        <v>40</v>
      </c>
      <c r="W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inputs'!B1111=FALSE,FALSE),FALSE,IF(IFERROR(MOD(('Model inputs'!W230-'Model inputs'!B153),12)=0=FALSE,FALSE),FALSE,IF(OR('Model inputs'!B1111="",MOD(('Model inputs'!W230-'Model inputs'!B153),12)=0=""),"",AND('Model inputs'!B1111,MOD(('Model inputs'!W230-'Model inputs'!B153),12)=0))))="",FALSE,IF(IFERROR('Model inputs'!B1111=FALSE,FALSE),FALSE,IF(IFERROR(MOD(('Model inputs'!W230-'Model inputs'!B153),12)=0=FALSE,FALSE),FALSE,IF(OR('Model inputs'!B1111="",MOD(('Model inputs'!W230-'Model inputs'!B153),12)=0=""),"",AND('Model inputs'!B1111,MOD(('Model inputs'!W230-'Model inputs'!B153),12)=0))))),'Model inputs'!B129*'Model inputs'!B141*12,0),IF('Model inputs'!W337="","",'Model inputs'!W337))</f>
        <v>0</v>
      </c>
      <c r="X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inputs'!B1112=FALSE,FALSE),FALSE,IF(IFERROR(MOD(('Model inputs'!X230-'Model inputs'!B153),12)=0=FALSE,FALSE),FALSE,IF(OR('Model inputs'!B1112="",MOD(('Model inputs'!X230-'Model inputs'!B153),12)=0=""),"",AND('Model inputs'!B1112,MOD(('Model inputs'!X230-'Model inputs'!B153),12)=0))))="",FALSE,IF(IFERROR('Model inputs'!B1112=FALSE,FALSE),FALSE,IF(IFERROR(MOD(('Model inputs'!X230-'Model inputs'!B153),12)=0=FALSE,FALSE),FALSE,IF(OR('Model inputs'!B1112="",MOD(('Model inputs'!X230-'Model inputs'!B153),12)=0=""),"",AND('Model inputs'!B1112,MOD(('Model inputs'!X230-'Model inputs'!B153),12)=0))))),'Model inputs'!B129*'Model inputs'!B141*12,0),IF('Model inputs'!X337="","",'Model inputs'!X337))</f>
        <v>0</v>
      </c>
      <c r="Y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inputs'!B1113=FALSE,FALSE),FALSE,IF(IFERROR(MOD(('Model inputs'!Y230-'Model inputs'!B153),12)=0=FALSE,FALSE),FALSE,IF(OR('Model inputs'!B1113="",MOD(('Model inputs'!Y230-'Model inputs'!B153),12)=0=""),"",AND('Model inputs'!B1113,MOD(('Model inputs'!Y230-'Model inputs'!B153),12)=0))))="",FALSE,IF(IFERROR('Model inputs'!B1113=FALSE,FALSE),FALSE,IF(IFERROR(MOD(('Model inputs'!Y230-'Model inputs'!B153),12)=0=FALSE,FALSE),FALSE,IF(OR('Model inputs'!B1113="",MOD(('Model inputs'!Y230-'Model inputs'!B153),12)=0=""),"",AND('Model inputs'!B1113,MOD(('Model inputs'!Y230-'Model inputs'!B153),12)=0))))),'Model inputs'!B129*'Model inputs'!B141*12,0),IF('Model inputs'!Y337="","",'Model inputs'!Y337))</f>
        <v>0</v>
      </c>
      <c r="Z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inputs'!B1114=FALSE,FALSE),FALSE,IF(IFERROR(MOD(('Model inputs'!Z230-'Model inputs'!B153),12)=0=FALSE,FALSE),FALSE,IF(OR('Model inputs'!B1114="",MOD(('Model inputs'!Z230-'Model inputs'!B153),12)=0=""),"",AND('Model inputs'!B1114,MOD(('Model inputs'!Z230-'Model inputs'!B153),12)=0))))="",FALSE,IF(IFERROR('Model inputs'!B1114=FALSE,FALSE),FALSE,IF(IFERROR(MOD(('Model inputs'!Z230-'Model inputs'!B153),12)=0=FALSE,FALSE),FALSE,IF(OR('Model inputs'!B1114="",MOD(('Model inputs'!Z230-'Model inputs'!B153),12)=0=""),"",AND('Model inputs'!B1114,MOD(('Model inputs'!Z230-'Model inputs'!B153),12)=0))))),'Model inputs'!B129*'Model inputs'!B141*12,0),IF('Model inputs'!Z337="","",'Model inputs'!Z337))</f>
        <v>0</v>
      </c>
      <c r="AA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inputs'!B1115=FALSE,FALSE),FALSE,IF(IFERROR(MOD(('Model inputs'!AA230-'Model inputs'!B153),12)=0=FALSE,FALSE),FALSE,IF(OR('Model inputs'!B1115="",MOD(('Model inputs'!AA230-'Model inputs'!B153),12)=0=""),"",AND('Model inputs'!B1115,MOD(('Model inputs'!AA230-'Model inputs'!B153),12)=0))))="",FALSE,IF(IFERROR('Model inputs'!B1115=FALSE,FALSE),FALSE,IF(IFERROR(MOD(('Model inputs'!AA230-'Model inputs'!B153),12)=0=FALSE,FALSE),FALSE,IF(OR('Model inputs'!B1115="",MOD(('Model inputs'!AA230-'Model inputs'!B153),12)=0=""),"",AND('Model inputs'!B1115,MOD(('Model inputs'!AA230-'Model inputs'!B153),12)=0))))),'Model inputs'!B129*'Model inputs'!B141*12,0),IF('Model inputs'!AA337="","",'Model inputs'!AA337))</f>
        <v>0</v>
      </c>
      <c r="AB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inputs'!B1116=FALSE,FALSE),FALSE,IF(IFERROR(MOD(('Model inputs'!AB230-'Model inputs'!B153),12)=0=FALSE,FALSE),FALSE,IF(OR('Model inputs'!B1116="",MOD(('Model inputs'!AB230-'Model inputs'!B153),12)=0=""),"",AND('Model inputs'!B1116,MOD(('Model inputs'!AB230-'Model inputs'!B153),12)=0))))="",FALSE,IF(IFERROR('Model inputs'!B1116=FALSE,FALSE),FALSE,IF(IFERROR(MOD(('Model inputs'!AB230-'Model inputs'!B153),12)=0=FALSE,FALSE),FALSE,IF(OR('Model inputs'!B1116="",MOD(('Model inputs'!AB230-'Model inputs'!B153),12)=0=""),"",AND('Model inputs'!B1116,MOD(('Model inputs'!AB230-'Model inputs'!B153),12)=0))))),'Model inputs'!B129*'Model inputs'!B141*12,0),IF('Model inputs'!AB337="","",'Model inputs'!AB337))</f>
        <v>0</v>
      </c>
      <c r="AC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inputs'!B1117=FALSE,FALSE),FALSE,IF(IFERROR(MOD(('Model inputs'!AC230-'Model inputs'!B153),12)=0=FALSE,FALSE),FALSE,IF(OR('Model inputs'!B1117="",MOD(('Model inputs'!AC230-'Model inputs'!B153),12)=0=""),"",AND('Model inputs'!B1117,MOD(('Model inputs'!AC230-'Model inputs'!B153),12)=0))))="",FALSE,IF(IFERROR('Model inputs'!B1117=FALSE,FALSE),FALSE,IF(IFERROR(MOD(('Model inputs'!AC230-'Model inputs'!B153),12)=0=FALSE,FALSE),FALSE,IF(OR('Model inputs'!B1117="",MOD(('Model inputs'!AC230-'Model inputs'!B153),12)=0=""),"",AND('Model inputs'!B1117,MOD(('Model inputs'!AC230-'Model inputs'!B153),12)=0))))),'Model inputs'!B129*'Model inputs'!B141*12,0),IF('Model inputs'!AC337="","",'Model inputs'!AC337))</f>
        <v>0</v>
      </c>
      <c r="AD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inputs'!B1118=FALSE,FALSE),FALSE,IF(IFERROR(MOD(('Model inputs'!AD230-'Model inputs'!B153),12)=0=FALSE,FALSE),FALSE,IF(OR('Model inputs'!B1118="",MOD(('Model inputs'!AD230-'Model inputs'!B153),12)=0=""),"",AND('Model inputs'!B1118,MOD(('Model inputs'!AD230-'Model inputs'!B153),12)=0))))="",FALSE,IF(IFERROR('Model inputs'!B1118=FALSE,FALSE),FALSE,IF(IFERROR(MOD(('Model inputs'!AD230-'Model inputs'!B153),12)=0=FALSE,FALSE),FALSE,IF(OR('Model inputs'!B1118="",MOD(('Model inputs'!AD230-'Model inputs'!B153),12)=0=""),"",AND('Model inputs'!B1118,MOD(('Model inputs'!AD230-'Model inputs'!B153),12)=0))))),'Model inputs'!B129*'Model inputs'!B141*12,0),IF('Model inputs'!AD337="","",'Model inputs'!AD337))</f>
        <v>0</v>
      </c>
      <c r="AE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inputs'!B1119=FALSE,FALSE),FALSE,IF(IFERROR(MOD(('Model inputs'!AE230-'Model inputs'!B153),12)=0=FALSE,FALSE),FALSE,IF(OR('Model inputs'!B1119="",MOD(('Model inputs'!AE230-'Model inputs'!B153),12)=0=""),"",AND('Model inputs'!B1119,MOD(('Model inputs'!AE230-'Model inputs'!B153),12)=0))))="",FALSE,IF(IFERROR('Model inputs'!B1119=FALSE,FALSE),FALSE,IF(IFERROR(MOD(('Model inputs'!AE230-'Model inputs'!B153),12)=0=FALSE,FALSE),FALSE,IF(OR('Model inputs'!B1119="",MOD(('Model inputs'!AE230-'Model inputs'!B153),12)=0=""),"",AND('Model inputs'!B1119,MOD(('Model inputs'!AE230-'Model inputs'!B153),12)=0))))),'Model inputs'!B129*'Model inputs'!B141*12,0),IF('Model inputs'!AE337="","",'Model inputs'!AE337))</f>
        <v>0</v>
      </c>
      <c r="AF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inputs'!B1120=FALSE,FALSE),FALSE,IF(IFERROR(MOD(('Model inputs'!AF230-'Model inputs'!B153),12)=0=FALSE,FALSE),FALSE,IF(OR('Model inputs'!B1120="",MOD(('Model inputs'!AF230-'Model inputs'!B153),12)=0=""),"",AND('Model inputs'!B1120,MOD(('Model inputs'!AF230-'Model inputs'!B153),12)=0))))="",FALSE,IF(IFERROR('Model inputs'!B1120=FALSE,FALSE),FALSE,IF(IFERROR(MOD(('Model inputs'!AF230-'Model inputs'!B153),12)=0=FALSE,FALSE),FALSE,IF(OR('Model inputs'!B1120="",MOD(('Model inputs'!AF230-'Model inputs'!B153),12)=0=""),"",AND('Model inputs'!B1120,MOD(('Model inputs'!AF230-'Model inputs'!B153),12)=0))))),'Model inputs'!B129*'Model inputs'!B141*12,0),IF('Model inputs'!AF337="","",'Model inputs'!AF337))</f>
        <v>0</v>
      </c>
      <c r="AG300" s="9">
        <f>IF(IF(IF(ISERROR('Model inputs'!B89=1),'Model inputs'!B89=1,IF('Model inputs'!B89="","",'Model inputs'!B89=1))="",FALSE,IF(ISERROR('Model inputs'!B89=1),'Model inputs'!B89=1,IF('Model inputs'!B89="","",'Model inputs'!B89=1))),IF(IF(IF(IFERROR('Model inputs'!B1121=FALSE,FALSE),FALSE,IF(IFERROR(MOD(('Model inputs'!AG230-'Model inputs'!B153),12)=0=FALSE,FALSE),FALSE,IF(OR('Model inputs'!B1121="",MOD(('Model inputs'!AG230-'Model inputs'!B153),12)=0=""),"",AND('Model inputs'!B1121,MOD(('Model inputs'!AG230-'Model inputs'!B153),12)=0))))="",FALSE,IF(IFERROR('Model inputs'!B1121=FALSE,FALSE),FALSE,IF(IFERROR(MOD(('Model inputs'!AG230-'Model inputs'!B153),12)=0=FALSE,FALSE),FALSE,IF(OR('Model inputs'!B1121="",MOD(('Model inputs'!AG230-'Model inputs'!B153),12)=0=""),"",AND('Model inputs'!B1121,MOD(('Model inputs'!AG230-'Model inputs'!B153),12)=0))))),'Model inputs'!B129*'Model inputs'!B141*12,0),IF('Model inputs'!AG337="","",'Model inputs'!AG337))</f>
        <v>0</v>
      </c>
    </row>
    <row r="301" outlineLevel="1">
      <c r="A301" t="inlineStr" s="18">
        <is>
          <t xml:space="preserve">Opex cash paid &gt; Entire cloud workspace</t>
        </is>
      </c>
      <c r="C301" s="9">
        <f>IF('Model inputs'!C48="","",'Model inputs'!C48)</f>
        <v>0</v>
      </c>
      <c r="D301" s="9">
        <f>IF('Model inputs'!D48="","",'Model inputs'!D48)</f>
        <v>0</v>
      </c>
      <c r="E301" s="9">
        <f>IF('Model inputs'!E48="","",'Model inputs'!E48)</f>
        <v>0</v>
      </c>
      <c r="F301" s="9">
        <f>IF('Model inputs'!F48="","",'Model inputs'!F48)</f>
        <v>0</v>
      </c>
      <c r="G301" s="9">
        <f>IF('Model inputs'!G48="","",'Model inputs'!G48)</f>
        <v>0</v>
      </c>
      <c r="H301" s="9">
        <f>IF('Model inputs'!H48="","",'Model inputs'!H48)</f>
        <v>0</v>
      </c>
      <c r="I301" s="9">
        <f>IF('Model inputs'!I48="","",'Model inputs'!I48)</f>
        <v>200</v>
      </c>
      <c r="J301" s="9">
        <f>IF('Model inputs'!J48="","",'Model inputs'!J48)</f>
        <v>200</v>
      </c>
      <c r="K301" s="9">
        <f>IF('Model inputs'!K48="","",'Model inputs'!K48)</f>
        <v>200</v>
      </c>
      <c r="L301" s="9">
        <f>IF('Model inputs'!L48="","",'Model inputs'!L48)</f>
        <v>200</v>
      </c>
      <c r="M301" s="9">
        <f>IF('Model inputs'!M48="","",'Model inputs'!M48)</f>
        <v>200</v>
      </c>
      <c r="N301" s="9">
        <f>IF('Model inputs'!N48="","",'Model inputs'!N48)</f>
        <v>200</v>
      </c>
      <c r="O301" s="9">
        <f>IF('Model inputs'!O48="","",'Model inputs'!O48)</f>
        <v>200</v>
      </c>
      <c r="P301" s="9">
        <f>IF('Model inputs'!P48="","",'Model inputs'!P48)</f>
        <v>200</v>
      </c>
      <c r="Q301" s="9">
        <f>IF('Model inputs'!Q48="","",'Model inputs'!Q48)</f>
        <v>200</v>
      </c>
      <c r="R301" s="9">
        <f>IF('Model inputs'!R48="","",'Model inputs'!R48)</f>
        <v>200</v>
      </c>
      <c r="S301" s="9">
        <f>IF('Model inputs'!S48="","",'Model inputs'!S48)</f>
        <v>200</v>
      </c>
      <c r="T301" s="9">
        <f>IF('Model inputs'!T48="","",'Model inputs'!T48)</f>
        <v>200</v>
      </c>
      <c r="U301" s="9">
        <f>IF('Model inputs'!U48="","",'Model inputs'!U48)</f>
        <v>200</v>
      </c>
      <c r="V301" s="9">
        <f>IF('Model inputs'!V48="","",'Model inputs'!V48)</f>
        <v>200</v>
      </c>
      <c r="W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inputs'!B1122=FALSE,FALSE),FALSE,IF(IFERROR(MOD(('Model inputs'!W230-'Model inputs'!B154),12)=0=FALSE,FALSE),FALSE,IF(OR('Model inputs'!B1122="",MOD(('Model inputs'!W230-'Model inputs'!B154),12)=0=""),"",AND('Model inputs'!B1122,MOD(('Model inputs'!W230-'Model inputs'!B154),12)=0))))="",FALSE,IF(IFERROR('Model inputs'!B1122=FALSE,FALSE),FALSE,IF(IFERROR(MOD(('Model inputs'!W230-'Model inputs'!B154),12)=0=FALSE,FALSE),FALSE,IF(OR('Model inputs'!B1122="",MOD(('Model inputs'!W230-'Model inputs'!B154),12)=0=""),"",AND('Model inputs'!B1122,MOD(('Model inputs'!W230-'Model inputs'!B154),12)=0))))),'Model inputs'!B130*'Model inputs'!B142*12,0),IF('Model inputs'!W338="","",'Model inputs'!W338))</f>
        <v>0</v>
      </c>
      <c r="X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inputs'!B1123=FALSE,FALSE),FALSE,IF(IFERROR(MOD(('Model inputs'!X230-'Model inputs'!B154),12)=0=FALSE,FALSE),FALSE,IF(OR('Model inputs'!B1123="",MOD(('Model inputs'!X230-'Model inputs'!B154),12)=0=""),"",AND('Model inputs'!B1123,MOD(('Model inputs'!X230-'Model inputs'!B154),12)=0))))="",FALSE,IF(IFERROR('Model inputs'!B1123=FALSE,FALSE),FALSE,IF(IFERROR(MOD(('Model inputs'!X230-'Model inputs'!B154),12)=0=FALSE,FALSE),FALSE,IF(OR('Model inputs'!B1123="",MOD(('Model inputs'!X230-'Model inputs'!B154),12)=0=""),"",AND('Model inputs'!B1123,MOD(('Model inputs'!X230-'Model inputs'!B154),12)=0))))),'Model inputs'!B130*'Model inputs'!B142*12,0),IF('Model inputs'!X338="","",'Model inputs'!X338))</f>
        <v>0</v>
      </c>
      <c r="Y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inputs'!B1124=FALSE,FALSE),FALSE,IF(IFERROR(MOD(('Model inputs'!Y230-'Model inputs'!B154),12)=0=FALSE,FALSE),FALSE,IF(OR('Model inputs'!B1124="",MOD(('Model inputs'!Y230-'Model inputs'!B154),12)=0=""),"",AND('Model inputs'!B1124,MOD(('Model inputs'!Y230-'Model inputs'!B154),12)=0))))="",FALSE,IF(IFERROR('Model inputs'!B1124=FALSE,FALSE),FALSE,IF(IFERROR(MOD(('Model inputs'!Y230-'Model inputs'!B154),12)=0=FALSE,FALSE),FALSE,IF(OR('Model inputs'!B1124="",MOD(('Model inputs'!Y230-'Model inputs'!B154),12)=0=""),"",AND('Model inputs'!B1124,MOD(('Model inputs'!Y230-'Model inputs'!B154),12)=0))))),'Model inputs'!B130*'Model inputs'!B142*12,0),IF('Model inputs'!Y338="","",'Model inputs'!Y338))</f>
        <v>0</v>
      </c>
      <c r="Z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inputs'!B1125=FALSE,FALSE),FALSE,IF(IFERROR(MOD(('Model inputs'!Z230-'Model inputs'!B154),12)=0=FALSE,FALSE),FALSE,IF(OR('Model inputs'!B1125="",MOD(('Model inputs'!Z230-'Model inputs'!B154),12)=0=""),"",AND('Model inputs'!B1125,MOD(('Model inputs'!Z230-'Model inputs'!B154),12)=0))))="",FALSE,IF(IFERROR('Model inputs'!B1125=FALSE,FALSE),FALSE,IF(IFERROR(MOD(('Model inputs'!Z230-'Model inputs'!B154),12)=0=FALSE,FALSE),FALSE,IF(OR('Model inputs'!B1125="",MOD(('Model inputs'!Z230-'Model inputs'!B154),12)=0=""),"",AND('Model inputs'!B1125,MOD(('Model inputs'!Z230-'Model inputs'!B154),12)=0))))),'Model inputs'!B130*'Model inputs'!B142*12,0),IF('Model inputs'!Z338="","",'Model inputs'!Z338))</f>
        <v>0</v>
      </c>
      <c r="AA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inputs'!B1126=FALSE,FALSE),FALSE,IF(IFERROR(MOD(('Model inputs'!AA230-'Model inputs'!B154),12)=0=FALSE,FALSE),FALSE,IF(OR('Model inputs'!B1126="",MOD(('Model inputs'!AA230-'Model inputs'!B154),12)=0=""),"",AND('Model inputs'!B1126,MOD(('Model inputs'!AA230-'Model inputs'!B154),12)=0))))="",FALSE,IF(IFERROR('Model inputs'!B1126=FALSE,FALSE),FALSE,IF(IFERROR(MOD(('Model inputs'!AA230-'Model inputs'!B154),12)=0=FALSE,FALSE),FALSE,IF(OR('Model inputs'!B1126="",MOD(('Model inputs'!AA230-'Model inputs'!B154),12)=0=""),"",AND('Model inputs'!B1126,MOD(('Model inputs'!AA230-'Model inputs'!B154),12)=0))))),'Model inputs'!B130*'Model inputs'!B142*12,0),IF('Model inputs'!AA338="","",'Model inputs'!AA338))</f>
        <v>0</v>
      </c>
      <c r="AB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inputs'!B1127=FALSE,FALSE),FALSE,IF(IFERROR(MOD(('Model inputs'!AB230-'Model inputs'!B154),12)=0=FALSE,FALSE),FALSE,IF(OR('Model inputs'!B1127="",MOD(('Model inputs'!AB230-'Model inputs'!B154),12)=0=""),"",AND('Model inputs'!B1127,MOD(('Model inputs'!AB230-'Model inputs'!B154),12)=0))))="",FALSE,IF(IFERROR('Model inputs'!B1127=FALSE,FALSE),FALSE,IF(IFERROR(MOD(('Model inputs'!AB230-'Model inputs'!B154),12)=0=FALSE,FALSE),FALSE,IF(OR('Model inputs'!B1127="",MOD(('Model inputs'!AB230-'Model inputs'!B154),12)=0=""),"",AND('Model inputs'!B1127,MOD(('Model inputs'!AB230-'Model inputs'!B154),12)=0))))),'Model inputs'!B130*'Model inputs'!B142*12,0),IF('Model inputs'!AB338="","",'Model inputs'!AB338))</f>
        <v>0</v>
      </c>
      <c r="AC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inputs'!B1128=FALSE,FALSE),FALSE,IF(IFERROR(MOD(('Model inputs'!AC230-'Model inputs'!B154),12)=0=FALSE,FALSE),FALSE,IF(OR('Model inputs'!B1128="",MOD(('Model inputs'!AC230-'Model inputs'!B154),12)=0=""),"",AND('Model inputs'!B1128,MOD(('Model inputs'!AC230-'Model inputs'!B154),12)=0))))="",FALSE,IF(IFERROR('Model inputs'!B1128=FALSE,FALSE),FALSE,IF(IFERROR(MOD(('Model inputs'!AC230-'Model inputs'!B154),12)=0=FALSE,FALSE),FALSE,IF(OR('Model inputs'!B1128="",MOD(('Model inputs'!AC230-'Model inputs'!B154),12)=0=""),"",AND('Model inputs'!B1128,MOD(('Model inputs'!AC230-'Model inputs'!B154),12)=0))))),'Model inputs'!B130*'Model inputs'!B142*12,0),IF('Model inputs'!AC338="","",'Model inputs'!AC338))</f>
        <v>0</v>
      </c>
      <c r="AD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inputs'!B1129=FALSE,FALSE),FALSE,IF(IFERROR(MOD(('Model inputs'!AD230-'Model inputs'!B154),12)=0=FALSE,FALSE),FALSE,IF(OR('Model inputs'!B1129="",MOD(('Model inputs'!AD230-'Model inputs'!B154),12)=0=""),"",AND('Model inputs'!B1129,MOD(('Model inputs'!AD230-'Model inputs'!B154),12)=0))))="",FALSE,IF(IFERROR('Model inputs'!B1129=FALSE,FALSE),FALSE,IF(IFERROR(MOD(('Model inputs'!AD230-'Model inputs'!B154),12)=0=FALSE,FALSE),FALSE,IF(OR('Model inputs'!B1129="",MOD(('Model inputs'!AD230-'Model inputs'!B154),12)=0=""),"",AND('Model inputs'!B1129,MOD(('Model inputs'!AD230-'Model inputs'!B154),12)=0))))),'Model inputs'!B130*'Model inputs'!B142*12,0),IF('Model inputs'!AD338="","",'Model inputs'!AD338))</f>
        <v>0</v>
      </c>
      <c r="AE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inputs'!B1130=FALSE,FALSE),FALSE,IF(IFERROR(MOD(('Model inputs'!AE230-'Model inputs'!B154),12)=0=FALSE,FALSE),FALSE,IF(OR('Model inputs'!B1130="",MOD(('Model inputs'!AE230-'Model inputs'!B154),12)=0=""),"",AND('Model inputs'!B1130,MOD(('Model inputs'!AE230-'Model inputs'!B154),12)=0))))="",FALSE,IF(IFERROR('Model inputs'!B1130=FALSE,FALSE),FALSE,IF(IFERROR(MOD(('Model inputs'!AE230-'Model inputs'!B154),12)=0=FALSE,FALSE),FALSE,IF(OR('Model inputs'!B1130="",MOD(('Model inputs'!AE230-'Model inputs'!B154),12)=0=""),"",AND('Model inputs'!B1130,MOD(('Model inputs'!AE230-'Model inputs'!B154),12)=0))))),'Model inputs'!B130*'Model inputs'!B142*12,0),IF('Model inputs'!AE338="","",'Model inputs'!AE338))</f>
        <v>0</v>
      </c>
      <c r="AF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inputs'!B1131=FALSE,FALSE),FALSE,IF(IFERROR(MOD(('Model inputs'!AF230-'Model inputs'!B154),12)=0=FALSE,FALSE),FALSE,IF(OR('Model inputs'!B1131="",MOD(('Model inputs'!AF230-'Model inputs'!B154),12)=0=""),"",AND('Model inputs'!B1131,MOD(('Model inputs'!AF230-'Model inputs'!B154),12)=0))))="",FALSE,IF(IFERROR('Model inputs'!B1131=FALSE,FALSE),FALSE,IF(IFERROR(MOD(('Model inputs'!AF230-'Model inputs'!B154),12)=0=FALSE,FALSE),FALSE,IF(OR('Model inputs'!B1131="",MOD(('Model inputs'!AF230-'Model inputs'!B154),12)=0=""),"",AND('Model inputs'!B1131,MOD(('Model inputs'!AF230-'Model inputs'!B154),12)=0))))),'Model inputs'!B130*'Model inputs'!B142*12,0),IF('Model inputs'!AF338="","",'Model inputs'!AF338))</f>
        <v>0</v>
      </c>
      <c r="AG301" s="9">
        <f>IF(IF(IF(ISERROR('Model inputs'!B90=1),'Model inputs'!B90=1,IF('Model inputs'!B90="","",'Model inputs'!B90=1))="",FALSE,IF(ISERROR('Model inputs'!B90=1),'Model inputs'!B90=1,IF('Model inputs'!B90="","",'Model inputs'!B90=1))),IF(IF(IF(IFERROR('Model inputs'!B1132=FALSE,FALSE),FALSE,IF(IFERROR(MOD(('Model inputs'!AG230-'Model inputs'!B154),12)=0=FALSE,FALSE),FALSE,IF(OR('Model inputs'!B1132="",MOD(('Model inputs'!AG230-'Model inputs'!B154),12)=0=""),"",AND('Model inputs'!B1132,MOD(('Model inputs'!AG230-'Model inputs'!B154),12)=0))))="",FALSE,IF(IFERROR('Model inputs'!B1132=FALSE,FALSE),FALSE,IF(IFERROR(MOD(('Model inputs'!AG230-'Model inputs'!B154),12)=0=FALSE,FALSE),FALSE,IF(OR('Model inputs'!B1132="",MOD(('Model inputs'!AG230-'Model inputs'!B154),12)=0=""),"",AND('Model inputs'!B1132,MOD(('Model inputs'!AG230-'Model inputs'!B154),12)=0))))),'Model inputs'!B130*'Model inputs'!B142*12,0),IF('Model inputs'!AG338="","",'Model inputs'!AG338))</f>
        <v>0</v>
      </c>
    </row>
    <row r="302" outlineLevel="1">
      <c r="A302" t="inlineStr" s="18">
        <is>
          <t xml:space="preserve">Opex cash paid &gt; First engineer (loaded)</t>
        </is>
      </c>
      <c r="C302" s="9">
        <f>IF('Model inputs'!C49="","",'Model inputs'!C49)</f>
        <v>0</v>
      </c>
      <c r="D302" s="9">
        <f>IF('Model inputs'!D49="","",'Model inputs'!D49)</f>
        <v>0</v>
      </c>
      <c r="E302" s="9">
        <f>IF('Model inputs'!E49="","",'Model inputs'!E49)</f>
        <v>0</v>
      </c>
      <c r="F302" s="9">
        <f>IF('Model inputs'!F49="","",'Model inputs'!F49)</f>
        <v>0</v>
      </c>
      <c r="G302" s="9">
        <f>IF('Model inputs'!G49="","",'Model inputs'!G49)</f>
        <v>0</v>
      </c>
      <c r="H302" s="9">
        <f>IF('Model inputs'!H49="","",'Model inputs'!H49)</f>
        <v>0</v>
      </c>
      <c r="I302" s="9">
        <f>IF('Model inputs'!I49="","",'Model inputs'!I49)</f>
        <v>0</v>
      </c>
      <c r="J302" s="9">
        <f>IF('Model inputs'!J49="","",'Model inputs'!J49)</f>
        <v>0</v>
      </c>
      <c r="K302" s="9">
        <f>IF('Model inputs'!K49="","",'Model inputs'!K49)</f>
        <v>0</v>
      </c>
      <c r="L302" s="9">
        <f>IF('Model inputs'!L49="","",'Model inputs'!L49)</f>
        <v>0</v>
      </c>
      <c r="M302" s="9">
        <f>IF('Model inputs'!M49="","",'Model inputs'!M49)</f>
        <v>0</v>
      </c>
      <c r="N302" s="9">
        <f>IF('Model inputs'!N49="","",'Model inputs'!N49)</f>
        <v>0</v>
      </c>
      <c r="O302" s="9">
        <f>IF('Model inputs'!O49="","",'Model inputs'!O49)</f>
        <v>0</v>
      </c>
      <c r="P302" s="9">
        <f>IF('Model inputs'!P49="","",'Model inputs'!P49)</f>
        <v>0</v>
      </c>
      <c r="Q302" s="9">
        <f>IF('Model inputs'!Q49="","",'Model inputs'!Q49)</f>
        <v>0</v>
      </c>
      <c r="R302" s="9">
        <f>IF('Model inputs'!R49="","",'Model inputs'!R49)</f>
        <v>0</v>
      </c>
      <c r="S302" s="9">
        <f>IF('Model inputs'!S49="","",'Model inputs'!S49)</f>
        <v>0</v>
      </c>
      <c r="T302" s="9">
        <f>IF('Model inputs'!T49="","",'Model inputs'!T49)</f>
        <v>0</v>
      </c>
      <c r="U302" s="9">
        <f>IF('Model inputs'!U49="","",'Model inputs'!U49)</f>
        <v>0</v>
      </c>
      <c r="V302" s="9">
        <f>IF('Model inputs'!V49="","",'Model inputs'!V49)</f>
        <v>0</v>
      </c>
      <c r="W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inputs'!B1133=FALSE,FALSE),FALSE,IF(IFERROR(MOD(('Model inputs'!W230-'Model inputs'!B155),12)=0=FALSE,FALSE),FALSE,IF(OR('Model inputs'!B1133="",MOD(('Model inputs'!W230-'Model inputs'!B155),12)=0=""),"",AND('Model inputs'!B1133,MOD(('Model inputs'!W230-'Model inputs'!B155),12)=0))))="",FALSE,IF(IFERROR('Model inputs'!B1133=FALSE,FALSE),FALSE,IF(IFERROR(MOD(('Model inputs'!W230-'Model inputs'!B155),12)=0=FALSE,FALSE),FALSE,IF(OR('Model inputs'!B1133="",MOD(('Model inputs'!W230-'Model inputs'!B155),12)=0=""),"",AND('Model inputs'!B1133,MOD(('Model inputs'!W230-'Model inputs'!B155),12)=0))))),'Model inputs'!B131*'Model inputs'!B143*12,0),IF('Model inputs'!W339="","",'Model inputs'!W339))</f>
        <v>0</v>
      </c>
      <c r="X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inputs'!B1134=FALSE,FALSE),FALSE,IF(IFERROR(MOD(('Model inputs'!X230-'Model inputs'!B155),12)=0=FALSE,FALSE),FALSE,IF(OR('Model inputs'!B1134="",MOD(('Model inputs'!X230-'Model inputs'!B155),12)=0=""),"",AND('Model inputs'!B1134,MOD(('Model inputs'!X230-'Model inputs'!B155),12)=0))))="",FALSE,IF(IFERROR('Model inputs'!B1134=FALSE,FALSE),FALSE,IF(IFERROR(MOD(('Model inputs'!X230-'Model inputs'!B155),12)=0=FALSE,FALSE),FALSE,IF(OR('Model inputs'!B1134="",MOD(('Model inputs'!X230-'Model inputs'!B155),12)=0=""),"",AND('Model inputs'!B1134,MOD(('Model inputs'!X230-'Model inputs'!B155),12)=0))))),'Model inputs'!B131*'Model inputs'!B143*12,0),IF('Model inputs'!X339="","",'Model inputs'!X339))</f>
        <v>0</v>
      </c>
      <c r="Y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inputs'!B1135=FALSE,FALSE),FALSE,IF(IFERROR(MOD(('Model inputs'!Y230-'Model inputs'!B155),12)=0=FALSE,FALSE),FALSE,IF(OR('Model inputs'!B1135="",MOD(('Model inputs'!Y230-'Model inputs'!B155),12)=0=""),"",AND('Model inputs'!B1135,MOD(('Model inputs'!Y230-'Model inputs'!B155),12)=0))))="",FALSE,IF(IFERROR('Model inputs'!B1135=FALSE,FALSE),FALSE,IF(IFERROR(MOD(('Model inputs'!Y230-'Model inputs'!B155),12)=0=FALSE,FALSE),FALSE,IF(OR('Model inputs'!B1135="",MOD(('Model inputs'!Y230-'Model inputs'!B155),12)=0=""),"",AND('Model inputs'!B1135,MOD(('Model inputs'!Y230-'Model inputs'!B155),12)=0))))),'Model inputs'!B131*'Model inputs'!B143*12,0),IF('Model inputs'!Y339="","",'Model inputs'!Y339))</f>
        <v>0</v>
      </c>
      <c r="Z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inputs'!B1136=FALSE,FALSE),FALSE,IF(IFERROR(MOD(('Model inputs'!Z230-'Model inputs'!B155),12)=0=FALSE,FALSE),FALSE,IF(OR('Model inputs'!B1136="",MOD(('Model inputs'!Z230-'Model inputs'!B155),12)=0=""),"",AND('Model inputs'!B1136,MOD(('Model inputs'!Z230-'Model inputs'!B155),12)=0))))="",FALSE,IF(IFERROR('Model inputs'!B1136=FALSE,FALSE),FALSE,IF(IFERROR(MOD(('Model inputs'!Z230-'Model inputs'!B155),12)=0=FALSE,FALSE),FALSE,IF(OR('Model inputs'!B1136="",MOD(('Model inputs'!Z230-'Model inputs'!B155),12)=0=""),"",AND('Model inputs'!B1136,MOD(('Model inputs'!Z230-'Model inputs'!B155),12)=0))))),'Model inputs'!B131*'Model inputs'!B143*12,0),IF('Model inputs'!Z339="","",'Model inputs'!Z339))</f>
        <v>0</v>
      </c>
      <c r="AA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inputs'!B1137=FALSE,FALSE),FALSE,IF(IFERROR(MOD(('Model inputs'!AA230-'Model inputs'!B155),12)=0=FALSE,FALSE),FALSE,IF(OR('Model inputs'!B1137="",MOD(('Model inputs'!AA230-'Model inputs'!B155),12)=0=""),"",AND('Model inputs'!B1137,MOD(('Model inputs'!AA230-'Model inputs'!B155),12)=0))))="",FALSE,IF(IFERROR('Model inputs'!B1137=FALSE,FALSE),FALSE,IF(IFERROR(MOD(('Model inputs'!AA230-'Model inputs'!B155),12)=0=FALSE,FALSE),FALSE,IF(OR('Model inputs'!B1137="",MOD(('Model inputs'!AA230-'Model inputs'!B155),12)=0=""),"",AND('Model inputs'!B1137,MOD(('Model inputs'!AA230-'Model inputs'!B155),12)=0))))),'Model inputs'!B131*'Model inputs'!B143*12,0),IF('Model inputs'!AA339="","",'Model inputs'!AA339))</f>
        <v>0</v>
      </c>
      <c r="AB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inputs'!B1138=FALSE,FALSE),FALSE,IF(IFERROR(MOD(('Model inputs'!AB230-'Model inputs'!B155),12)=0=FALSE,FALSE),FALSE,IF(OR('Model inputs'!B1138="",MOD(('Model inputs'!AB230-'Model inputs'!B155),12)=0=""),"",AND('Model inputs'!B1138,MOD(('Model inputs'!AB230-'Model inputs'!B155),12)=0))))="",FALSE,IF(IFERROR('Model inputs'!B1138=FALSE,FALSE),FALSE,IF(IFERROR(MOD(('Model inputs'!AB230-'Model inputs'!B155),12)=0=FALSE,FALSE),FALSE,IF(OR('Model inputs'!B1138="",MOD(('Model inputs'!AB230-'Model inputs'!B155),12)=0=""),"",AND('Model inputs'!B1138,MOD(('Model inputs'!AB230-'Model inputs'!B155),12)=0))))),'Model inputs'!B131*'Model inputs'!B143*12,0),IF('Model inputs'!AB339="","",'Model inputs'!AB339))</f>
        <v>0</v>
      </c>
      <c r="AC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inputs'!B1139=FALSE,FALSE),FALSE,IF(IFERROR(MOD(('Model inputs'!AC230-'Model inputs'!B155),12)=0=FALSE,FALSE),FALSE,IF(OR('Model inputs'!B1139="",MOD(('Model inputs'!AC230-'Model inputs'!B155),12)=0=""),"",AND('Model inputs'!B1139,MOD(('Model inputs'!AC230-'Model inputs'!B155),12)=0))))="",FALSE,IF(IFERROR('Model inputs'!B1139=FALSE,FALSE),FALSE,IF(IFERROR(MOD(('Model inputs'!AC230-'Model inputs'!B155),12)=0=FALSE,FALSE),FALSE,IF(OR('Model inputs'!B1139="",MOD(('Model inputs'!AC230-'Model inputs'!B155),12)=0=""),"",AND('Model inputs'!B1139,MOD(('Model inputs'!AC230-'Model inputs'!B155),12)=0))))),'Model inputs'!B131*'Model inputs'!B143*12,0),IF('Model inputs'!AC339="","",'Model inputs'!AC339))</f>
        <v>0</v>
      </c>
      <c r="AD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inputs'!B1140=FALSE,FALSE),FALSE,IF(IFERROR(MOD(('Model inputs'!AD230-'Model inputs'!B155),12)=0=FALSE,FALSE),FALSE,IF(OR('Model inputs'!B1140="",MOD(('Model inputs'!AD230-'Model inputs'!B155),12)=0=""),"",AND('Model inputs'!B1140,MOD(('Model inputs'!AD230-'Model inputs'!B155),12)=0))))="",FALSE,IF(IFERROR('Model inputs'!B1140=FALSE,FALSE),FALSE,IF(IFERROR(MOD(('Model inputs'!AD230-'Model inputs'!B155),12)=0=FALSE,FALSE),FALSE,IF(OR('Model inputs'!B1140="",MOD(('Model inputs'!AD230-'Model inputs'!B155),12)=0=""),"",AND('Model inputs'!B1140,MOD(('Model inputs'!AD230-'Model inputs'!B155),12)=0))))),'Model inputs'!B131*'Model inputs'!B143*12,0),IF('Model inputs'!AD339="","",'Model inputs'!AD339))</f>
        <v>0</v>
      </c>
      <c r="AE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inputs'!B1141=FALSE,FALSE),FALSE,IF(IFERROR(MOD(('Model inputs'!AE230-'Model inputs'!B155),12)=0=FALSE,FALSE),FALSE,IF(OR('Model inputs'!B1141="",MOD(('Model inputs'!AE230-'Model inputs'!B155),12)=0=""),"",AND('Model inputs'!B1141,MOD(('Model inputs'!AE230-'Model inputs'!B155),12)=0))))="",FALSE,IF(IFERROR('Model inputs'!B1141=FALSE,FALSE),FALSE,IF(IFERROR(MOD(('Model inputs'!AE230-'Model inputs'!B155),12)=0=FALSE,FALSE),FALSE,IF(OR('Model inputs'!B1141="",MOD(('Model inputs'!AE230-'Model inputs'!B155),12)=0=""),"",AND('Model inputs'!B1141,MOD(('Model inputs'!AE230-'Model inputs'!B155),12)=0))))),'Model inputs'!B131*'Model inputs'!B143*12,0),IF('Model inputs'!AE339="","",'Model inputs'!AE339))</f>
        <v>0</v>
      </c>
      <c r="AF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inputs'!B1142=FALSE,FALSE),FALSE,IF(IFERROR(MOD(('Model inputs'!AF230-'Model inputs'!B155),12)=0=FALSE,FALSE),FALSE,IF(OR('Model inputs'!B1142="",MOD(('Model inputs'!AF230-'Model inputs'!B155),12)=0=""),"",AND('Model inputs'!B1142,MOD(('Model inputs'!AF230-'Model inputs'!B155),12)=0))))="",FALSE,IF(IFERROR('Model inputs'!B1142=FALSE,FALSE),FALSE,IF(IFERROR(MOD(('Model inputs'!AF230-'Model inputs'!B155),12)=0=FALSE,FALSE),FALSE,IF(OR('Model inputs'!B1142="",MOD(('Model inputs'!AF230-'Model inputs'!B155),12)=0=""),"",AND('Model inputs'!B1142,MOD(('Model inputs'!AF230-'Model inputs'!B155),12)=0))))),'Model inputs'!B131*'Model inputs'!B143*12,0),IF('Model inputs'!AF339="","",'Model inputs'!AF339))</f>
        <v>0</v>
      </c>
      <c r="AG302" s="9">
        <f>IF(IF(IF(ISERROR('Model inputs'!B91=1),'Model inputs'!B91=1,IF('Model inputs'!B91="","",'Model inputs'!B91=1))="",FALSE,IF(ISERROR('Model inputs'!B91=1),'Model inputs'!B91=1,IF('Model inputs'!B91="","",'Model inputs'!B91=1))),IF(IF(IF(IFERROR('Model inputs'!B1143=FALSE,FALSE),FALSE,IF(IFERROR(MOD(('Model inputs'!AG230-'Model inputs'!B155),12)=0=FALSE,FALSE),FALSE,IF(OR('Model inputs'!B1143="",MOD(('Model inputs'!AG230-'Model inputs'!B155),12)=0=""),"",AND('Model inputs'!B1143,MOD(('Model inputs'!AG230-'Model inputs'!B155),12)=0))))="",FALSE,IF(IFERROR('Model inputs'!B1143=FALSE,FALSE),FALSE,IF(IFERROR(MOD(('Model inputs'!AG230-'Model inputs'!B155),12)=0=FALSE,FALSE),FALSE,IF(OR('Model inputs'!B1143="",MOD(('Model inputs'!AG230-'Model inputs'!B155),12)=0=""),"",AND('Model inputs'!B1143,MOD(('Model inputs'!AG230-'Model inputs'!B155),12)=0))))),'Model inputs'!B131*'Model inputs'!B143*12,0),IF('Model inputs'!AG339="","",'Model inputs'!AG339))</f>
        <v>0</v>
      </c>
    </row>
    <row r="303" outlineLevel="1">
      <c r="A303" t="inlineStr" s="18">
        <is>
          <t xml:space="preserve">Opex cash paid &gt; Founder full-time step-up</t>
        </is>
      </c>
      <c r="C303" s="9">
        <f>IF('Model inputs'!C50="","",'Model inputs'!C50)</f>
        <v>0</v>
      </c>
      <c r="D303" s="9">
        <f>IF('Model inputs'!D50="","",'Model inputs'!D50)</f>
        <v>0</v>
      </c>
      <c r="E303" s="9">
        <f>IF('Model inputs'!E50="","",'Model inputs'!E50)</f>
        <v>0</v>
      </c>
      <c r="F303" s="9">
        <f>IF('Model inputs'!F50="","",'Model inputs'!F50)</f>
        <v>0</v>
      </c>
      <c r="G303" s="9">
        <f>IF('Model inputs'!G50="","",'Model inputs'!G50)</f>
        <v>0</v>
      </c>
      <c r="H303" s="9">
        <f>IF('Model inputs'!H50="","",'Model inputs'!H50)</f>
        <v>0</v>
      </c>
      <c r="I303" s="9">
        <f>IF('Model inputs'!I50="","",'Model inputs'!I50)</f>
        <v>0</v>
      </c>
      <c r="J303" s="9">
        <f>IF('Model inputs'!J50="","",'Model inputs'!J50)</f>
        <v>0</v>
      </c>
      <c r="K303" s="9">
        <f>IF('Model inputs'!K50="","",'Model inputs'!K50)</f>
        <v>4000</v>
      </c>
      <c r="L303" s="9">
        <f>IF('Model inputs'!L50="","",'Model inputs'!L50)</f>
        <v>4000</v>
      </c>
      <c r="M303" s="9">
        <f>IF('Model inputs'!M50="","",'Model inputs'!M50)</f>
        <v>4000</v>
      </c>
      <c r="N303" s="9">
        <f>IF('Model inputs'!N50="","",'Model inputs'!N50)</f>
        <v>4000</v>
      </c>
      <c r="O303" s="9">
        <f>IF('Model inputs'!O50="","",'Model inputs'!O50)</f>
        <v>4000</v>
      </c>
      <c r="P303" s="9">
        <f>IF('Model inputs'!P50="","",'Model inputs'!P50)</f>
        <v>4000</v>
      </c>
      <c r="Q303" s="9">
        <f>IF('Model inputs'!Q50="","",'Model inputs'!Q50)</f>
        <v>4000</v>
      </c>
      <c r="R303" s="9">
        <f>IF('Model inputs'!R50="","",'Model inputs'!R50)</f>
        <v>4000</v>
      </c>
      <c r="S303" s="9">
        <f>IF('Model inputs'!S50="","",'Model inputs'!S50)</f>
        <v>4000</v>
      </c>
      <c r="T303" s="9">
        <f>IF('Model inputs'!T50="","",'Model inputs'!T50)</f>
        <v>4000</v>
      </c>
      <c r="U303" s="9">
        <f>IF('Model inputs'!U50="","",'Model inputs'!U50)</f>
        <v>4000</v>
      </c>
      <c r="V303" s="9">
        <f>IF('Model inputs'!V50="","",'Model inputs'!V50)</f>
        <v>4000</v>
      </c>
      <c r="W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inputs'!B1144=FALSE,FALSE),FALSE,IF(IFERROR(MOD(('Model inputs'!W230-'Model inputs'!B156),12)=0=FALSE,FALSE),FALSE,IF(OR('Model inputs'!B1144="",MOD(('Model inputs'!W230-'Model inputs'!B156),12)=0=""),"",AND('Model inputs'!B1144,MOD(('Model inputs'!W230-'Model inputs'!B156),12)=0))))="",FALSE,IF(IFERROR('Model inputs'!B1144=FALSE,FALSE),FALSE,IF(IFERROR(MOD(('Model inputs'!W230-'Model inputs'!B156),12)=0=FALSE,FALSE),FALSE,IF(OR('Model inputs'!B1144="",MOD(('Model inputs'!W230-'Model inputs'!B156),12)=0=""),"",AND('Model inputs'!B1144,MOD(('Model inputs'!W230-'Model inputs'!B156),12)=0))))),'Model inputs'!B132*'Model inputs'!B144*12,0),IF('Model inputs'!W340="","",'Model inputs'!W340))</f>
        <v>0</v>
      </c>
      <c r="X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inputs'!B1145=FALSE,FALSE),FALSE,IF(IFERROR(MOD(('Model inputs'!X230-'Model inputs'!B156),12)=0=FALSE,FALSE),FALSE,IF(OR('Model inputs'!B1145="",MOD(('Model inputs'!X230-'Model inputs'!B156),12)=0=""),"",AND('Model inputs'!B1145,MOD(('Model inputs'!X230-'Model inputs'!B156),12)=0))))="",FALSE,IF(IFERROR('Model inputs'!B1145=FALSE,FALSE),FALSE,IF(IFERROR(MOD(('Model inputs'!X230-'Model inputs'!B156),12)=0=FALSE,FALSE),FALSE,IF(OR('Model inputs'!B1145="",MOD(('Model inputs'!X230-'Model inputs'!B156),12)=0=""),"",AND('Model inputs'!B1145,MOD(('Model inputs'!X230-'Model inputs'!B156),12)=0))))),'Model inputs'!B132*'Model inputs'!B144*12,0),IF('Model inputs'!X340="","",'Model inputs'!X340))</f>
        <v>0</v>
      </c>
      <c r="Y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inputs'!B1146=FALSE,FALSE),FALSE,IF(IFERROR(MOD(('Model inputs'!Y230-'Model inputs'!B156),12)=0=FALSE,FALSE),FALSE,IF(OR('Model inputs'!B1146="",MOD(('Model inputs'!Y230-'Model inputs'!B156),12)=0=""),"",AND('Model inputs'!B1146,MOD(('Model inputs'!Y230-'Model inputs'!B156),12)=0))))="",FALSE,IF(IFERROR('Model inputs'!B1146=FALSE,FALSE),FALSE,IF(IFERROR(MOD(('Model inputs'!Y230-'Model inputs'!B156),12)=0=FALSE,FALSE),FALSE,IF(OR('Model inputs'!B1146="",MOD(('Model inputs'!Y230-'Model inputs'!B156),12)=0=""),"",AND('Model inputs'!B1146,MOD(('Model inputs'!Y230-'Model inputs'!B156),12)=0))))),'Model inputs'!B132*'Model inputs'!B144*12,0),IF('Model inputs'!Y340="","",'Model inputs'!Y340))</f>
        <v>0</v>
      </c>
      <c r="Z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inputs'!B1147=FALSE,FALSE),FALSE,IF(IFERROR(MOD(('Model inputs'!Z230-'Model inputs'!B156),12)=0=FALSE,FALSE),FALSE,IF(OR('Model inputs'!B1147="",MOD(('Model inputs'!Z230-'Model inputs'!B156),12)=0=""),"",AND('Model inputs'!B1147,MOD(('Model inputs'!Z230-'Model inputs'!B156),12)=0))))="",FALSE,IF(IFERROR('Model inputs'!B1147=FALSE,FALSE),FALSE,IF(IFERROR(MOD(('Model inputs'!Z230-'Model inputs'!B156),12)=0=FALSE,FALSE),FALSE,IF(OR('Model inputs'!B1147="",MOD(('Model inputs'!Z230-'Model inputs'!B156),12)=0=""),"",AND('Model inputs'!B1147,MOD(('Model inputs'!Z230-'Model inputs'!B156),12)=0))))),'Model inputs'!B132*'Model inputs'!B144*12,0),IF('Model inputs'!Z340="","",'Model inputs'!Z340))</f>
        <v>0</v>
      </c>
      <c r="AA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inputs'!B1148=FALSE,FALSE),FALSE,IF(IFERROR(MOD(('Model inputs'!AA230-'Model inputs'!B156),12)=0=FALSE,FALSE),FALSE,IF(OR('Model inputs'!B1148="",MOD(('Model inputs'!AA230-'Model inputs'!B156),12)=0=""),"",AND('Model inputs'!B1148,MOD(('Model inputs'!AA230-'Model inputs'!B156),12)=0))))="",FALSE,IF(IFERROR('Model inputs'!B1148=FALSE,FALSE),FALSE,IF(IFERROR(MOD(('Model inputs'!AA230-'Model inputs'!B156),12)=0=FALSE,FALSE),FALSE,IF(OR('Model inputs'!B1148="",MOD(('Model inputs'!AA230-'Model inputs'!B156),12)=0=""),"",AND('Model inputs'!B1148,MOD(('Model inputs'!AA230-'Model inputs'!B156),12)=0))))),'Model inputs'!B132*'Model inputs'!B144*12,0),IF('Model inputs'!AA340="","",'Model inputs'!AA340))</f>
        <v>0</v>
      </c>
      <c r="AB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inputs'!B1149=FALSE,FALSE),FALSE,IF(IFERROR(MOD(('Model inputs'!AB230-'Model inputs'!B156),12)=0=FALSE,FALSE),FALSE,IF(OR('Model inputs'!B1149="",MOD(('Model inputs'!AB230-'Model inputs'!B156),12)=0=""),"",AND('Model inputs'!B1149,MOD(('Model inputs'!AB230-'Model inputs'!B156),12)=0))))="",FALSE,IF(IFERROR('Model inputs'!B1149=FALSE,FALSE),FALSE,IF(IFERROR(MOD(('Model inputs'!AB230-'Model inputs'!B156),12)=0=FALSE,FALSE),FALSE,IF(OR('Model inputs'!B1149="",MOD(('Model inputs'!AB230-'Model inputs'!B156),12)=0=""),"",AND('Model inputs'!B1149,MOD(('Model inputs'!AB230-'Model inputs'!B156),12)=0))))),'Model inputs'!B132*'Model inputs'!B144*12,0),IF('Model inputs'!AB340="","",'Model inputs'!AB340))</f>
        <v>0</v>
      </c>
      <c r="AC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inputs'!B1150=FALSE,FALSE),FALSE,IF(IFERROR(MOD(('Model inputs'!AC230-'Model inputs'!B156),12)=0=FALSE,FALSE),FALSE,IF(OR('Model inputs'!B1150="",MOD(('Model inputs'!AC230-'Model inputs'!B156),12)=0=""),"",AND('Model inputs'!B1150,MOD(('Model inputs'!AC230-'Model inputs'!B156),12)=0))))="",FALSE,IF(IFERROR('Model inputs'!B1150=FALSE,FALSE),FALSE,IF(IFERROR(MOD(('Model inputs'!AC230-'Model inputs'!B156),12)=0=FALSE,FALSE),FALSE,IF(OR('Model inputs'!B1150="",MOD(('Model inputs'!AC230-'Model inputs'!B156),12)=0=""),"",AND('Model inputs'!B1150,MOD(('Model inputs'!AC230-'Model inputs'!B156),12)=0))))),'Model inputs'!B132*'Model inputs'!B144*12,0),IF('Model inputs'!AC340="","",'Model inputs'!AC340))</f>
        <v>0</v>
      </c>
      <c r="AD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inputs'!B1151=FALSE,FALSE),FALSE,IF(IFERROR(MOD(('Model inputs'!AD230-'Model inputs'!B156),12)=0=FALSE,FALSE),FALSE,IF(OR('Model inputs'!B1151="",MOD(('Model inputs'!AD230-'Model inputs'!B156),12)=0=""),"",AND('Model inputs'!B1151,MOD(('Model inputs'!AD230-'Model inputs'!B156),12)=0))))="",FALSE,IF(IFERROR('Model inputs'!B1151=FALSE,FALSE),FALSE,IF(IFERROR(MOD(('Model inputs'!AD230-'Model inputs'!B156),12)=0=FALSE,FALSE),FALSE,IF(OR('Model inputs'!B1151="",MOD(('Model inputs'!AD230-'Model inputs'!B156),12)=0=""),"",AND('Model inputs'!B1151,MOD(('Model inputs'!AD230-'Model inputs'!B156),12)=0))))),'Model inputs'!B132*'Model inputs'!B144*12,0),IF('Model inputs'!AD340="","",'Model inputs'!AD340))</f>
        <v>0</v>
      </c>
      <c r="AE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inputs'!B1152=FALSE,FALSE),FALSE,IF(IFERROR(MOD(('Model inputs'!AE230-'Model inputs'!B156),12)=0=FALSE,FALSE),FALSE,IF(OR('Model inputs'!B1152="",MOD(('Model inputs'!AE230-'Model inputs'!B156),12)=0=""),"",AND('Model inputs'!B1152,MOD(('Model inputs'!AE230-'Model inputs'!B156),12)=0))))="",FALSE,IF(IFERROR('Model inputs'!B1152=FALSE,FALSE),FALSE,IF(IFERROR(MOD(('Model inputs'!AE230-'Model inputs'!B156),12)=0=FALSE,FALSE),FALSE,IF(OR('Model inputs'!B1152="",MOD(('Model inputs'!AE230-'Model inputs'!B156),12)=0=""),"",AND('Model inputs'!B1152,MOD(('Model inputs'!AE230-'Model inputs'!B156),12)=0))))),'Model inputs'!B132*'Model inputs'!B144*12,0),IF('Model inputs'!AE340="","",'Model inputs'!AE340))</f>
        <v>0</v>
      </c>
      <c r="AF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inputs'!B1153=FALSE,FALSE),FALSE,IF(IFERROR(MOD(('Model inputs'!AF230-'Model inputs'!B156),12)=0=FALSE,FALSE),FALSE,IF(OR('Model inputs'!B1153="",MOD(('Model inputs'!AF230-'Model inputs'!B156),12)=0=""),"",AND('Model inputs'!B1153,MOD(('Model inputs'!AF230-'Model inputs'!B156),12)=0))))="",FALSE,IF(IFERROR('Model inputs'!B1153=FALSE,FALSE),FALSE,IF(IFERROR(MOD(('Model inputs'!AF230-'Model inputs'!B156),12)=0=FALSE,FALSE),FALSE,IF(OR('Model inputs'!B1153="",MOD(('Model inputs'!AF230-'Model inputs'!B156),12)=0=""),"",AND('Model inputs'!B1153,MOD(('Model inputs'!AF230-'Model inputs'!B156),12)=0))))),'Model inputs'!B132*'Model inputs'!B144*12,0),IF('Model inputs'!AF340="","",'Model inputs'!AF340))</f>
        <v>0</v>
      </c>
      <c r="AG303" s="9">
        <f>IF(IF(IF(ISERROR('Model inputs'!B92=1),'Model inputs'!B92=1,IF('Model inputs'!B92="","",'Model inputs'!B92=1))="",FALSE,IF(ISERROR('Model inputs'!B92=1),'Model inputs'!B92=1,IF('Model inputs'!B92="","",'Model inputs'!B92=1))),IF(IF(IF(IFERROR('Model inputs'!B1154=FALSE,FALSE),FALSE,IF(IFERROR(MOD(('Model inputs'!AG230-'Model inputs'!B156),12)=0=FALSE,FALSE),FALSE,IF(OR('Model inputs'!B1154="",MOD(('Model inputs'!AG230-'Model inputs'!B156),12)=0=""),"",AND('Model inputs'!B1154,MOD(('Model inputs'!AG230-'Model inputs'!B156),12)=0))))="",FALSE,IF(IFERROR('Model inputs'!B1154=FALSE,FALSE),FALSE,IF(IFERROR(MOD(('Model inputs'!AG230-'Model inputs'!B156),12)=0=FALSE,FALSE),FALSE,IF(OR('Model inputs'!B1154="",MOD(('Model inputs'!AG230-'Model inputs'!B156),12)=0=""),"",AND('Model inputs'!B1154,MOD(('Model inputs'!AG230-'Model inputs'!B156),12)=0))))),'Model inputs'!B132*'Model inputs'!B144*12,0),IF('Model inputs'!AG340="","",'Model inputs'!AG340))</f>
        <v>0</v>
      </c>
    </row>
    <row r="304" outlineLevel="1">
      <c r="A304" t="inlineStr" s="18">
        <is>
          <t xml:space="preserve">Opex cash paid &gt; Founder salary (0.5 FTE)</t>
        </is>
      </c>
      <c r="C304" s="9">
        <f>IF('Model inputs'!C51="","",'Model inputs'!C51)</f>
        <v>0</v>
      </c>
      <c r="D304" s="9">
        <f>IF('Model inputs'!D51="","",'Model inputs'!D51)</f>
        <v>0</v>
      </c>
      <c r="E304" s="9">
        <f>IF('Model inputs'!E51="","",'Model inputs'!E51)</f>
        <v>4000</v>
      </c>
      <c r="F304" s="9">
        <f>IF('Model inputs'!F51="","",'Model inputs'!F51)</f>
        <v>4000</v>
      </c>
      <c r="G304" s="9">
        <f>IF('Model inputs'!G51="","",'Model inputs'!G51)</f>
        <v>4000</v>
      </c>
      <c r="H304" s="9">
        <f>IF('Model inputs'!H51="","",'Model inputs'!H51)</f>
        <v>4000</v>
      </c>
      <c r="I304" s="9">
        <f>IF('Model inputs'!I51="","",'Model inputs'!I51)</f>
        <v>4000</v>
      </c>
      <c r="J304" s="9">
        <f>IF('Model inputs'!J51="","",'Model inputs'!J51)</f>
        <v>4000</v>
      </c>
      <c r="K304" s="9">
        <f>IF('Model inputs'!K51="","",'Model inputs'!K51)</f>
        <v>4000</v>
      </c>
      <c r="L304" s="9">
        <f>IF('Model inputs'!L51="","",'Model inputs'!L51)</f>
        <v>4000</v>
      </c>
      <c r="M304" s="9">
        <f>IF('Model inputs'!M51="","",'Model inputs'!M51)</f>
        <v>4000</v>
      </c>
      <c r="N304" s="9">
        <f>IF('Model inputs'!N51="","",'Model inputs'!N51)</f>
        <v>4000</v>
      </c>
      <c r="O304" s="9">
        <f>IF('Model inputs'!O51="","",'Model inputs'!O51)</f>
        <v>4000</v>
      </c>
      <c r="P304" s="9">
        <f>IF('Model inputs'!P51="","",'Model inputs'!P51)</f>
        <v>4000</v>
      </c>
      <c r="Q304" s="9">
        <f>IF('Model inputs'!Q51="","",'Model inputs'!Q51)</f>
        <v>4000</v>
      </c>
      <c r="R304" s="9">
        <f>IF('Model inputs'!R51="","",'Model inputs'!R51)</f>
        <v>4000</v>
      </c>
      <c r="S304" s="9">
        <f>IF('Model inputs'!S51="","",'Model inputs'!S51)</f>
        <v>4000</v>
      </c>
      <c r="T304" s="9">
        <f>IF('Model inputs'!T51="","",'Model inputs'!T51)</f>
        <v>4000</v>
      </c>
      <c r="U304" s="9">
        <f>IF('Model inputs'!U51="","",'Model inputs'!U51)</f>
        <v>4000</v>
      </c>
      <c r="V304" s="9">
        <f>IF('Model inputs'!V51="","",'Model inputs'!V51)</f>
        <v>4000</v>
      </c>
      <c r="W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inputs'!B1155=FALSE,FALSE),FALSE,IF(IFERROR(MOD(('Model inputs'!W230-'Model inputs'!B157),12)=0=FALSE,FALSE),FALSE,IF(OR('Model inputs'!B1155="",MOD(('Model inputs'!W230-'Model inputs'!B157),12)=0=""),"",AND('Model inputs'!B1155,MOD(('Model inputs'!W230-'Model inputs'!B157),12)=0))))="",FALSE,IF(IFERROR('Model inputs'!B1155=FALSE,FALSE),FALSE,IF(IFERROR(MOD(('Model inputs'!W230-'Model inputs'!B157),12)=0=FALSE,FALSE),FALSE,IF(OR('Model inputs'!B1155="",MOD(('Model inputs'!W230-'Model inputs'!B157),12)=0=""),"",AND('Model inputs'!B1155,MOD(('Model inputs'!W230-'Model inputs'!B157),12)=0))))),'Model inputs'!B133*'Model inputs'!B145*12,0),IF('Model inputs'!W341="","",'Model inputs'!W341))</f>
        <v>0</v>
      </c>
      <c r="X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inputs'!B1156=FALSE,FALSE),FALSE,IF(IFERROR(MOD(('Model inputs'!X230-'Model inputs'!B157),12)=0=FALSE,FALSE),FALSE,IF(OR('Model inputs'!B1156="",MOD(('Model inputs'!X230-'Model inputs'!B157),12)=0=""),"",AND('Model inputs'!B1156,MOD(('Model inputs'!X230-'Model inputs'!B157),12)=0))))="",FALSE,IF(IFERROR('Model inputs'!B1156=FALSE,FALSE),FALSE,IF(IFERROR(MOD(('Model inputs'!X230-'Model inputs'!B157),12)=0=FALSE,FALSE),FALSE,IF(OR('Model inputs'!B1156="",MOD(('Model inputs'!X230-'Model inputs'!B157),12)=0=""),"",AND('Model inputs'!B1156,MOD(('Model inputs'!X230-'Model inputs'!B157),12)=0))))),'Model inputs'!B133*'Model inputs'!B145*12,0),IF('Model inputs'!X341="","",'Model inputs'!X341))</f>
        <v>0</v>
      </c>
      <c r="Y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inputs'!B1157=FALSE,FALSE),FALSE,IF(IFERROR(MOD(('Model inputs'!Y230-'Model inputs'!B157),12)=0=FALSE,FALSE),FALSE,IF(OR('Model inputs'!B1157="",MOD(('Model inputs'!Y230-'Model inputs'!B157),12)=0=""),"",AND('Model inputs'!B1157,MOD(('Model inputs'!Y230-'Model inputs'!B157),12)=0))))="",FALSE,IF(IFERROR('Model inputs'!B1157=FALSE,FALSE),FALSE,IF(IFERROR(MOD(('Model inputs'!Y230-'Model inputs'!B157),12)=0=FALSE,FALSE),FALSE,IF(OR('Model inputs'!B1157="",MOD(('Model inputs'!Y230-'Model inputs'!B157),12)=0=""),"",AND('Model inputs'!B1157,MOD(('Model inputs'!Y230-'Model inputs'!B157),12)=0))))),'Model inputs'!B133*'Model inputs'!B145*12,0),IF('Model inputs'!Y341="","",'Model inputs'!Y341))</f>
        <v>0</v>
      </c>
      <c r="Z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inputs'!B1158=FALSE,FALSE),FALSE,IF(IFERROR(MOD(('Model inputs'!Z230-'Model inputs'!B157),12)=0=FALSE,FALSE),FALSE,IF(OR('Model inputs'!B1158="",MOD(('Model inputs'!Z230-'Model inputs'!B157),12)=0=""),"",AND('Model inputs'!B1158,MOD(('Model inputs'!Z230-'Model inputs'!B157),12)=0))))="",FALSE,IF(IFERROR('Model inputs'!B1158=FALSE,FALSE),FALSE,IF(IFERROR(MOD(('Model inputs'!Z230-'Model inputs'!B157),12)=0=FALSE,FALSE),FALSE,IF(OR('Model inputs'!B1158="",MOD(('Model inputs'!Z230-'Model inputs'!B157),12)=0=""),"",AND('Model inputs'!B1158,MOD(('Model inputs'!Z230-'Model inputs'!B157),12)=0))))),'Model inputs'!B133*'Model inputs'!B145*12,0),IF('Model inputs'!Z341="","",'Model inputs'!Z341))</f>
        <v>0</v>
      </c>
      <c r="AA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inputs'!B1159=FALSE,FALSE),FALSE,IF(IFERROR(MOD(('Model inputs'!AA230-'Model inputs'!B157),12)=0=FALSE,FALSE),FALSE,IF(OR('Model inputs'!B1159="",MOD(('Model inputs'!AA230-'Model inputs'!B157),12)=0=""),"",AND('Model inputs'!B1159,MOD(('Model inputs'!AA230-'Model inputs'!B157),12)=0))))="",FALSE,IF(IFERROR('Model inputs'!B1159=FALSE,FALSE),FALSE,IF(IFERROR(MOD(('Model inputs'!AA230-'Model inputs'!B157),12)=0=FALSE,FALSE),FALSE,IF(OR('Model inputs'!B1159="",MOD(('Model inputs'!AA230-'Model inputs'!B157),12)=0=""),"",AND('Model inputs'!B1159,MOD(('Model inputs'!AA230-'Model inputs'!B157),12)=0))))),'Model inputs'!B133*'Model inputs'!B145*12,0),IF('Model inputs'!AA341="","",'Model inputs'!AA341))</f>
        <v>0</v>
      </c>
      <c r="AB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inputs'!B1160=FALSE,FALSE),FALSE,IF(IFERROR(MOD(('Model inputs'!AB230-'Model inputs'!B157),12)=0=FALSE,FALSE),FALSE,IF(OR('Model inputs'!B1160="",MOD(('Model inputs'!AB230-'Model inputs'!B157),12)=0=""),"",AND('Model inputs'!B1160,MOD(('Model inputs'!AB230-'Model inputs'!B157),12)=0))))="",FALSE,IF(IFERROR('Model inputs'!B1160=FALSE,FALSE),FALSE,IF(IFERROR(MOD(('Model inputs'!AB230-'Model inputs'!B157),12)=0=FALSE,FALSE),FALSE,IF(OR('Model inputs'!B1160="",MOD(('Model inputs'!AB230-'Model inputs'!B157),12)=0=""),"",AND('Model inputs'!B1160,MOD(('Model inputs'!AB230-'Model inputs'!B157),12)=0))))),'Model inputs'!B133*'Model inputs'!B145*12,0),IF('Model inputs'!AB341="","",'Model inputs'!AB341))</f>
        <v>0</v>
      </c>
      <c r="AC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inputs'!B1161=FALSE,FALSE),FALSE,IF(IFERROR(MOD(('Model inputs'!AC230-'Model inputs'!B157),12)=0=FALSE,FALSE),FALSE,IF(OR('Model inputs'!B1161="",MOD(('Model inputs'!AC230-'Model inputs'!B157),12)=0=""),"",AND('Model inputs'!B1161,MOD(('Model inputs'!AC230-'Model inputs'!B157),12)=0))))="",FALSE,IF(IFERROR('Model inputs'!B1161=FALSE,FALSE),FALSE,IF(IFERROR(MOD(('Model inputs'!AC230-'Model inputs'!B157),12)=0=FALSE,FALSE),FALSE,IF(OR('Model inputs'!B1161="",MOD(('Model inputs'!AC230-'Model inputs'!B157),12)=0=""),"",AND('Model inputs'!B1161,MOD(('Model inputs'!AC230-'Model inputs'!B157),12)=0))))),'Model inputs'!B133*'Model inputs'!B145*12,0),IF('Model inputs'!AC341="","",'Model inputs'!AC341))</f>
        <v>0</v>
      </c>
      <c r="AD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inputs'!B1162=FALSE,FALSE),FALSE,IF(IFERROR(MOD(('Model inputs'!AD230-'Model inputs'!B157),12)=0=FALSE,FALSE),FALSE,IF(OR('Model inputs'!B1162="",MOD(('Model inputs'!AD230-'Model inputs'!B157),12)=0=""),"",AND('Model inputs'!B1162,MOD(('Model inputs'!AD230-'Model inputs'!B157),12)=0))))="",FALSE,IF(IFERROR('Model inputs'!B1162=FALSE,FALSE),FALSE,IF(IFERROR(MOD(('Model inputs'!AD230-'Model inputs'!B157),12)=0=FALSE,FALSE),FALSE,IF(OR('Model inputs'!B1162="",MOD(('Model inputs'!AD230-'Model inputs'!B157),12)=0=""),"",AND('Model inputs'!B1162,MOD(('Model inputs'!AD230-'Model inputs'!B157),12)=0))))),'Model inputs'!B133*'Model inputs'!B145*12,0),IF('Model inputs'!AD341="","",'Model inputs'!AD341))</f>
        <v>0</v>
      </c>
      <c r="AE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inputs'!B1163=FALSE,FALSE),FALSE,IF(IFERROR(MOD(('Model inputs'!AE230-'Model inputs'!B157),12)=0=FALSE,FALSE),FALSE,IF(OR('Model inputs'!B1163="",MOD(('Model inputs'!AE230-'Model inputs'!B157),12)=0=""),"",AND('Model inputs'!B1163,MOD(('Model inputs'!AE230-'Model inputs'!B157),12)=0))))="",FALSE,IF(IFERROR('Model inputs'!B1163=FALSE,FALSE),FALSE,IF(IFERROR(MOD(('Model inputs'!AE230-'Model inputs'!B157),12)=0=FALSE,FALSE),FALSE,IF(OR('Model inputs'!B1163="",MOD(('Model inputs'!AE230-'Model inputs'!B157),12)=0=""),"",AND('Model inputs'!B1163,MOD(('Model inputs'!AE230-'Model inputs'!B157),12)=0))))),'Model inputs'!B133*'Model inputs'!B145*12,0),IF('Model inputs'!AE341="","",'Model inputs'!AE341))</f>
        <v>0</v>
      </c>
      <c r="AF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inputs'!B1164=FALSE,FALSE),FALSE,IF(IFERROR(MOD(('Model inputs'!AF230-'Model inputs'!B157),12)=0=FALSE,FALSE),FALSE,IF(OR('Model inputs'!B1164="",MOD(('Model inputs'!AF230-'Model inputs'!B157),12)=0=""),"",AND('Model inputs'!B1164,MOD(('Model inputs'!AF230-'Model inputs'!B157),12)=0))))="",FALSE,IF(IFERROR('Model inputs'!B1164=FALSE,FALSE),FALSE,IF(IFERROR(MOD(('Model inputs'!AF230-'Model inputs'!B157),12)=0=FALSE,FALSE),FALSE,IF(OR('Model inputs'!B1164="",MOD(('Model inputs'!AF230-'Model inputs'!B157),12)=0=""),"",AND('Model inputs'!B1164,MOD(('Model inputs'!AF230-'Model inputs'!B157),12)=0))))),'Model inputs'!B133*'Model inputs'!B145*12,0),IF('Model inputs'!AF341="","",'Model inputs'!AF341))</f>
        <v>0</v>
      </c>
      <c r="AG304" s="9">
        <f>IF(IF(IF(ISERROR('Model inputs'!B93=1),'Model inputs'!B93=1,IF('Model inputs'!B93="","",'Model inputs'!B93=1))="",FALSE,IF(ISERROR('Model inputs'!B93=1),'Model inputs'!B93=1,IF('Model inputs'!B93="","",'Model inputs'!B93=1))),IF(IF(IF(IFERROR('Model inputs'!B1165=FALSE,FALSE),FALSE,IF(IFERROR(MOD(('Model inputs'!AG230-'Model inputs'!B157),12)=0=FALSE,FALSE),FALSE,IF(OR('Model inputs'!B1165="",MOD(('Model inputs'!AG230-'Model inputs'!B157),12)=0=""),"",AND('Model inputs'!B1165,MOD(('Model inputs'!AG230-'Model inputs'!B157),12)=0))))="",FALSE,IF(IFERROR('Model inputs'!B1165=FALSE,FALSE),FALSE,IF(IFERROR(MOD(('Model inputs'!AG230-'Model inputs'!B157),12)=0=FALSE,FALSE),FALSE,IF(OR('Model inputs'!B1165="",MOD(('Model inputs'!AG230-'Model inputs'!B157),12)=0=""),"",AND('Model inputs'!B1165,MOD(('Model inputs'!AG230-'Model inputs'!B157),12)=0))))),'Model inputs'!B133*'Model inputs'!B145*12,0),IF('Model inputs'!AG341="","",'Model inputs'!AG341))</f>
        <v>0</v>
      </c>
    </row>
    <row r="305" outlineLevel="1">
      <c r="A305" t="inlineStr" s="18">
        <is>
          <t xml:space="preserve">Opex cash paid &gt; Frontend contractor (0.25 FTE)</t>
        </is>
      </c>
      <c r="C305" s="9">
        <f>IF('Model inputs'!C52="","",'Model inputs'!C52)</f>
        <v>0</v>
      </c>
      <c r="D305" s="9">
        <f>IF('Model inputs'!D52="","",'Model inputs'!D52)</f>
        <v>0</v>
      </c>
      <c r="E305" s="9">
        <f>IF('Model inputs'!E52="","",'Model inputs'!E52)</f>
        <v>0</v>
      </c>
      <c r="F305" s="9">
        <f>IF('Model inputs'!F52="","",'Model inputs'!F52)</f>
        <v>0</v>
      </c>
      <c r="G305" s="9">
        <f>IF('Model inputs'!G52="","",'Model inputs'!G52)</f>
        <v>0</v>
      </c>
      <c r="H305" s="9">
        <f>IF('Model inputs'!H52="","",'Model inputs'!H52)</f>
        <v>2000</v>
      </c>
      <c r="I305" s="9">
        <f>IF('Model inputs'!I52="","",'Model inputs'!I52)</f>
        <v>2000</v>
      </c>
      <c r="J305" s="9">
        <f>IF('Model inputs'!J52="","",'Model inputs'!J52)</f>
        <v>2000</v>
      </c>
      <c r="K305" s="9">
        <f>IF('Model inputs'!K52="","",'Model inputs'!K52)</f>
        <v>2000</v>
      </c>
      <c r="L305" s="9">
        <f>IF('Model inputs'!L52="","",'Model inputs'!L52)</f>
        <v>2000</v>
      </c>
      <c r="M305" s="9">
        <f>IF('Model inputs'!M52="","",'Model inputs'!M52)</f>
        <v>2000</v>
      </c>
      <c r="N305" s="9">
        <f>IF('Model inputs'!N52="","",'Model inputs'!N52)</f>
        <v>2000</v>
      </c>
      <c r="O305" s="9">
        <f>IF('Model inputs'!O52="","",'Model inputs'!O52)</f>
        <v>2000</v>
      </c>
      <c r="P305" s="9">
        <f>IF('Model inputs'!P52="","",'Model inputs'!P52)</f>
        <v>2000</v>
      </c>
      <c r="Q305" s="9">
        <f>IF('Model inputs'!Q52="","",'Model inputs'!Q52)</f>
        <v>2000</v>
      </c>
      <c r="R305" s="9">
        <f>IF('Model inputs'!R52="","",'Model inputs'!R52)</f>
        <v>2000</v>
      </c>
      <c r="S305" s="9">
        <f>IF('Model inputs'!S52="","",'Model inputs'!S52)</f>
        <v>2000</v>
      </c>
      <c r="T305" s="9">
        <f>IF('Model inputs'!T52="","",'Model inputs'!T52)</f>
        <v>2000</v>
      </c>
      <c r="U305" s="9">
        <f>IF('Model inputs'!U52="","",'Model inputs'!U52)</f>
        <v>2000</v>
      </c>
      <c r="V305" s="9">
        <f>IF('Model inputs'!V52="","",'Model inputs'!V52)</f>
        <v>2000</v>
      </c>
      <c r="W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inputs'!B1166=FALSE,FALSE),FALSE,IF(IFERROR(MOD(('Model inputs'!W230-'Model inputs'!B158),12)=0=FALSE,FALSE),FALSE,IF(OR('Model inputs'!B1166="",MOD(('Model inputs'!W230-'Model inputs'!B158),12)=0=""),"",AND('Model inputs'!B1166,MOD(('Model inputs'!W230-'Model inputs'!B158),12)=0))))="",FALSE,IF(IFERROR('Model inputs'!B1166=FALSE,FALSE),FALSE,IF(IFERROR(MOD(('Model inputs'!W230-'Model inputs'!B158),12)=0=FALSE,FALSE),FALSE,IF(OR('Model inputs'!B1166="",MOD(('Model inputs'!W230-'Model inputs'!B158),12)=0=""),"",AND('Model inputs'!B1166,MOD(('Model inputs'!W230-'Model inputs'!B158),12)=0))))),'Model inputs'!B134*'Model inputs'!B146*12,0),IF('Model inputs'!W342="","",'Model inputs'!W342))</f>
        <v>0</v>
      </c>
      <c r="X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inputs'!B1167=FALSE,FALSE),FALSE,IF(IFERROR(MOD(('Model inputs'!X230-'Model inputs'!B158),12)=0=FALSE,FALSE),FALSE,IF(OR('Model inputs'!B1167="",MOD(('Model inputs'!X230-'Model inputs'!B158),12)=0=""),"",AND('Model inputs'!B1167,MOD(('Model inputs'!X230-'Model inputs'!B158),12)=0))))="",FALSE,IF(IFERROR('Model inputs'!B1167=FALSE,FALSE),FALSE,IF(IFERROR(MOD(('Model inputs'!X230-'Model inputs'!B158),12)=0=FALSE,FALSE),FALSE,IF(OR('Model inputs'!B1167="",MOD(('Model inputs'!X230-'Model inputs'!B158),12)=0=""),"",AND('Model inputs'!B1167,MOD(('Model inputs'!X230-'Model inputs'!B158),12)=0))))),'Model inputs'!B134*'Model inputs'!B146*12,0),IF('Model inputs'!X342="","",'Model inputs'!X342))</f>
        <v>0</v>
      </c>
      <c r="Y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inputs'!B1168=FALSE,FALSE),FALSE,IF(IFERROR(MOD(('Model inputs'!Y230-'Model inputs'!B158),12)=0=FALSE,FALSE),FALSE,IF(OR('Model inputs'!B1168="",MOD(('Model inputs'!Y230-'Model inputs'!B158),12)=0=""),"",AND('Model inputs'!B1168,MOD(('Model inputs'!Y230-'Model inputs'!B158),12)=0))))="",FALSE,IF(IFERROR('Model inputs'!B1168=FALSE,FALSE),FALSE,IF(IFERROR(MOD(('Model inputs'!Y230-'Model inputs'!B158),12)=0=FALSE,FALSE),FALSE,IF(OR('Model inputs'!B1168="",MOD(('Model inputs'!Y230-'Model inputs'!B158),12)=0=""),"",AND('Model inputs'!B1168,MOD(('Model inputs'!Y230-'Model inputs'!B158),12)=0))))),'Model inputs'!B134*'Model inputs'!B146*12,0),IF('Model inputs'!Y342="","",'Model inputs'!Y342))</f>
        <v>0</v>
      </c>
      <c r="Z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inputs'!B1169=FALSE,FALSE),FALSE,IF(IFERROR(MOD(('Model inputs'!Z230-'Model inputs'!B158),12)=0=FALSE,FALSE),FALSE,IF(OR('Model inputs'!B1169="",MOD(('Model inputs'!Z230-'Model inputs'!B158),12)=0=""),"",AND('Model inputs'!B1169,MOD(('Model inputs'!Z230-'Model inputs'!B158),12)=0))))="",FALSE,IF(IFERROR('Model inputs'!B1169=FALSE,FALSE),FALSE,IF(IFERROR(MOD(('Model inputs'!Z230-'Model inputs'!B158),12)=0=FALSE,FALSE),FALSE,IF(OR('Model inputs'!B1169="",MOD(('Model inputs'!Z230-'Model inputs'!B158),12)=0=""),"",AND('Model inputs'!B1169,MOD(('Model inputs'!Z230-'Model inputs'!B158),12)=0))))),'Model inputs'!B134*'Model inputs'!B146*12,0),IF('Model inputs'!Z342="","",'Model inputs'!Z342))</f>
        <v>0</v>
      </c>
      <c r="AA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inputs'!B1170=FALSE,FALSE),FALSE,IF(IFERROR(MOD(('Model inputs'!AA230-'Model inputs'!B158),12)=0=FALSE,FALSE),FALSE,IF(OR('Model inputs'!B1170="",MOD(('Model inputs'!AA230-'Model inputs'!B158),12)=0=""),"",AND('Model inputs'!B1170,MOD(('Model inputs'!AA230-'Model inputs'!B158),12)=0))))="",FALSE,IF(IFERROR('Model inputs'!B1170=FALSE,FALSE),FALSE,IF(IFERROR(MOD(('Model inputs'!AA230-'Model inputs'!B158),12)=0=FALSE,FALSE),FALSE,IF(OR('Model inputs'!B1170="",MOD(('Model inputs'!AA230-'Model inputs'!B158),12)=0=""),"",AND('Model inputs'!B1170,MOD(('Model inputs'!AA230-'Model inputs'!B158),12)=0))))),'Model inputs'!B134*'Model inputs'!B146*12,0),IF('Model inputs'!AA342="","",'Model inputs'!AA342))</f>
        <v>0</v>
      </c>
      <c r="AB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inputs'!B1171=FALSE,FALSE),FALSE,IF(IFERROR(MOD(('Model inputs'!AB230-'Model inputs'!B158),12)=0=FALSE,FALSE),FALSE,IF(OR('Model inputs'!B1171="",MOD(('Model inputs'!AB230-'Model inputs'!B158),12)=0=""),"",AND('Model inputs'!B1171,MOD(('Model inputs'!AB230-'Model inputs'!B158),12)=0))))="",FALSE,IF(IFERROR('Model inputs'!B1171=FALSE,FALSE),FALSE,IF(IFERROR(MOD(('Model inputs'!AB230-'Model inputs'!B158),12)=0=FALSE,FALSE),FALSE,IF(OR('Model inputs'!B1171="",MOD(('Model inputs'!AB230-'Model inputs'!B158),12)=0=""),"",AND('Model inputs'!B1171,MOD(('Model inputs'!AB230-'Model inputs'!B158),12)=0))))),'Model inputs'!B134*'Model inputs'!B146*12,0),IF('Model inputs'!AB342="","",'Model inputs'!AB342))</f>
        <v>0</v>
      </c>
      <c r="AC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inputs'!B1172=FALSE,FALSE),FALSE,IF(IFERROR(MOD(('Model inputs'!AC230-'Model inputs'!B158),12)=0=FALSE,FALSE),FALSE,IF(OR('Model inputs'!B1172="",MOD(('Model inputs'!AC230-'Model inputs'!B158),12)=0=""),"",AND('Model inputs'!B1172,MOD(('Model inputs'!AC230-'Model inputs'!B158),12)=0))))="",FALSE,IF(IFERROR('Model inputs'!B1172=FALSE,FALSE),FALSE,IF(IFERROR(MOD(('Model inputs'!AC230-'Model inputs'!B158),12)=0=FALSE,FALSE),FALSE,IF(OR('Model inputs'!B1172="",MOD(('Model inputs'!AC230-'Model inputs'!B158),12)=0=""),"",AND('Model inputs'!B1172,MOD(('Model inputs'!AC230-'Model inputs'!B158),12)=0))))),'Model inputs'!B134*'Model inputs'!B146*12,0),IF('Model inputs'!AC342="","",'Model inputs'!AC342))</f>
        <v>0</v>
      </c>
      <c r="AD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inputs'!B1173=FALSE,FALSE),FALSE,IF(IFERROR(MOD(('Model inputs'!AD230-'Model inputs'!B158),12)=0=FALSE,FALSE),FALSE,IF(OR('Model inputs'!B1173="",MOD(('Model inputs'!AD230-'Model inputs'!B158),12)=0=""),"",AND('Model inputs'!B1173,MOD(('Model inputs'!AD230-'Model inputs'!B158),12)=0))))="",FALSE,IF(IFERROR('Model inputs'!B1173=FALSE,FALSE),FALSE,IF(IFERROR(MOD(('Model inputs'!AD230-'Model inputs'!B158),12)=0=FALSE,FALSE),FALSE,IF(OR('Model inputs'!B1173="",MOD(('Model inputs'!AD230-'Model inputs'!B158),12)=0=""),"",AND('Model inputs'!B1173,MOD(('Model inputs'!AD230-'Model inputs'!B158),12)=0))))),'Model inputs'!B134*'Model inputs'!B146*12,0),IF('Model inputs'!AD342="","",'Model inputs'!AD342))</f>
        <v>0</v>
      </c>
      <c r="AE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inputs'!B1174=FALSE,FALSE),FALSE,IF(IFERROR(MOD(('Model inputs'!AE230-'Model inputs'!B158),12)=0=FALSE,FALSE),FALSE,IF(OR('Model inputs'!B1174="",MOD(('Model inputs'!AE230-'Model inputs'!B158),12)=0=""),"",AND('Model inputs'!B1174,MOD(('Model inputs'!AE230-'Model inputs'!B158),12)=0))))="",FALSE,IF(IFERROR('Model inputs'!B1174=FALSE,FALSE),FALSE,IF(IFERROR(MOD(('Model inputs'!AE230-'Model inputs'!B158),12)=0=FALSE,FALSE),FALSE,IF(OR('Model inputs'!B1174="",MOD(('Model inputs'!AE230-'Model inputs'!B158),12)=0=""),"",AND('Model inputs'!B1174,MOD(('Model inputs'!AE230-'Model inputs'!B158),12)=0))))),'Model inputs'!B134*'Model inputs'!B146*12,0),IF('Model inputs'!AE342="","",'Model inputs'!AE342))</f>
        <v>0</v>
      </c>
      <c r="AF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inputs'!B1175=FALSE,FALSE),FALSE,IF(IFERROR(MOD(('Model inputs'!AF230-'Model inputs'!B158),12)=0=FALSE,FALSE),FALSE,IF(OR('Model inputs'!B1175="",MOD(('Model inputs'!AF230-'Model inputs'!B158),12)=0=""),"",AND('Model inputs'!B1175,MOD(('Model inputs'!AF230-'Model inputs'!B158),12)=0))))="",FALSE,IF(IFERROR('Model inputs'!B1175=FALSE,FALSE),FALSE,IF(IFERROR(MOD(('Model inputs'!AF230-'Model inputs'!B158),12)=0=FALSE,FALSE),FALSE,IF(OR('Model inputs'!B1175="",MOD(('Model inputs'!AF230-'Model inputs'!B158),12)=0=""),"",AND('Model inputs'!B1175,MOD(('Model inputs'!AF230-'Model inputs'!B158),12)=0))))),'Model inputs'!B134*'Model inputs'!B146*12,0),IF('Model inputs'!AF342="","",'Model inputs'!AF342))</f>
        <v>0</v>
      </c>
      <c r="AG305" s="9">
        <f>IF(IF(IF(ISERROR('Model inputs'!B94=1),'Model inputs'!B94=1,IF('Model inputs'!B94="","",'Model inputs'!B94=1))="",FALSE,IF(ISERROR('Model inputs'!B94=1),'Model inputs'!B94=1,IF('Model inputs'!B94="","",'Model inputs'!B94=1))),IF(IF(IF(IFERROR('Model inputs'!B1176=FALSE,FALSE),FALSE,IF(IFERROR(MOD(('Model inputs'!AG230-'Model inputs'!B158),12)=0=FALSE,FALSE),FALSE,IF(OR('Model inputs'!B1176="",MOD(('Model inputs'!AG230-'Model inputs'!B158),12)=0=""),"",AND('Model inputs'!B1176,MOD(('Model inputs'!AG230-'Model inputs'!B158),12)=0))))="",FALSE,IF(IFERROR('Model inputs'!B1176=FALSE,FALSE),FALSE,IF(IFERROR(MOD(('Model inputs'!AG230-'Model inputs'!B158),12)=0=FALSE,FALSE),FALSE,IF(OR('Model inputs'!B1176="",MOD(('Model inputs'!AG230-'Model inputs'!B158),12)=0=""),"",AND('Model inputs'!B1176,MOD(('Model inputs'!AG230-'Model inputs'!B158),12)=0))))),'Model inputs'!B134*'Model inputs'!B146*12,0),IF('Model inputs'!AG342="","",'Model inputs'!AG342))</f>
        <v>0</v>
      </c>
    </row>
    <row r="306" outlineLevel="1">
      <c r="A306" t="inlineStr" s="18">
        <is>
          <t xml:space="preserve">Opex cash paid &gt; Hosting (Vercel + storage)</t>
        </is>
      </c>
      <c r="C306" s="9">
        <f>IF('Model inputs'!C53="","",'Model inputs'!C53)</f>
        <v>0</v>
      </c>
      <c r="D306" s="9">
        <f>IF('Model inputs'!D53="","",'Model inputs'!D53)</f>
        <v>0</v>
      </c>
      <c r="E306" s="9">
        <f>IF('Model inputs'!E53="","",'Model inputs'!E53)</f>
        <v>80</v>
      </c>
      <c r="F306" s="9">
        <f>IF('Model inputs'!F53="","",'Model inputs'!F53)</f>
        <v>80</v>
      </c>
      <c r="G306" s="9">
        <f>IF('Model inputs'!G53="","",'Model inputs'!G53)</f>
        <v>80</v>
      </c>
      <c r="H306" s="9">
        <f>IF('Model inputs'!H53="","",'Model inputs'!H53)</f>
        <v>80</v>
      </c>
      <c r="I306" s="9">
        <f>IF('Model inputs'!I53="","",'Model inputs'!I53)</f>
        <v>80</v>
      </c>
      <c r="J306" s="9">
        <f>IF('Model inputs'!J53="","",'Model inputs'!J53)</f>
        <v>80</v>
      </c>
      <c r="K306" s="9">
        <f>IF('Model inputs'!K53="","",'Model inputs'!K53)</f>
        <v>80</v>
      </c>
      <c r="L306" s="9">
        <f>IF('Model inputs'!L53="","",'Model inputs'!L53)</f>
        <v>80</v>
      </c>
      <c r="M306" s="9">
        <f>IF('Model inputs'!M53="","",'Model inputs'!M53)</f>
        <v>80</v>
      </c>
      <c r="N306" s="9">
        <f>IF('Model inputs'!N53="","",'Model inputs'!N53)</f>
        <v>80</v>
      </c>
      <c r="O306" s="9">
        <f>IF('Model inputs'!O53="","",'Model inputs'!O53)</f>
        <v>80</v>
      </c>
      <c r="P306" s="9">
        <f>IF('Model inputs'!P53="","",'Model inputs'!P53)</f>
        <v>80</v>
      </c>
      <c r="Q306" s="9">
        <f>IF('Model inputs'!Q53="","",'Model inputs'!Q53)</f>
        <v>80</v>
      </c>
      <c r="R306" s="9">
        <f>IF('Model inputs'!R53="","",'Model inputs'!R53)</f>
        <v>80</v>
      </c>
      <c r="S306" s="9">
        <f>IF('Model inputs'!S53="","",'Model inputs'!S53)</f>
        <v>80</v>
      </c>
      <c r="T306" s="9">
        <f>IF('Model inputs'!T53="","",'Model inputs'!T53)</f>
        <v>80</v>
      </c>
      <c r="U306" s="9">
        <f>IF('Model inputs'!U53="","",'Model inputs'!U53)</f>
        <v>80</v>
      </c>
      <c r="V306" s="9">
        <f>IF('Model inputs'!V53="","",'Model inputs'!V53)</f>
        <v>80</v>
      </c>
      <c r="W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inputs'!B1177=FALSE,FALSE),FALSE,IF(IFERROR(MOD(('Model inputs'!W230-'Model inputs'!B159),12)=0=FALSE,FALSE),FALSE,IF(OR('Model inputs'!B1177="",MOD(('Model inputs'!W230-'Model inputs'!B159),12)=0=""),"",AND('Model inputs'!B1177,MOD(('Model inputs'!W230-'Model inputs'!B159),12)=0))))="",FALSE,IF(IFERROR('Model inputs'!B1177=FALSE,FALSE),FALSE,IF(IFERROR(MOD(('Model inputs'!W230-'Model inputs'!B159),12)=0=FALSE,FALSE),FALSE,IF(OR('Model inputs'!B1177="",MOD(('Model inputs'!W230-'Model inputs'!B159),12)=0=""),"",AND('Model inputs'!B1177,MOD(('Model inputs'!W230-'Model inputs'!B159),12)=0))))),'Model inputs'!B135*'Model inputs'!B147*12,0),IF('Model inputs'!W343="","",'Model inputs'!W343))</f>
        <v>0</v>
      </c>
      <c r="X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inputs'!B1178=FALSE,FALSE),FALSE,IF(IFERROR(MOD(('Model inputs'!X230-'Model inputs'!B159),12)=0=FALSE,FALSE),FALSE,IF(OR('Model inputs'!B1178="",MOD(('Model inputs'!X230-'Model inputs'!B159),12)=0=""),"",AND('Model inputs'!B1178,MOD(('Model inputs'!X230-'Model inputs'!B159),12)=0))))="",FALSE,IF(IFERROR('Model inputs'!B1178=FALSE,FALSE),FALSE,IF(IFERROR(MOD(('Model inputs'!X230-'Model inputs'!B159),12)=0=FALSE,FALSE),FALSE,IF(OR('Model inputs'!B1178="",MOD(('Model inputs'!X230-'Model inputs'!B159),12)=0=""),"",AND('Model inputs'!B1178,MOD(('Model inputs'!X230-'Model inputs'!B159),12)=0))))),'Model inputs'!B135*'Model inputs'!B147*12,0),IF('Model inputs'!X343="","",'Model inputs'!X343))</f>
        <v>0</v>
      </c>
      <c r="Y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inputs'!B1179=FALSE,FALSE),FALSE,IF(IFERROR(MOD(('Model inputs'!Y230-'Model inputs'!B159),12)=0=FALSE,FALSE),FALSE,IF(OR('Model inputs'!B1179="",MOD(('Model inputs'!Y230-'Model inputs'!B159),12)=0=""),"",AND('Model inputs'!B1179,MOD(('Model inputs'!Y230-'Model inputs'!B159),12)=0))))="",FALSE,IF(IFERROR('Model inputs'!B1179=FALSE,FALSE),FALSE,IF(IFERROR(MOD(('Model inputs'!Y230-'Model inputs'!B159),12)=0=FALSE,FALSE),FALSE,IF(OR('Model inputs'!B1179="",MOD(('Model inputs'!Y230-'Model inputs'!B159),12)=0=""),"",AND('Model inputs'!B1179,MOD(('Model inputs'!Y230-'Model inputs'!B159),12)=0))))),'Model inputs'!B135*'Model inputs'!B147*12,0),IF('Model inputs'!Y343="","",'Model inputs'!Y343))</f>
        <v>0</v>
      </c>
      <c r="Z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inputs'!B1180=FALSE,FALSE),FALSE,IF(IFERROR(MOD(('Model inputs'!Z230-'Model inputs'!B159),12)=0=FALSE,FALSE),FALSE,IF(OR('Model inputs'!B1180="",MOD(('Model inputs'!Z230-'Model inputs'!B159),12)=0=""),"",AND('Model inputs'!B1180,MOD(('Model inputs'!Z230-'Model inputs'!B159),12)=0))))="",FALSE,IF(IFERROR('Model inputs'!B1180=FALSE,FALSE),FALSE,IF(IFERROR(MOD(('Model inputs'!Z230-'Model inputs'!B159),12)=0=FALSE,FALSE),FALSE,IF(OR('Model inputs'!B1180="",MOD(('Model inputs'!Z230-'Model inputs'!B159),12)=0=""),"",AND('Model inputs'!B1180,MOD(('Model inputs'!Z230-'Model inputs'!B159),12)=0))))),'Model inputs'!B135*'Model inputs'!B147*12,0),IF('Model inputs'!Z343="","",'Model inputs'!Z343))</f>
        <v>0</v>
      </c>
      <c r="AA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inputs'!B1181=FALSE,FALSE),FALSE,IF(IFERROR(MOD(('Model inputs'!AA230-'Model inputs'!B159),12)=0=FALSE,FALSE),FALSE,IF(OR('Model inputs'!B1181="",MOD(('Model inputs'!AA230-'Model inputs'!B159),12)=0=""),"",AND('Model inputs'!B1181,MOD(('Model inputs'!AA230-'Model inputs'!B159),12)=0))))="",FALSE,IF(IFERROR('Model inputs'!B1181=FALSE,FALSE),FALSE,IF(IFERROR(MOD(('Model inputs'!AA230-'Model inputs'!B159),12)=0=FALSE,FALSE),FALSE,IF(OR('Model inputs'!B1181="",MOD(('Model inputs'!AA230-'Model inputs'!B159),12)=0=""),"",AND('Model inputs'!B1181,MOD(('Model inputs'!AA230-'Model inputs'!B159),12)=0))))),'Model inputs'!B135*'Model inputs'!B147*12,0),IF('Model inputs'!AA343="","",'Model inputs'!AA343))</f>
        <v>0</v>
      </c>
      <c r="AB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inputs'!B1182=FALSE,FALSE),FALSE,IF(IFERROR(MOD(('Model inputs'!AB230-'Model inputs'!B159),12)=0=FALSE,FALSE),FALSE,IF(OR('Model inputs'!B1182="",MOD(('Model inputs'!AB230-'Model inputs'!B159),12)=0=""),"",AND('Model inputs'!B1182,MOD(('Model inputs'!AB230-'Model inputs'!B159),12)=0))))="",FALSE,IF(IFERROR('Model inputs'!B1182=FALSE,FALSE),FALSE,IF(IFERROR(MOD(('Model inputs'!AB230-'Model inputs'!B159),12)=0=FALSE,FALSE),FALSE,IF(OR('Model inputs'!B1182="",MOD(('Model inputs'!AB230-'Model inputs'!B159),12)=0=""),"",AND('Model inputs'!B1182,MOD(('Model inputs'!AB230-'Model inputs'!B159),12)=0))))),'Model inputs'!B135*'Model inputs'!B147*12,0),IF('Model inputs'!AB343="","",'Model inputs'!AB343))</f>
        <v>0</v>
      </c>
      <c r="AC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inputs'!B1183=FALSE,FALSE),FALSE,IF(IFERROR(MOD(('Model inputs'!AC230-'Model inputs'!B159),12)=0=FALSE,FALSE),FALSE,IF(OR('Model inputs'!B1183="",MOD(('Model inputs'!AC230-'Model inputs'!B159),12)=0=""),"",AND('Model inputs'!B1183,MOD(('Model inputs'!AC230-'Model inputs'!B159),12)=0))))="",FALSE,IF(IFERROR('Model inputs'!B1183=FALSE,FALSE),FALSE,IF(IFERROR(MOD(('Model inputs'!AC230-'Model inputs'!B159),12)=0=FALSE,FALSE),FALSE,IF(OR('Model inputs'!B1183="",MOD(('Model inputs'!AC230-'Model inputs'!B159),12)=0=""),"",AND('Model inputs'!B1183,MOD(('Model inputs'!AC230-'Model inputs'!B159),12)=0))))),'Model inputs'!B135*'Model inputs'!B147*12,0),IF('Model inputs'!AC343="","",'Model inputs'!AC343))</f>
        <v>0</v>
      </c>
      <c r="AD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inputs'!B1184=FALSE,FALSE),FALSE,IF(IFERROR(MOD(('Model inputs'!AD230-'Model inputs'!B159),12)=0=FALSE,FALSE),FALSE,IF(OR('Model inputs'!B1184="",MOD(('Model inputs'!AD230-'Model inputs'!B159),12)=0=""),"",AND('Model inputs'!B1184,MOD(('Model inputs'!AD230-'Model inputs'!B159),12)=0))))="",FALSE,IF(IFERROR('Model inputs'!B1184=FALSE,FALSE),FALSE,IF(IFERROR(MOD(('Model inputs'!AD230-'Model inputs'!B159),12)=0=FALSE,FALSE),FALSE,IF(OR('Model inputs'!B1184="",MOD(('Model inputs'!AD230-'Model inputs'!B159),12)=0=""),"",AND('Model inputs'!B1184,MOD(('Model inputs'!AD230-'Model inputs'!B159),12)=0))))),'Model inputs'!B135*'Model inputs'!B147*12,0),IF('Model inputs'!AD343="","",'Model inputs'!AD343))</f>
        <v>0</v>
      </c>
      <c r="AE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inputs'!B1185=FALSE,FALSE),FALSE,IF(IFERROR(MOD(('Model inputs'!AE230-'Model inputs'!B159),12)=0=FALSE,FALSE),FALSE,IF(OR('Model inputs'!B1185="",MOD(('Model inputs'!AE230-'Model inputs'!B159),12)=0=""),"",AND('Model inputs'!B1185,MOD(('Model inputs'!AE230-'Model inputs'!B159),12)=0))))="",FALSE,IF(IFERROR('Model inputs'!B1185=FALSE,FALSE),FALSE,IF(IFERROR(MOD(('Model inputs'!AE230-'Model inputs'!B159),12)=0=FALSE,FALSE),FALSE,IF(OR('Model inputs'!B1185="",MOD(('Model inputs'!AE230-'Model inputs'!B159),12)=0=""),"",AND('Model inputs'!B1185,MOD(('Model inputs'!AE230-'Model inputs'!B159),12)=0))))),'Model inputs'!B135*'Model inputs'!B147*12,0),IF('Model inputs'!AE343="","",'Model inputs'!AE343))</f>
        <v>0</v>
      </c>
      <c r="AF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inputs'!B1186=FALSE,FALSE),FALSE,IF(IFERROR(MOD(('Model inputs'!AF230-'Model inputs'!B159),12)=0=FALSE,FALSE),FALSE,IF(OR('Model inputs'!B1186="",MOD(('Model inputs'!AF230-'Model inputs'!B159),12)=0=""),"",AND('Model inputs'!B1186,MOD(('Model inputs'!AF230-'Model inputs'!B159),12)=0))))="",FALSE,IF(IFERROR('Model inputs'!B1186=FALSE,FALSE),FALSE,IF(IFERROR(MOD(('Model inputs'!AF230-'Model inputs'!B159),12)=0=FALSE,FALSE),FALSE,IF(OR('Model inputs'!B1186="",MOD(('Model inputs'!AF230-'Model inputs'!B159),12)=0=""),"",AND('Model inputs'!B1186,MOD(('Model inputs'!AF230-'Model inputs'!B159),12)=0))))),'Model inputs'!B135*'Model inputs'!B147*12,0),IF('Model inputs'!AF343="","",'Model inputs'!AF343))</f>
        <v>0</v>
      </c>
      <c r="AG306" s="9">
        <f>IF(IF(IF(ISERROR('Model inputs'!B95=1),'Model inputs'!B95=1,IF('Model inputs'!B95="","",'Model inputs'!B95=1))="",FALSE,IF(ISERROR('Model inputs'!B95=1),'Model inputs'!B95=1,IF('Model inputs'!B95="","",'Model inputs'!B95=1))),IF(IF(IF(IFERROR('Model inputs'!B1187=FALSE,FALSE),FALSE,IF(IFERROR(MOD(('Model inputs'!AG230-'Model inputs'!B159),12)=0=FALSE,FALSE),FALSE,IF(OR('Model inputs'!B1187="",MOD(('Model inputs'!AG230-'Model inputs'!B159),12)=0=""),"",AND('Model inputs'!B1187,MOD(('Model inputs'!AG230-'Model inputs'!B159),12)=0))))="",FALSE,IF(IFERROR('Model inputs'!B1187=FALSE,FALSE),FALSE,IF(IFERROR(MOD(('Model inputs'!AG230-'Model inputs'!B159),12)=0=FALSE,FALSE),FALSE,IF(OR('Model inputs'!B1187="",MOD(('Model inputs'!AG230-'Model inputs'!B159),12)=0=""),"",AND('Model inputs'!B1187,MOD(('Model inputs'!AG230-'Model inputs'!B159),12)=0))))),'Model inputs'!B135*'Model inputs'!B147*12,0),IF('Model inputs'!AG343="","",'Model inputs'!AG343))</f>
        <v>0</v>
      </c>
    </row>
    <row r="307" outlineLevel="1">
      <c r="A307" t="inlineStr" s="18">
        <is>
          <t xml:space="preserve">Opex cash paid &gt; Marketing: always-on</t>
        </is>
      </c>
      <c r="C307" s="9">
        <f>IF('Model inputs'!C54="","",'Model inputs'!C54)</f>
        <v>0</v>
      </c>
      <c r="D307" s="9">
        <f>IF('Model inputs'!D54="","",'Model inputs'!D54)</f>
        <v>0</v>
      </c>
      <c r="E307" s="9">
        <f>IF('Model inputs'!E54="","",'Model inputs'!E54)</f>
        <v>250</v>
      </c>
      <c r="F307" s="9">
        <f>IF('Model inputs'!F54="","",'Model inputs'!F54)</f>
        <v>250</v>
      </c>
      <c r="G307" s="9">
        <f>IF('Model inputs'!G54="","",'Model inputs'!G54)</f>
        <v>250</v>
      </c>
      <c r="H307" s="9">
        <f>IF('Model inputs'!H54="","",'Model inputs'!H54)</f>
        <v>250</v>
      </c>
      <c r="I307" s="9">
        <f>IF('Model inputs'!I54="","",'Model inputs'!I54)</f>
        <v>250</v>
      </c>
      <c r="J307" s="9">
        <f>IF('Model inputs'!J54="","",'Model inputs'!J54)</f>
        <v>250</v>
      </c>
      <c r="K307" s="9">
        <f>IF('Model inputs'!K54="","",'Model inputs'!K54)</f>
        <v>250</v>
      </c>
      <c r="L307" s="9">
        <f>IF('Model inputs'!L54="","",'Model inputs'!L54)</f>
        <v>250</v>
      </c>
      <c r="M307" s="9">
        <f>IF('Model inputs'!M54="","",'Model inputs'!M54)</f>
        <v>250</v>
      </c>
      <c r="N307" s="9">
        <f>IF('Model inputs'!N54="","",'Model inputs'!N54)</f>
        <v>250</v>
      </c>
      <c r="O307" s="9">
        <f>IF('Model inputs'!O54="","",'Model inputs'!O54)</f>
        <v>250</v>
      </c>
      <c r="P307" s="9">
        <f>IF('Model inputs'!P54="","",'Model inputs'!P54)</f>
        <v>250</v>
      </c>
      <c r="Q307" s="9">
        <f>IF('Model inputs'!Q54="","",'Model inputs'!Q54)</f>
        <v>250</v>
      </c>
      <c r="R307" s="9">
        <f>IF('Model inputs'!R54="","",'Model inputs'!R54)</f>
        <v>250</v>
      </c>
      <c r="S307" s="9">
        <f>IF('Model inputs'!S54="","",'Model inputs'!S54)</f>
        <v>250</v>
      </c>
      <c r="T307" s="9">
        <f>IF('Model inputs'!T54="","",'Model inputs'!T54)</f>
        <v>250</v>
      </c>
      <c r="U307" s="9">
        <f>IF('Model inputs'!U54="","",'Model inputs'!U54)</f>
        <v>250</v>
      </c>
      <c r="V307" s="9">
        <f>IF('Model inputs'!V54="","",'Model inputs'!V54)</f>
        <v>250</v>
      </c>
      <c r="W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inputs'!B1188=FALSE,FALSE),FALSE,IF(IFERROR(MOD(('Model inputs'!W230-'Model inputs'!B160),12)=0=FALSE,FALSE),FALSE,IF(OR('Model inputs'!B1188="",MOD(('Model inputs'!W230-'Model inputs'!B160),12)=0=""),"",AND('Model inputs'!B1188,MOD(('Model inputs'!W230-'Model inputs'!B160),12)=0))))="",FALSE,IF(IFERROR('Model inputs'!B1188=FALSE,FALSE),FALSE,IF(IFERROR(MOD(('Model inputs'!W230-'Model inputs'!B160),12)=0=FALSE,FALSE),FALSE,IF(OR('Model inputs'!B1188="",MOD(('Model inputs'!W230-'Model inputs'!B160),12)=0=""),"",AND('Model inputs'!B1188,MOD(('Model inputs'!W230-'Model inputs'!B160),12)=0))))),'Model inputs'!B136*'Model inputs'!B148*12,0),IF('Model inputs'!W344="","",'Model inputs'!W344))</f>
        <v>0</v>
      </c>
      <c r="X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inputs'!B1189=FALSE,FALSE),FALSE,IF(IFERROR(MOD(('Model inputs'!X230-'Model inputs'!B160),12)=0=FALSE,FALSE),FALSE,IF(OR('Model inputs'!B1189="",MOD(('Model inputs'!X230-'Model inputs'!B160),12)=0=""),"",AND('Model inputs'!B1189,MOD(('Model inputs'!X230-'Model inputs'!B160),12)=0))))="",FALSE,IF(IFERROR('Model inputs'!B1189=FALSE,FALSE),FALSE,IF(IFERROR(MOD(('Model inputs'!X230-'Model inputs'!B160),12)=0=FALSE,FALSE),FALSE,IF(OR('Model inputs'!B1189="",MOD(('Model inputs'!X230-'Model inputs'!B160),12)=0=""),"",AND('Model inputs'!B1189,MOD(('Model inputs'!X230-'Model inputs'!B160),12)=0))))),'Model inputs'!B136*'Model inputs'!B148*12,0),IF('Model inputs'!X344="","",'Model inputs'!X344))</f>
        <v>0</v>
      </c>
      <c r="Y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inputs'!B1190=FALSE,FALSE),FALSE,IF(IFERROR(MOD(('Model inputs'!Y230-'Model inputs'!B160),12)=0=FALSE,FALSE),FALSE,IF(OR('Model inputs'!B1190="",MOD(('Model inputs'!Y230-'Model inputs'!B160),12)=0=""),"",AND('Model inputs'!B1190,MOD(('Model inputs'!Y230-'Model inputs'!B160),12)=0))))="",FALSE,IF(IFERROR('Model inputs'!B1190=FALSE,FALSE),FALSE,IF(IFERROR(MOD(('Model inputs'!Y230-'Model inputs'!B160),12)=0=FALSE,FALSE),FALSE,IF(OR('Model inputs'!B1190="",MOD(('Model inputs'!Y230-'Model inputs'!B160),12)=0=""),"",AND('Model inputs'!B1190,MOD(('Model inputs'!Y230-'Model inputs'!B160),12)=0))))),'Model inputs'!B136*'Model inputs'!B148*12,0),IF('Model inputs'!Y344="","",'Model inputs'!Y344))</f>
        <v>0</v>
      </c>
      <c r="Z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inputs'!B1191=FALSE,FALSE),FALSE,IF(IFERROR(MOD(('Model inputs'!Z230-'Model inputs'!B160),12)=0=FALSE,FALSE),FALSE,IF(OR('Model inputs'!B1191="",MOD(('Model inputs'!Z230-'Model inputs'!B160),12)=0=""),"",AND('Model inputs'!B1191,MOD(('Model inputs'!Z230-'Model inputs'!B160),12)=0))))="",FALSE,IF(IFERROR('Model inputs'!B1191=FALSE,FALSE),FALSE,IF(IFERROR(MOD(('Model inputs'!Z230-'Model inputs'!B160),12)=0=FALSE,FALSE),FALSE,IF(OR('Model inputs'!B1191="",MOD(('Model inputs'!Z230-'Model inputs'!B160),12)=0=""),"",AND('Model inputs'!B1191,MOD(('Model inputs'!Z230-'Model inputs'!B160),12)=0))))),'Model inputs'!B136*'Model inputs'!B148*12,0),IF('Model inputs'!Z344="","",'Model inputs'!Z344))</f>
        <v>0</v>
      </c>
      <c r="AA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inputs'!B1192=FALSE,FALSE),FALSE,IF(IFERROR(MOD(('Model inputs'!AA230-'Model inputs'!B160),12)=0=FALSE,FALSE),FALSE,IF(OR('Model inputs'!B1192="",MOD(('Model inputs'!AA230-'Model inputs'!B160),12)=0=""),"",AND('Model inputs'!B1192,MOD(('Model inputs'!AA230-'Model inputs'!B160),12)=0))))="",FALSE,IF(IFERROR('Model inputs'!B1192=FALSE,FALSE),FALSE,IF(IFERROR(MOD(('Model inputs'!AA230-'Model inputs'!B160),12)=0=FALSE,FALSE),FALSE,IF(OR('Model inputs'!B1192="",MOD(('Model inputs'!AA230-'Model inputs'!B160),12)=0=""),"",AND('Model inputs'!B1192,MOD(('Model inputs'!AA230-'Model inputs'!B160),12)=0))))),'Model inputs'!B136*'Model inputs'!B148*12,0),IF('Model inputs'!AA344="","",'Model inputs'!AA344))</f>
        <v>0</v>
      </c>
      <c r="AB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inputs'!B1193=FALSE,FALSE),FALSE,IF(IFERROR(MOD(('Model inputs'!AB230-'Model inputs'!B160),12)=0=FALSE,FALSE),FALSE,IF(OR('Model inputs'!B1193="",MOD(('Model inputs'!AB230-'Model inputs'!B160),12)=0=""),"",AND('Model inputs'!B1193,MOD(('Model inputs'!AB230-'Model inputs'!B160),12)=0))))="",FALSE,IF(IFERROR('Model inputs'!B1193=FALSE,FALSE),FALSE,IF(IFERROR(MOD(('Model inputs'!AB230-'Model inputs'!B160),12)=0=FALSE,FALSE),FALSE,IF(OR('Model inputs'!B1193="",MOD(('Model inputs'!AB230-'Model inputs'!B160),12)=0=""),"",AND('Model inputs'!B1193,MOD(('Model inputs'!AB230-'Model inputs'!B160),12)=0))))),'Model inputs'!B136*'Model inputs'!B148*12,0),IF('Model inputs'!AB344="","",'Model inputs'!AB344))</f>
        <v>0</v>
      </c>
      <c r="AC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inputs'!B1194=FALSE,FALSE),FALSE,IF(IFERROR(MOD(('Model inputs'!AC230-'Model inputs'!B160),12)=0=FALSE,FALSE),FALSE,IF(OR('Model inputs'!B1194="",MOD(('Model inputs'!AC230-'Model inputs'!B160),12)=0=""),"",AND('Model inputs'!B1194,MOD(('Model inputs'!AC230-'Model inputs'!B160),12)=0))))="",FALSE,IF(IFERROR('Model inputs'!B1194=FALSE,FALSE),FALSE,IF(IFERROR(MOD(('Model inputs'!AC230-'Model inputs'!B160),12)=0=FALSE,FALSE),FALSE,IF(OR('Model inputs'!B1194="",MOD(('Model inputs'!AC230-'Model inputs'!B160),12)=0=""),"",AND('Model inputs'!B1194,MOD(('Model inputs'!AC230-'Model inputs'!B160),12)=0))))),'Model inputs'!B136*'Model inputs'!B148*12,0),IF('Model inputs'!AC344="","",'Model inputs'!AC344))</f>
        <v>0</v>
      </c>
      <c r="AD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inputs'!B1195=FALSE,FALSE),FALSE,IF(IFERROR(MOD(('Model inputs'!AD230-'Model inputs'!B160),12)=0=FALSE,FALSE),FALSE,IF(OR('Model inputs'!B1195="",MOD(('Model inputs'!AD230-'Model inputs'!B160),12)=0=""),"",AND('Model inputs'!B1195,MOD(('Model inputs'!AD230-'Model inputs'!B160),12)=0))))="",FALSE,IF(IFERROR('Model inputs'!B1195=FALSE,FALSE),FALSE,IF(IFERROR(MOD(('Model inputs'!AD230-'Model inputs'!B160),12)=0=FALSE,FALSE),FALSE,IF(OR('Model inputs'!B1195="",MOD(('Model inputs'!AD230-'Model inputs'!B160),12)=0=""),"",AND('Model inputs'!B1195,MOD(('Model inputs'!AD230-'Model inputs'!B160),12)=0))))),'Model inputs'!B136*'Model inputs'!B148*12,0),IF('Model inputs'!AD344="","",'Model inputs'!AD344))</f>
        <v>0</v>
      </c>
      <c r="AE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inputs'!B1196=FALSE,FALSE),FALSE,IF(IFERROR(MOD(('Model inputs'!AE230-'Model inputs'!B160),12)=0=FALSE,FALSE),FALSE,IF(OR('Model inputs'!B1196="",MOD(('Model inputs'!AE230-'Model inputs'!B160),12)=0=""),"",AND('Model inputs'!B1196,MOD(('Model inputs'!AE230-'Model inputs'!B160),12)=0))))="",FALSE,IF(IFERROR('Model inputs'!B1196=FALSE,FALSE),FALSE,IF(IFERROR(MOD(('Model inputs'!AE230-'Model inputs'!B160),12)=0=FALSE,FALSE),FALSE,IF(OR('Model inputs'!B1196="",MOD(('Model inputs'!AE230-'Model inputs'!B160),12)=0=""),"",AND('Model inputs'!B1196,MOD(('Model inputs'!AE230-'Model inputs'!B160),12)=0))))),'Model inputs'!B136*'Model inputs'!B148*12,0),IF('Model inputs'!AE344="","",'Model inputs'!AE344))</f>
        <v>0</v>
      </c>
      <c r="AF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inputs'!B1197=FALSE,FALSE),FALSE,IF(IFERROR(MOD(('Model inputs'!AF230-'Model inputs'!B160),12)=0=FALSE,FALSE),FALSE,IF(OR('Model inputs'!B1197="",MOD(('Model inputs'!AF230-'Model inputs'!B160),12)=0=""),"",AND('Model inputs'!B1197,MOD(('Model inputs'!AF230-'Model inputs'!B160),12)=0))))="",FALSE,IF(IFERROR('Model inputs'!B1197=FALSE,FALSE),FALSE,IF(IFERROR(MOD(('Model inputs'!AF230-'Model inputs'!B160),12)=0=FALSE,FALSE),FALSE,IF(OR('Model inputs'!B1197="",MOD(('Model inputs'!AF230-'Model inputs'!B160),12)=0=""),"",AND('Model inputs'!B1197,MOD(('Model inputs'!AF230-'Model inputs'!B160),12)=0))))),'Model inputs'!B136*'Model inputs'!B148*12,0),IF('Model inputs'!AF344="","",'Model inputs'!AF344))</f>
        <v>0</v>
      </c>
      <c r="AG307" s="9">
        <f>IF(IF(IF(ISERROR('Model inputs'!B96=1),'Model inputs'!B96=1,IF('Model inputs'!B96="","",'Model inputs'!B96=1))="",FALSE,IF(ISERROR('Model inputs'!B96=1),'Model inputs'!B96=1,IF('Model inputs'!B96="","",'Model inputs'!B96=1))),IF(IF(IF(IFERROR('Model inputs'!B1198=FALSE,FALSE),FALSE,IF(IFERROR(MOD(('Model inputs'!AG230-'Model inputs'!B160),12)=0=FALSE,FALSE),FALSE,IF(OR('Model inputs'!B1198="",MOD(('Model inputs'!AG230-'Model inputs'!B160),12)=0=""),"",AND('Model inputs'!B1198,MOD(('Model inputs'!AG230-'Model inputs'!B160),12)=0))))="",FALSE,IF(IFERROR('Model inputs'!B1198=FALSE,FALSE),FALSE,IF(IFERROR(MOD(('Model inputs'!AG230-'Model inputs'!B160),12)=0=FALSE,FALSE),FALSE,IF(OR('Model inputs'!B1198="",MOD(('Model inputs'!AG230-'Model inputs'!B160),12)=0=""),"",AND('Model inputs'!B1198,MOD(('Model inputs'!AG230-'Model inputs'!B160),12)=0))))),'Model inputs'!B136*'Model inputs'!B148*12,0),IF('Model inputs'!AG344="","",'Model inputs'!AG344))</f>
        <v>0</v>
      </c>
    </row>
    <row r="308" outlineLevel="1">
      <c r="A308" t="inlineStr" s="18">
        <is>
          <t xml:space="preserve">Opex cash paid &gt; Marketing: launch push</t>
        </is>
      </c>
      <c r="C308" s="9">
        <f>IF('Model inputs'!C55="","",'Model inputs'!C55)</f>
        <v>0</v>
      </c>
      <c r="D308" s="9">
        <f>IF('Model inputs'!D55="","",'Model inputs'!D55)</f>
        <v>0</v>
      </c>
      <c r="E308" s="9">
        <f>IF('Model inputs'!E55="","",'Model inputs'!E55)</f>
        <v>0</v>
      </c>
      <c r="F308" s="9">
        <f>IF('Model inputs'!F55="","",'Model inputs'!F55)</f>
        <v>350</v>
      </c>
      <c r="G308" s="9">
        <f>IF('Model inputs'!G55="","",'Model inputs'!G55)</f>
        <v>350</v>
      </c>
      <c r="H308" s="9">
        <f>IF('Model inputs'!H55="","",'Model inputs'!H55)</f>
        <v>0</v>
      </c>
      <c r="I308" s="9">
        <f>IF('Model inputs'!I55="","",'Model inputs'!I55)</f>
        <v>0</v>
      </c>
      <c r="J308" s="9">
        <f>IF('Model inputs'!J55="","",'Model inputs'!J55)</f>
        <v>0</v>
      </c>
      <c r="K308" s="9">
        <f>IF('Model inputs'!K55="","",'Model inputs'!K55)</f>
        <v>0</v>
      </c>
      <c r="L308" s="9">
        <f>IF('Model inputs'!L55="","",'Model inputs'!L55)</f>
        <v>0</v>
      </c>
      <c r="M308" s="9">
        <f>IF('Model inputs'!M55="","",'Model inputs'!M55)</f>
        <v>0</v>
      </c>
      <c r="N308" s="9">
        <f>IF('Model inputs'!N55="","",'Model inputs'!N55)</f>
        <v>0</v>
      </c>
      <c r="O308" s="9">
        <f>IF('Model inputs'!O55="","",'Model inputs'!O55)</f>
        <v>0</v>
      </c>
      <c r="P308" s="9">
        <f>IF('Model inputs'!P55="","",'Model inputs'!P55)</f>
        <v>0</v>
      </c>
      <c r="Q308" s="9">
        <f>IF('Model inputs'!Q55="","",'Model inputs'!Q55)</f>
        <v>0</v>
      </c>
      <c r="R308" s="9">
        <f>IF('Model inputs'!R55="","",'Model inputs'!R55)</f>
        <v>0</v>
      </c>
      <c r="S308" s="9">
        <f>IF('Model inputs'!S55="","",'Model inputs'!S55)</f>
        <v>0</v>
      </c>
      <c r="T308" s="9">
        <f>IF('Model inputs'!T55="","",'Model inputs'!T55)</f>
        <v>0</v>
      </c>
      <c r="U308" s="9">
        <f>IF('Model inputs'!U55="","",'Model inputs'!U55)</f>
        <v>0</v>
      </c>
      <c r="V308" s="9">
        <f>IF('Model inputs'!V55="","",'Model inputs'!V55)</f>
        <v>0</v>
      </c>
      <c r="W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inputs'!B1199=FALSE,FALSE),FALSE,IF(IFERROR(MOD(('Model inputs'!W230-'Model inputs'!B161),12)=0=FALSE,FALSE),FALSE,IF(OR('Model inputs'!B1199="",MOD(('Model inputs'!W230-'Model inputs'!B161),12)=0=""),"",AND('Model inputs'!B1199,MOD(('Model inputs'!W230-'Model inputs'!B161),12)=0))))="",FALSE,IF(IFERROR('Model inputs'!B1199=FALSE,FALSE),FALSE,IF(IFERROR(MOD(('Model inputs'!W230-'Model inputs'!B161),12)=0=FALSE,FALSE),FALSE,IF(OR('Model inputs'!B1199="",MOD(('Model inputs'!W230-'Model inputs'!B161),12)=0=""),"",AND('Model inputs'!B1199,MOD(('Model inputs'!W230-'Model inputs'!B161),12)=0))))),'Model inputs'!B137*'Model inputs'!B149*12,0),IF('Model inputs'!W345="","",'Model inputs'!W345))</f>
        <v>0</v>
      </c>
      <c r="X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inputs'!B1200=FALSE,FALSE),FALSE,IF(IFERROR(MOD(('Model inputs'!X230-'Model inputs'!B161),12)=0=FALSE,FALSE),FALSE,IF(OR('Model inputs'!B1200="",MOD(('Model inputs'!X230-'Model inputs'!B161),12)=0=""),"",AND('Model inputs'!B1200,MOD(('Model inputs'!X230-'Model inputs'!B161),12)=0))))="",FALSE,IF(IFERROR('Model inputs'!B1200=FALSE,FALSE),FALSE,IF(IFERROR(MOD(('Model inputs'!X230-'Model inputs'!B161),12)=0=FALSE,FALSE),FALSE,IF(OR('Model inputs'!B1200="",MOD(('Model inputs'!X230-'Model inputs'!B161),12)=0=""),"",AND('Model inputs'!B1200,MOD(('Model inputs'!X230-'Model inputs'!B161),12)=0))))),'Model inputs'!B137*'Model inputs'!B149*12,0),IF('Model inputs'!X345="","",'Model inputs'!X345))</f>
        <v>0</v>
      </c>
      <c r="Y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inputs'!B1201=FALSE,FALSE),FALSE,IF(IFERROR(MOD(('Model inputs'!Y230-'Model inputs'!B161),12)=0=FALSE,FALSE),FALSE,IF(OR('Model inputs'!B1201="",MOD(('Model inputs'!Y230-'Model inputs'!B161),12)=0=""),"",AND('Model inputs'!B1201,MOD(('Model inputs'!Y230-'Model inputs'!B161),12)=0))))="",FALSE,IF(IFERROR('Model inputs'!B1201=FALSE,FALSE),FALSE,IF(IFERROR(MOD(('Model inputs'!Y230-'Model inputs'!B161),12)=0=FALSE,FALSE),FALSE,IF(OR('Model inputs'!B1201="",MOD(('Model inputs'!Y230-'Model inputs'!B161),12)=0=""),"",AND('Model inputs'!B1201,MOD(('Model inputs'!Y230-'Model inputs'!B161),12)=0))))),'Model inputs'!B137*'Model inputs'!B149*12,0),IF('Model inputs'!Y345="","",'Model inputs'!Y345))</f>
        <v>0</v>
      </c>
      <c r="Z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inputs'!B1202=FALSE,FALSE),FALSE,IF(IFERROR(MOD(('Model inputs'!Z230-'Model inputs'!B161),12)=0=FALSE,FALSE),FALSE,IF(OR('Model inputs'!B1202="",MOD(('Model inputs'!Z230-'Model inputs'!B161),12)=0=""),"",AND('Model inputs'!B1202,MOD(('Model inputs'!Z230-'Model inputs'!B161),12)=0))))="",FALSE,IF(IFERROR('Model inputs'!B1202=FALSE,FALSE),FALSE,IF(IFERROR(MOD(('Model inputs'!Z230-'Model inputs'!B161),12)=0=FALSE,FALSE),FALSE,IF(OR('Model inputs'!B1202="",MOD(('Model inputs'!Z230-'Model inputs'!B161),12)=0=""),"",AND('Model inputs'!B1202,MOD(('Model inputs'!Z230-'Model inputs'!B161),12)=0))))),'Model inputs'!B137*'Model inputs'!B149*12,0),IF('Model inputs'!Z345="","",'Model inputs'!Z345))</f>
        <v>0</v>
      </c>
      <c r="AA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inputs'!B1203=FALSE,FALSE),FALSE,IF(IFERROR(MOD(('Model inputs'!AA230-'Model inputs'!B161),12)=0=FALSE,FALSE),FALSE,IF(OR('Model inputs'!B1203="",MOD(('Model inputs'!AA230-'Model inputs'!B161),12)=0=""),"",AND('Model inputs'!B1203,MOD(('Model inputs'!AA230-'Model inputs'!B161),12)=0))))="",FALSE,IF(IFERROR('Model inputs'!B1203=FALSE,FALSE),FALSE,IF(IFERROR(MOD(('Model inputs'!AA230-'Model inputs'!B161),12)=0=FALSE,FALSE),FALSE,IF(OR('Model inputs'!B1203="",MOD(('Model inputs'!AA230-'Model inputs'!B161),12)=0=""),"",AND('Model inputs'!B1203,MOD(('Model inputs'!AA230-'Model inputs'!B161),12)=0))))),'Model inputs'!B137*'Model inputs'!B149*12,0),IF('Model inputs'!AA345="","",'Model inputs'!AA345))</f>
        <v>0</v>
      </c>
      <c r="AB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inputs'!B1204=FALSE,FALSE),FALSE,IF(IFERROR(MOD(('Model inputs'!AB230-'Model inputs'!B161),12)=0=FALSE,FALSE),FALSE,IF(OR('Model inputs'!B1204="",MOD(('Model inputs'!AB230-'Model inputs'!B161),12)=0=""),"",AND('Model inputs'!B1204,MOD(('Model inputs'!AB230-'Model inputs'!B161),12)=0))))="",FALSE,IF(IFERROR('Model inputs'!B1204=FALSE,FALSE),FALSE,IF(IFERROR(MOD(('Model inputs'!AB230-'Model inputs'!B161),12)=0=FALSE,FALSE),FALSE,IF(OR('Model inputs'!B1204="",MOD(('Model inputs'!AB230-'Model inputs'!B161),12)=0=""),"",AND('Model inputs'!B1204,MOD(('Model inputs'!AB230-'Model inputs'!B161),12)=0))))),'Model inputs'!B137*'Model inputs'!B149*12,0),IF('Model inputs'!AB345="","",'Model inputs'!AB345))</f>
        <v>0</v>
      </c>
      <c r="AC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inputs'!B1205=FALSE,FALSE),FALSE,IF(IFERROR(MOD(('Model inputs'!AC230-'Model inputs'!B161),12)=0=FALSE,FALSE),FALSE,IF(OR('Model inputs'!B1205="",MOD(('Model inputs'!AC230-'Model inputs'!B161),12)=0=""),"",AND('Model inputs'!B1205,MOD(('Model inputs'!AC230-'Model inputs'!B161),12)=0))))="",FALSE,IF(IFERROR('Model inputs'!B1205=FALSE,FALSE),FALSE,IF(IFERROR(MOD(('Model inputs'!AC230-'Model inputs'!B161),12)=0=FALSE,FALSE),FALSE,IF(OR('Model inputs'!B1205="",MOD(('Model inputs'!AC230-'Model inputs'!B161),12)=0=""),"",AND('Model inputs'!B1205,MOD(('Model inputs'!AC230-'Model inputs'!B161),12)=0))))),'Model inputs'!B137*'Model inputs'!B149*12,0),IF('Model inputs'!AC345="","",'Model inputs'!AC345))</f>
        <v>0</v>
      </c>
      <c r="AD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inputs'!B1206=FALSE,FALSE),FALSE,IF(IFERROR(MOD(('Model inputs'!AD230-'Model inputs'!B161),12)=0=FALSE,FALSE),FALSE,IF(OR('Model inputs'!B1206="",MOD(('Model inputs'!AD230-'Model inputs'!B161),12)=0=""),"",AND('Model inputs'!B1206,MOD(('Model inputs'!AD230-'Model inputs'!B161),12)=0))))="",FALSE,IF(IFERROR('Model inputs'!B1206=FALSE,FALSE),FALSE,IF(IFERROR(MOD(('Model inputs'!AD230-'Model inputs'!B161),12)=0=FALSE,FALSE),FALSE,IF(OR('Model inputs'!B1206="",MOD(('Model inputs'!AD230-'Model inputs'!B161),12)=0=""),"",AND('Model inputs'!B1206,MOD(('Model inputs'!AD230-'Model inputs'!B161),12)=0))))),'Model inputs'!B137*'Model inputs'!B149*12,0),IF('Model inputs'!AD345="","",'Model inputs'!AD345))</f>
        <v>0</v>
      </c>
      <c r="AE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inputs'!B1207=FALSE,FALSE),FALSE,IF(IFERROR(MOD(('Model inputs'!AE230-'Model inputs'!B161),12)=0=FALSE,FALSE),FALSE,IF(OR('Model inputs'!B1207="",MOD(('Model inputs'!AE230-'Model inputs'!B161),12)=0=""),"",AND('Model inputs'!B1207,MOD(('Model inputs'!AE230-'Model inputs'!B161),12)=0))))="",FALSE,IF(IFERROR('Model inputs'!B1207=FALSE,FALSE),FALSE,IF(IFERROR(MOD(('Model inputs'!AE230-'Model inputs'!B161),12)=0=FALSE,FALSE),FALSE,IF(OR('Model inputs'!B1207="",MOD(('Model inputs'!AE230-'Model inputs'!B161),12)=0=""),"",AND('Model inputs'!B1207,MOD(('Model inputs'!AE230-'Model inputs'!B161),12)=0))))),'Model inputs'!B137*'Model inputs'!B149*12,0),IF('Model inputs'!AE345="","",'Model inputs'!AE345))</f>
        <v>0</v>
      </c>
      <c r="AF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inputs'!B1208=FALSE,FALSE),FALSE,IF(IFERROR(MOD(('Model inputs'!AF230-'Model inputs'!B161),12)=0=FALSE,FALSE),FALSE,IF(OR('Model inputs'!B1208="",MOD(('Model inputs'!AF230-'Model inputs'!B161),12)=0=""),"",AND('Model inputs'!B1208,MOD(('Model inputs'!AF230-'Model inputs'!B161),12)=0))))="",FALSE,IF(IFERROR('Model inputs'!B1208=FALSE,FALSE),FALSE,IF(IFERROR(MOD(('Model inputs'!AF230-'Model inputs'!B161),12)=0=FALSE,FALSE),FALSE,IF(OR('Model inputs'!B1208="",MOD(('Model inputs'!AF230-'Model inputs'!B161),12)=0=""),"",AND('Model inputs'!B1208,MOD(('Model inputs'!AF230-'Model inputs'!B161),12)=0))))),'Model inputs'!B137*'Model inputs'!B149*12,0),IF('Model inputs'!AF345="","",'Model inputs'!AF345))</f>
        <v>0</v>
      </c>
      <c r="AG308" s="9">
        <f>IF(IF(IF(ISERROR('Model inputs'!B97=1),'Model inputs'!B97=1,IF('Model inputs'!B97="","",'Model inputs'!B97=1))="",FALSE,IF(ISERROR('Model inputs'!B97=1),'Model inputs'!B97=1,IF('Model inputs'!B97="","",'Model inputs'!B97=1))),IF(IF(IF(IFERROR('Model inputs'!B1209=FALSE,FALSE),FALSE,IF(IFERROR(MOD(('Model inputs'!AG230-'Model inputs'!B161),12)=0=FALSE,FALSE),FALSE,IF(OR('Model inputs'!B1209="",MOD(('Model inputs'!AG230-'Model inputs'!B161),12)=0=""),"",AND('Model inputs'!B1209,MOD(('Model inputs'!AG230-'Model inputs'!B161),12)=0))))="",FALSE,IF(IFERROR('Model inputs'!B1209=FALSE,FALSE),FALSE,IF(IFERROR(MOD(('Model inputs'!AG230-'Model inputs'!B161),12)=0=FALSE,FALSE),FALSE,IF(OR('Model inputs'!B1209="",MOD(('Model inputs'!AG230-'Model inputs'!B161),12)=0=""),"",AND('Model inputs'!B1209,MOD(('Model inputs'!AG230-'Model inputs'!B161),12)=0))))),'Model inputs'!B137*'Model inputs'!B149*12,0),IF('Model inputs'!AG345="","",'Model inputs'!AG345))</f>
        <v>0</v>
      </c>
    </row>
    <row r="309" outlineLevel="1">
      <c r="A309" t="inlineStr" s="18">
        <is>
          <t xml:space="preserve">Opex cash paid &gt; cfo.ai Startup</t>
        </is>
      </c>
      <c r="C309" s="9">
        <f>IF('Model inputs'!C56="","",'Model inputs'!C56)</f>
        <v>0</v>
      </c>
      <c r="D309" s="9">
        <f>IF('Model inputs'!D56="","",'Model inputs'!D56)</f>
        <v>0</v>
      </c>
      <c r="E309" s="9">
        <f>IF('Model inputs'!E56="","",'Model inputs'!E56)</f>
        <v>4500</v>
      </c>
      <c r="F309" s="9">
        <f>IF('Model inputs'!F56="","",'Model inputs'!F56)</f>
        <v>0</v>
      </c>
      <c r="G309" s="9">
        <f>IF('Model inputs'!G56="","",'Model inputs'!G56)</f>
        <v>0</v>
      </c>
      <c r="H309" s="9">
        <f>IF('Model inputs'!H56="","",'Model inputs'!H56)</f>
        <v>0</v>
      </c>
      <c r="I309" s="9">
        <f>IF('Model inputs'!I56="","",'Model inputs'!I56)</f>
        <v>0</v>
      </c>
      <c r="J309" s="9">
        <f>IF('Model inputs'!J56="","",'Model inputs'!J56)</f>
        <v>0</v>
      </c>
      <c r="K309" s="9">
        <f>IF('Model inputs'!K56="","",'Model inputs'!K56)</f>
        <v>0</v>
      </c>
      <c r="L309" s="9">
        <f>IF('Model inputs'!L56="","",'Model inputs'!L56)</f>
        <v>0</v>
      </c>
      <c r="M309" s="9">
        <f>IF('Model inputs'!M56="","",'Model inputs'!M56)</f>
        <v>0</v>
      </c>
      <c r="N309" s="9">
        <f>IF('Model inputs'!N56="","",'Model inputs'!N56)</f>
        <v>0</v>
      </c>
      <c r="O309" s="9">
        <f>IF('Model inputs'!O56="","",'Model inputs'!O56)</f>
        <v>0</v>
      </c>
      <c r="P309" s="9">
        <f>IF('Model inputs'!P56="","",'Model inputs'!P56)</f>
        <v>0</v>
      </c>
      <c r="Q309" s="9">
        <f>IF('Model inputs'!Q56="","",'Model inputs'!Q56)</f>
        <v>4500</v>
      </c>
      <c r="R309" s="9">
        <f>IF('Model inputs'!R56="","",'Model inputs'!R56)</f>
        <v>0</v>
      </c>
      <c r="S309" s="9">
        <f>IF('Model inputs'!S56="","",'Model inputs'!S56)</f>
        <v>0</v>
      </c>
      <c r="T309" s="9">
        <f>IF('Model inputs'!T56="","",'Model inputs'!T56)</f>
        <v>0</v>
      </c>
      <c r="U309" s="9">
        <f>IF('Model inputs'!U56="","",'Model inputs'!U56)</f>
        <v>0</v>
      </c>
      <c r="V309" s="9">
        <f>IF('Model inputs'!V56="","",'Model inputs'!V56)</f>
        <v>0</v>
      </c>
      <c r="W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inputs'!B1210=FALSE,FALSE),FALSE,IF(IFERROR(MOD(('Model inputs'!W230-'Model inputs'!B162),12)=0=FALSE,FALSE),FALSE,IF(OR('Model inputs'!B1210="",MOD(('Model inputs'!W230-'Model inputs'!B162),12)=0=""),"",AND('Model inputs'!B1210,MOD(('Model inputs'!W230-'Model inputs'!B162),12)=0))))="",FALSE,IF(IFERROR('Model inputs'!B1210=FALSE,FALSE),FALSE,IF(IFERROR(MOD(('Model inputs'!W230-'Model inputs'!B162),12)=0=FALSE,FALSE),FALSE,IF(OR('Model inputs'!B1210="",MOD(('Model inputs'!W230-'Model inputs'!B162),12)=0=""),"",AND('Model inputs'!B1210,MOD(('Model inputs'!W230-'Model inputs'!B162),12)=0))))),'Model inputs'!B138*'Model inputs'!B150*12,0),IF('Model inputs'!W346="","",'Model inputs'!W346))</f>
        <v>0</v>
      </c>
      <c r="X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inputs'!B1211=FALSE,FALSE),FALSE,IF(IFERROR(MOD(('Model inputs'!X230-'Model inputs'!B162),12)=0=FALSE,FALSE),FALSE,IF(OR('Model inputs'!B1211="",MOD(('Model inputs'!X230-'Model inputs'!B162),12)=0=""),"",AND('Model inputs'!B1211,MOD(('Model inputs'!X230-'Model inputs'!B162),12)=0))))="",FALSE,IF(IFERROR('Model inputs'!B1211=FALSE,FALSE),FALSE,IF(IFERROR(MOD(('Model inputs'!X230-'Model inputs'!B162),12)=0=FALSE,FALSE),FALSE,IF(OR('Model inputs'!B1211="",MOD(('Model inputs'!X230-'Model inputs'!B162),12)=0=""),"",AND('Model inputs'!B1211,MOD(('Model inputs'!X230-'Model inputs'!B162),12)=0))))),'Model inputs'!B138*'Model inputs'!B150*12,0),IF('Model inputs'!X346="","",'Model inputs'!X346))</f>
        <v>0</v>
      </c>
      <c r="Y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inputs'!B1212=FALSE,FALSE),FALSE,IF(IFERROR(MOD(('Model inputs'!Y230-'Model inputs'!B162),12)=0=FALSE,FALSE),FALSE,IF(OR('Model inputs'!B1212="",MOD(('Model inputs'!Y230-'Model inputs'!B162),12)=0=""),"",AND('Model inputs'!B1212,MOD(('Model inputs'!Y230-'Model inputs'!B162),12)=0))))="",FALSE,IF(IFERROR('Model inputs'!B1212=FALSE,FALSE),FALSE,IF(IFERROR(MOD(('Model inputs'!Y230-'Model inputs'!B162),12)=0=FALSE,FALSE),FALSE,IF(OR('Model inputs'!B1212="",MOD(('Model inputs'!Y230-'Model inputs'!B162),12)=0=""),"",AND('Model inputs'!B1212,MOD(('Model inputs'!Y230-'Model inputs'!B162),12)=0))))),'Model inputs'!B138*'Model inputs'!B150*12,0),IF('Model inputs'!Y346="","",'Model inputs'!Y346))</f>
        <v>0</v>
      </c>
      <c r="Z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inputs'!B1213=FALSE,FALSE),FALSE,IF(IFERROR(MOD(('Model inputs'!Z230-'Model inputs'!B162),12)=0=FALSE,FALSE),FALSE,IF(OR('Model inputs'!B1213="",MOD(('Model inputs'!Z230-'Model inputs'!B162),12)=0=""),"",AND('Model inputs'!B1213,MOD(('Model inputs'!Z230-'Model inputs'!B162),12)=0))))="",FALSE,IF(IFERROR('Model inputs'!B1213=FALSE,FALSE),FALSE,IF(IFERROR(MOD(('Model inputs'!Z230-'Model inputs'!B162),12)=0=FALSE,FALSE),FALSE,IF(OR('Model inputs'!B1213="",MOD(('Model inputs'!Z230-'Model inputs'!B162),12)=0=""),"",AND('Model inputs'!B1213,MOD(('Model inputs'!Z230-'Model inputs'!B162),12)=0))))),'Model inputs'!B138*'Model inputs'!B150*12,0),IF('Model inputs'!Z346="","",'Model inputs'!Z346))</f>
        <v>0</v>
      </c>
      <c r="AA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inputs'!B1214=FALSE,FALSE),FALSE,IF(IFERROR(MOD(('Model inputs'!AA230-'Model inputs'!B162),12)=0=FALSE,FALSE),FALSE,IF(OR('Model inputs'!B1214="",MOD(('Model inputs'!AA230-'Model inputs'!B162),12)=0=""),"",AND('Model inputs'!B1214,MOD(('Model inputs'!AA230-'Model inputs'!B162),12)=0))))="",FALSE,IF(IFERROR('Model inputs'!B1214=FALSE,FALSE),FALSE,IF(IFERROR(MOD(('Model inputs'!AA230-'Model inputs'!B162),12)=0=FALSE,FALSE),FALSE,IF(OR('Model inputs'!B1214="",MOD(('Model inputs'!AA230-'Model inputs'!B162),12)=0=""),"",AND('Model inputs'!B1214,MOD(('Model inputs'!AA230-'Model inputs'!B162),12)=0))))),'Model inputs'!B138*'Model inputs'!B150*12,0),IF('Model inputs'!AA346="","",'Model inputs'!AA346))</f>
        <v>0</v>
      </c>
      <c r="AB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inputs'!B1215=FALSE,FALSE),FALSE,IF(IFERROR(MOD(('Model inputs'!AB230-'Model inputs'!B162),12)=0=FALSE,FALSE),FALSE,IF(OR('Model inputs'!B1215="",MOD(('Model inputs'!AB230-'Model inputs'!B162),12)=0=""),"",AND('Model inputs'!B1215,MOD(('Model inputs'!AB230-'Model inputs'!B162),12)=0))))="",FALSE,IF(IFERROR('Model inputs'!B1215=FALSE,FALSE),FALSE,IF(IFERROR(MOD(('Model inputs'!AB230-'Model inputs'!B162),12)=0=FALSE,FALSE),FALSE,IF(OR('Model inputs'!B1215="",MOD(('Model inputs'!AB230-'Model inputs'!B162),12)=0=""),"",AND('Model inputs'!B1215,MOD(('Model inputs'!AB230-'Model inputs'!B162),12)=0))))),'Model inputs'!B138*'Model inputs'!B150*12,0),IF('Model inputs'!AB346="","",'Model inputs'!AB346))</f>
        <v>0</v>
      </c>
      <c r="AC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inputs'!B1216=FALSE,FALSE),FALSE,IF(IFERROR(MOD(('Model inputs'!AC230-'Model inputs'!B162),12)=0=FALSE,FALSE),FALSE,IF(OR('Model inputs'!B1216="",MOD(('Model inputs'!AC230-'Model inputs'!B162),12)=0=""),"",AND('Model inputs'!B1216,MOD(('Model inputs'!AC230-'Model inputs'!B162),12)=0))))="",FALSE,IF(IFERROR('Model inputs'!B1216=FALSE,FALSE),FALSE,IF(IFERROR(MOD(('Model inputs'!AC230-'Model inputs'!B162),12)=0=FALSE,FALSE),FALSE,IF(OR('Model inputs'!B1216="",MOD(('Model inputs'!AC230-'Model inputs'!B162),12)=0=""),"",AND('Model inputs'!B1216,MOD(('Model inputs'!AC230-'Model inputs'!B162),12)=0))))),'Model inputs'!B138*'Model inputs'!B150*12,0),IF('Model inputs'!AC346="","",'Model inputs'!AC346))</f>
        <v>0</v>
      </c>
      <c r="AD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inputs'!B1217=FALSE,FALSE),FALSE,IF(IFERROR(MOD(('Model inputs'!AD230-'Model inputs'!B162),12)=0=FALSE,FALSE),FALSE,IF(OR('Model inputs'!B1217="",MOD(('Model inputs'!AD230-'Model inputs'!B162),12)=0=""),"",AND('Model inputs'!B1217,MOD(('Model inputs'!AD230-'Model inputs'!B162),12)=0))))="",FALSE,IF(IFERROR('Model inputs'!B1217=FALSE,FALSE),FALSE,IF(IFERROR(MOD(('Model inputs'!AD230-'Model inputs'!B162),12)=0=FALSE,FALSE),FALSE,IF(OR('Model inputs'!B1217="",MOD(('Model inputs'!AD230-'Model inputs'!B162),12)=0=""),"",AND('Model inputs'!B1217,MOD(('Model inputs'!AD230-'Model inputs'!B162),12)=0))))),'Model inputs'!B138*'Model inputs'!B150*12,0),IF('Model inputs'!AD346="","",'Model inputs'!AD346))</f>
        <v>0</v>
      </c>
      <c r="AE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inputs'!B1218=FALSE,FALSE),FALSE,IF(IFERROR(MOD(('Model inputs'!AE230-'Model inputs'!B162),12)=0=FALSE,FALSE),FALSE,IF(OR('Model inputs'!B1218="",MOD(('Model inputs'!AE230-'Model inputs'!B162),12)=0=""),"",AND('Model inputs'!B1218,MOD(('Model inputs'!AE230-'Model inputs'!B162),12)=0))))="",FALSE,IF(IFERROR('Model inputs'!B1218=FALSE,FALSE),FALSE,IF(IFERROR(MOD(('Model inputs'!AE230-'Model inputs'!B162),12)=0=FALSE,FALSE),FALSE,IF(OR('Model inputs'!B1218="",MOD(('Model inputs'!AE230-'Model inputs'!B162),12)=0=""),"",AND('Model inputs'!B1218,MOD(('Model inputs'!AE230-'Model inputs'!B162),12)=0))))),'Model inputs'!B138*'Model inputs'!B150*12,0),IF('Model inputs'!AE346="","",'Model inputs'!AE346))</f>
        <v>0</v>
      </c>
      <c r="AF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inputs'!B1219=FALSE,FALSE),FALSE,IF(IFERROR(MOD(('Model inputs'!AF230-'Model inputs'!B162),12)=0=FALSE,FALSE),FALSE,IF(OR('Model inputs'!B1219="",MOD(('Model inputs'!AF230-'Model inputs'!B162),12)=0=""),"",AND('Model inputs'!B1219,MOD(('Model inputs'!AF230-'Model inputs'!B162),12)=0))))="",FALSE,IF(IFERROR('Model inputs'!B1219=FALSE,FALSE),FALSE,IF(IFERROR(MOD(('Model inputs'!AF230-'Model inputs'!B162),12)=0=FALSE,FALSE),FALSE,IF(OR('Model inputs'!B1219="",MOD(('Model inputs'!AF230-'Model inputs'!B162),12)=0=""),"",AND('Model inputs'!B1219,MOD(('Model inputs'!AF230-'Model inputs'!B162),12)=0))))),'Model inputs'!B138*'Model inputs'!B150*12,0),IF('Model inputs'!AF346="","",'Model inputs'!AF346))</f>
        <v>0</v>
      </c>
      <c r="AG309" s="9">
        <f>IF(IF(IF(ISERROR('Model inputs'!B98=1),'Model inputs'!B98=1,IF('Model inputs'!B98="","",'Model inputs'!B98=1))="",FALSE,IF(ISERROR('Model inputs'!B98=1),'Model inputs'!B98=1,IF('Model inputs'!B98="","",'Model inputs'!B98=1))),IF(IF(IF(IFERROR('Model inputs'!B1220=FALSE,FALSE),FALSE,IF(IFERROR(MOD(('Model inputs'!AG230-'Model inputs'!B162),12)=0=FALSE,FALSE),FALSE,IF(OR('Model inputs'!B1220="",MOD(('Model inputs'!AG230-'Model inputs'!B162),12)=0=""),"",AND('Model inputs'!B1220,MOD(('Model inputs'!AG230-'Model inputs'!B162),12)=0))))="",FALSE,IF(IFERROR('Model inputs'!B1220=FALSE,FALSE),FALSE,IF(IFERROR(MOD(('Model inputs'!AG230-'Model inputs'!B162),12)=0=FALSE,FALSE),FALSE,IF(OR('Model inputs'!B1220="",MOD(('Model inputs'!AG230-'Model inputs'!B162),12)=0=""),"",AND('Model inputs'!B1220,MOD(('Model inputs'!AG230-'Model inputs'!B162),12)=0))))),'Model inputs'!B138*'Model inputs'!B150*12,0),IF('Model inputs'!AG346="","",'Model inputs'!AG346))</f>
        <v>0</v>
      </c>
    </row>
    <row r="310" outlineLevel="1">
      <c r="A310" t="inlineStr" s="18">
        <is>
          <t xml:space="preserve">Opex cash paid &gt; neatlogs Pro</t>
        </is>
      </c>
      <c r="C310" s="9">
        <f>IF('Model inputs'!C57="","",'Model inputs'!C57)</f>
        <v>0</v>
      </c>
      <c r="D310" s="9">
        <f>IF('Model inputs'!D57="","",'Model inputs'!D57)</f>
        <v>0</v>
      </c>
      <c r="E310" s="9">
        <f>IF('Model inputs'!E57="","",'Model inputs'!E57)</f>
        <v>500</v>
      </c>
      <c r="F310" s="9">
        <f>IF('Model inputs'!F57="","",'Model inputs'!F57)</f>
        <v>500</v>
      </c>
      <c r="G310" s="9">
        <f>IF('Model inputs'!G57="","",'Model inputs'!G57)</f>
        <v>500</v>
      </c>
      <c r="H310" s="9">
        <f>IF('Model inputs'!H57="","",'Model inputs'!H57)</f>
        <v>500</v>
      </c>
      <c r="I310" s="9">
        <f>IF('Model inputs'!I57="","",'Model inputs'!I57)</f>
        <v>500</v>
      </c>
      <c r="J310" s="9">
        <f>IF('Model inputs'!J57="","",'Model inputs'!J57)</f>
        <v>500</v>
      </c>
      <c r="K310" s="9">
        <f>IF('Model inputs'!K57="","",'Model inputs'!K57)</f>
        <v>500</v>
      </c>
      <c r="L310" s="9">
        <f>IF('Model inputs'!L57="","",'Model inputs'!L57)</f>
        <v>500</v>
      </c>
      <c r="M310" s="9">
        <f>IF('Model inputs'!M57="","",'Model inputs'!M57)</f>
        <v>500</v>
      </c>
      <c r="N310" s="9">
        <f>IF('Model inputs'!N57="","",'Model inputs'!N57)</f>
        <v>500</v>
      </c>
      <c r="O310" s="9">
        <f>IF('Model inputs'!O57="","",'Model inputs'!O57)</f>
        <v>500</v>
      </c>
      <c r="P310" s="9">
        <f>IF('Model inputs'!P57="","",'Model inputs'!P57)</f>
        <v>500</v>
      </c>
      <c r="Q310" s="9">
        <f>IF('Model inputs'!Q57="","",'Model inputs'!Q57)</f>
        <v>500</v>
      </c>
      <c r="R310" s="9">
        <f>IF('Model inputs'!R57="","",'Model inputs'!R57)</f>
        <v>500</v>
      </c>
      <c r="S310" s="9">
        <f>IF('Model inputs'!S57="","",'Model inputs'!S57)</f>
        <v>500</v>
      </c>
      <c r="T310" s="9">
        <f>IF('Model inputs'!T57="","",'Model inputs'!T57)</f>
        <v>500</v>
      </c>
      <c r="U310" s="9">
        <f>IF('Model inputs'!U57="","",'Model inputs'!U57)</f>
        <v>500</v>
      </c>
      <c r="V310" s="9">
        <f>IF('Model inputs'!V57="","",'Model inputs'!V57)</f>
        <v>500</v>
      </c>
      <c r="W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inputs'!B1221=FALSE,FALSE),FALSE,IF(IFERROR(MOD(('Model inputs'!W230-'Model inputs'!B163),12)=0=FALSE,FALSE),FALSE,IF(OR('Model inputs'!B1221="",MOD(('Model inputs'!W230-'Model inputs'!B163),12)=0=""),"",AND('Model inputs'!B1221,MOD(('Model inputs'!W230-'Model inputs'!B163),12)=0))))="",FALSE,IF(IFERROR('Model inputs'!B1221=FALSE,FALSE),FALSE,IF(IFERROR(MOD(('Model inputs'!W230-'Model inputs'!B163),12)=0=FALSE,FALSE),FALSE,IF(OR('Model inputs'!B1221="",MOD(('Model inputs'!W230-'Model inputs'!B163),12)=0=""),"",AND('Model inputs'!B1221,MOD(('Model inputs'!W230-'Model inputs'!B163),12)=0))))),'Model inputs'!B139*'Model inputs'!B151*12,0),IF('Model inputs'!W347="","",'Model inputs'!W347))</f>
        <v>0</v>
      </c>
      <c r="X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inputs'!B1222=FALSE,FALSE),FALSE,IF(IFERROR(MOD(('Model inputs'!X230-'Model inputs'!B163),12)=0=FALSE,FALSE),FALSE,IF(OR('Model inputs'!B1222="",MOD(('Model inputs'!X230-'Model inputs'!B163),12)=0=""),"",AND('Model inputs'!B1222,MOD(('Model inputs'!X230-'Model inputs'!B163),12)=0))))="",FALSE,IF(IFERROR('Model inputs'!B1222=FALSE,FALSE),FALSE,IF(IFERROR(MOD(('Model inputs'!X230-'Model inputs'!B163),12)=0=FALSE,FALSE),FALSE,IF(OR('Model inputs'!B1222="",MOD(('Model inputs'!X230-'Model inputs'!B163),12)=0=""),"",AND('Model inputs'!B1222,MOD(('Model inputs'!X230-'Model inputs'!B163),12)=0))))),'Model inputs'!B139*'Model inputs'!B151*12,0),IF('Model inputs'!X347="","",'Model inputs'!X347))</f>
        <v>0</v>
      </c>
      <c r="Y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inputs'!B1223=FALSE,FALSE),FALSE,IF(IFERROR(MOD(('Model inputs'!Y230-'Model inputs'!B163),12)=0=FALSE,FALSE),FALSE,IF(OR('Model inputs'!B1223="",MOD(('Model inputs'!Y230-'Model inputs'!B163),12)=0=""),"",AND('Model inputs'!B1223,MOD(('Model inputs'!Y230-'Model inputs'!B163),12)=0))))="",FALSE,IF(IFERROR('Model inputs'!B1223=FALSE,FALSE),FALSE,IF(IFERROR(MOD(('Model inputs'!Y230-'Model inputs'!B163),12)=0=FALSE,FALSE),FALSE,IF(OR('Model inputs'!B1223="",MOD(('Model inputs'!Y230-'Model inputs'!B163),12)=0=""),"",AND('Model inputs'!B1223,MOD(('Model inputs'!Y230-'Model inputs'!B163),12)=0))))),'Model inputs'!B139*'Model inputs'!B151*12,0),IF('Model inputs'!Y347="","",'Model inputs'!Y347))</f>
        <v>0</v>
      </c>
      <c r="Z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inputs'!B1224=FALSE,FALSE),FALSE,IF(IFERROR(MOD(('Model inputs'!Z230-'Model inputs'!B163),12)=0=FALSE,FALSE),FALSE,IF(OR('Model inputs'!B1224="",MOD(('Model inputs'!Z230-'Model inputs'!B163),12)=0=""),"",AND('Model inputs'!B1224,MOD(('Model inputs'!Z230-'Model inputs'!B163),12)=0))))="",FALSE,IF(IFERROR('Model inputs'!B1224=FALSE,FALSE),FALSE,IF(IFERROR(MOD(('Model inputs'!Z230-'Model inputs'!B163),12)=0=FALSE,FALSE),FALSE,IF(OR('Model inputs'!B1224="",MOD(('Model inputs'!Z230-'Model inputs'!B163),12)=0=""),"",AND('Model inputs'!B1224,MOD(('Model inputs'!Z230-'Model inputs'!B163),12)=0))))),'Model inputs'!B139*'Model inputs'!B151*12,0),IF('Model inputs'!Z347="","",'Model inputs'!Z347))</f>
        <v>0</v>
      </c>
      <c r="AA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inputs'!B1225=FALSE,FALSE),FALSE,IF(IFERROR(MOD(('Model inputs'!AA230-'Model inputs'!B163),12)=0=FALSE,FALSE),FALSE,IF(OR('Model inputs'!B1225="",MOD(('Model inputs'!AA230-'Model inputs'!B163),12)=0=""),"",AND('Model inputs'!B1225,MOD(('Model inputs'!AA230-'Model inputs'!B163),12)=0))))="",FALSE,IF(IFERROR('Model inputs'!B1225=FALSE,FALSE),FALSE,IF(IFERROR(MOD(('Model inputs'!AA230-'Model inputs'!B163),12)=0=FALSE,FALSE),FALSE,IF(OR('Model inputs'!B1225="",MOD(('Model inputs'!AA230-'Model inputs'!B163),12)=0=""),"",AND('Model inputs'!B1225,MOD(('Model inputs'!AA230-'Model inputs'!B163),12)=0))))),'Model inputs'!B139*'Model inputs'!B151*12,0),IF('Model inputs'!AA347="","",'Model inputs'!AA347))</f>
        <v>0</v>
      </c>
      <c r="AB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inputs'!B1226=FALSE,FALSE),FALSE,IF(IFERROR(MOD(('Model inputs'!AB230-'Model inputs'!B163),12)=0=FALSE,FALSE),FALSE,IF(OR('Model inputs'!B1226="",MOD(('Model inputs'!AB230-'Model inputs'!B163),12)=0=""),"",AND('Model inputs'!B1226,MOD(('Model inputs'!AB230-'Model inputs'!B163),12)=0))))="",FALSE,IF(IFERROR('Model inputs'!B1226=FALSE,FALSE),FALSE,IF(IFERROR(MOD(('Model inputs'!AB230-'Model inputs'!B163),12)=0=FALSE,FALSE),FALSE,IF(OR('Model inputs'!B1226="",MOD(('Model inputs'!AB230-'Model inputs'!B163),12)=0=""),"",AND('Model inputs'!B1226,MOD(('Model inputs'!AB230-'Model inputs'!B163),12)=0))))),'Model inputs'!B139*'Model inputs'!B151*12,0),IF('Model inputs'!AB347="","",'Model inputs'!AB347))</f>
        <v>0</v>
      </c>
      <c r="AC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inputs'!B1227=FALSE,FALSE),FALSE,IF(IFERROR(MOD(('Model inputs'!AC230-'Model inputs'!B163),12)=0=FALSE,FALSE),FALSE,IF(OR('Model inputs'!B1227="",MOD(('Model inputs'!AC230-'Model inputs'!B163),12)=0=""),"",AND('Model inputs'!B1227,MOD(('Model inputs'!AC230-'Model inputs'!B163),12)=0))))="",FALSE,IF(IFERROR('Model inputs'!B1227=FALSE,FALSE),FALSE,IF(IFERROR(MOD(('Model inputs'!AC230-'Model inputs'!B163),12)=0=FALSE,FALSE),FALSE,IF(OR('Model inputs'!B1227="",MOD(('Model inputs'!AC230-'Model inputs'!B163),12)=0=""),"",AND('Model inputs'!B1227,MOD(('Model inputs'!AC230-'Model inputs'!B163),12)=0))))),'Model inputs'!B139*'Model inputs'!B151*12,0),IF('Model inputs'!AC347="","",'Model inputs'!AC347))</f>
        <v>0</v>
      </c>
      <c r="AD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inputs'!B1228=FALSE,FALSE),FALSE,IF(IFERROR(MOD(('Model inputs'!AD230-'Model inputs'!B163),12)=0=FALSE,FALSE),FALSE,IF(OR('Model inputs'!B1228="",MOD(('Model inputs'!AD230-'Model inputs'!B163),12)=0=""),"",AND('Model inputs'!B1228,MOD(('Model inputs'!AD230-'Model inputs'!B163),12)=0))))="",FALSE,IF(IFERROR('Model inputs'!B1228=FALSE,FALSE),FALSE,IF(IFERROR(MOD(('Model inputs'!AD230-'Model inputs'!B163),12)=0=FALSE,FALSE),FALSE,IF(OR('Model inputs'!B1228="",MOD(('Model inputs'!AD230-'Model inputs'!B163),12)=0=""),"",AND('Model inputs'!B1228,MOD(('Model inputs'!AD230-'Model inputs'!B163),12)=0))))),'Model inputs'!B139*'Model inputs'!B151*12,0),IF('Model inputs'!AD347="","",'Model inputs'!AD347))</f>
        <v>0</v>
      </c>
      <c r="AE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inputs'!B1229=FALSE,FALSE),FALSE,IF(IFERROR(MOD(('Model inputs'!AE230-'Model inputs'!B163),12)=0=FALSE,FALSE),FALSE,IF(OR('Model inputs'!B1229="",MOD(('Model inputs'!AE230-'Model inputs'!B163),12)=0=""),"",AND('Model inputs'!B1229,MOD(('Model inputs'!AE230-'Model inputs'!B163),12)=0))))="",FALSE,IF(IFERROR('Model inputs'!B1229=FALSE,FALSE),FALSE,IF(IFERROR(MOD(('Model inputs'!AE230-'Model inputs'!B163),12)=0=FALSE,FALSE),FALSE,IF(OR('Model inputs'!B1229="",MOD(('Model inputs'!AE230-'Model inputs'!B163),12)=0=""),"",AND('Model inputs'!B1229,MOD(('Model inputs'!AE230-'Model inputs'!B163),12)=0))))),'Model inputs'!B139*'Model inputs'!B151*12,0),IF('Model inputs'!AE347="","",'Model inputs'!AE347))</f>
        <v>0</v>
      </c>
      <c r="AF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inputs'!B1230=FALSE,FALSE),FALSE,IF(IFERROR(MOD(('Model inputs'!AF230-'Model inputs'!B163),12)=0=FALSE,FALSE),FALSE,IF(OR('Model inputs'!B1230="",MOD(('Model inputs'!AF230-'Model inputs'!B163),12)=0=""),"",AND('Model inputs'!B1230,MOD(('Model inputs'!AF230-'Model inputs'!B163),12)=0))))="",FALSE,IF(IFERROR('Model inputs'!B1230=FALSE,FALSE),FALSE,IF(IFERROR(MOD(('Model inputs'!AF230-'Model inputs'!B163),12)=0=FALSE,FALSE),FALSE,IF(OR('Model inputs'!B1230="",MOD(('Model inputs'!AF230-'Model inputs'!B163),12)=0=""),"",AND('Model inputs'!B1230,MOD(('Model inputs'!AF230-'Model inputs'!B163),12)=0))))),'Model inputs'!B139*'Model inputs'!B151*12,0),IF('Model inputs'!AF347="","",'Model inputs'!AF347))</f>
        <v>0</v>
      </c>
      <c r="AG310" s="9">
        <f>IF(IF(IF(ISERROR('Model inputs'!B99=1),'Model inputs'!B99=1,IF('Model inputs'!B99="","",'Model inputs'!B99=1))="",FALSE,IF(ISERROR('Model inputs'!B99=1),'Model inputs'!B99=1,IF('Model inputs'!B99="","",'Model inputs'!B99=1))),IF(IF(IF(IFERROR('Model inputs'!B1231=FALSE,FALSE),FALSE,IF(IFERROR(MOD(('Model inputs'!AG230-'Model inputs'!B163),12)=0=FALSE,FALSE),FALSE,IF(OR('Model inputs'!B1231="",MOD(('Model inputs'!AG230-'Model inputs'!B163),12)=0=""),"",AND('Model inputs'!B1231,MOD(('Model inputs'!AG230-'Model inputs'!B163),12)=0))))="",FALSE,IF(IFERROR('Model inputs'!B1231=FALSE,FALSE),FALSE,IF(IFERROR(MOD(('Model inputs'!AG230-'Model inputs'!B163),12)=0=FALSE,FALSE),FALSE,IF(OR('Model inputs'!B1231="",MOD(('Model inputs'!AG230-'Model inputs'!B163),12)=0=""),"",AND('Model inputs'!B1231,MOD(('Model inputs'!AG230-'Model inputs'!B163),12)=0))))),'Model inputs'!B139*'Model inputs'!B151*12,0),IF('Model inputs'!AG347="","",'Model inputs'!AG347))</f>
        <v>0</v>
      </c>
    </row>
    <row r="311">
      <c r="A311" t="inlineStr" s="16">
        <is>
          <t xml:space="preserve">Payment fees</t>
        </is>
      </c>
      <c r="C311" s="7">
        <f>IF('Model inputs'!C62="","",'Model inputs'!C62)</f>
        <v>0</v>
      </c>
      <c r="D311" s="7">
        <f>IF('Model inputs'!D62="","",'Model inputs'!D62)</f>
        <v>0</v>
      </c>
      <c r="E311" s="7">
        <f>IF('Model inputs'!E62="","",'Model inputs'!E62)</f>
        <v>92.33272000000001</v>
      </c>
      <c r="F311" s="7">
        <f>IF('Model inputs'!F62="","",'Model inputs'!F62)</f>
        <v>188.068080125</v>
      </c>
      <c r="G311" s="7">
        <f>IF('Model inputs'!G62="","",'Model inputs'!G62)</f>
        <v>260.0429898737778</v>
      </c>
      <c r="H311" s="7">
        <f>IF('Model inputs'!H62="","",'Model inputs'!H62)</f>
        <v>335.1664347990748</v>
      </c>
      <c r="I311" s="7">
        <f>IF('Model inputs'!I62="","",'Model inputs'!I62)</f>
        <v>413.78401436942465</v>
      </c>
      <c r="J311" s="7">
        <f>IF('Model inputs'!J62="","",'Model inputs'!J62)</f>
        <v>496.2816383447089</v>
      </c>
      <c r="K311" s="7">
        <f>IF('Model inputs'!K62="","",'Model inputs'!K62)</f>
        <v>583.088378449062</v>
      </c>
      <c r="L311" s="7">
        <f>IF('Model inputs'!L62="","",'Model inputs'!L62)</f>
        <v>557.2833486659224</v>
      </c>
      <c r="M311" s="7">
        <f>IF('Model inputs'!M62="","",'Model inputs'!M62)</f>
        <v>628.2135614513089</v>
      </c>
      <c r="N311" s="7">
        <f>IF('Model inputs'!N62="","",'Model inputs'!N62)</f>
        <v>695.4951727272281</v>
      </c>
      <c r="O311" s="7">
        <f>IF('Model inputs'!O62="","",'Model inputs'!O62)</f>
        <v>763.7046916431891</v>
      </c>
      <c r="P311" s="7">
        <f>IF('Model inputs'!P62="","",'Model inputs'!P62)</f>
        <v>832.9603774238383</v>
      </c>
      <c r="Q311" s="7">
        <f>IF('Model inputs'!Q62="","",'Model inputs'!Q62)</f>
        <v>903.3805557774197</v>
      </c>
      <c r="R311" s="7">
        <f>IF('Model inputs'!R62="","",'Model inputs'!R62)</f>
        <v>1001.6961166493504</v>
      </c>
      <c r="S311" s="7">
        <f>IF('Model inputs'!S62="","",'Model inputs'!S62)</f>
        <v>1094.9873007989427</v>
      </c>
      <c r="T311" s="7">
        <f>IF('Model inputs'!T62="","",'Model inputs'!T62)</f>
        <v>1192.3131472022542</v>
      </c>
      <c r="U311" s="7">
        <f>IF('Model inputs'!U62="","",'Model inputs'!U62)</f>
        <v>1294.0719669015866</v>
      </c>
      <c r="V311" s="7">
        <f>IF('Model inputs'!V62="","",'Model inputs'!V62)</f>
        <v>1400.701363105876</v>
      </c>
      <c r="W311" s="7">
        <f>SUM('Model inputs'!W312,'Model inputs'!W313,'Model inputs'!W314)</f>
        <v>0</v>
      </c>
      <c r="X311" s="7">
        <f>SUM('Model inputs'!X312,'Model inputs'!X313,'Model inputs'!X314)</f>
        <v>0</v>
      </c>
      <c r="Y311" s="7">
        <f>SUM('Model inputs'!Y312,'Model inputs'!Y313,'Model inputs'!Y314)</f>
        <v>0</v>
      </c>
      <c r="Z311" s="7">
        <f>SUM('Model inputs'!Z312,'Model inputs'!Z313,'Model inputs'!Z314)</f>
        <v>0</v>
      </c>
      <c r="AA311" s="7">
        <f>SUM('Model inputs'!AA312,'Model inputs'!AA313,'Model inputs'!AA314)</f>
        <v>0</v>
      </c>
      <c r="AB311" s="7">
        <f>SUM('Model inputs'!AB312,'Model inputs'!AB313,'Model inputs'!AB314)</f>
        <v>0</v>
      </c>
      <c r="AC311" s="7">
        <f>SUM('Model inputs'!AC312,'Model inputs'!AC313,'Model inputs'!AC314)</f>
        <v>0</v>
      </c>
      <c r="AD311" s="7">
        <f>SUM('Model inputs'!AD312,'Model inputs'!AD313,'Model inputs'!AD314)</f>
        <v>0</v>
      </c>
      <c r="AE311" s="7">
        <f>SUM('Model inputs'!AE312,'Model inputs'!AE313,'Model inputs'!AE314)</f>
        <v>0</v>
      </c>
      <c r="AF311" s="7">
        <f>SUM('Model inputs'!AF312,'Model inputs'!AF313,'Model inputs'!AF314)</f>
        <v>0</v>
      </c>
      <c r="AG311" s="7">
        <f>SUM('Model inputs'!AG312,'Model inputs'!AG313,'Model inputs'!AG314)</f>
        <v>0</v>
      </c>
    </row>
    <row r="312" outlineLevel="1">
      <c r="A312" t="inlineStr" s="18">
        <is>
          <t xml:space="preserve">Payment fees &gt; Indie</t>
        </is>
      </c>
      <c r="C312" s="9">
        <f>IF('Model inputs'!C63="","",'Model inputs'!C63)</f>
        <v>0</v>
      </c>
      <c r="D312" s="9">
        <f>IF('Model inputs'!D63="","",'Model inputs'!D63)</f>
        <v>0</v>
      </c>
      <c r="E312" s="9">
        <f>IF('Model inputs'!E63="","",'Model inputs'!E63)</f>
        <v>47.6816</v>
      </c>
      <c r="F312" s="9">
        <f>IF('Model inputs'!F63="","",'Model inputs'!F63)</f>
        <v>88.60830666666666</v>
      </c>
      <c r="G312" s="9">
        <f>IF('Model inputs'!G63="","",'Model inputs'!G63)</f>
        <v>114.88616622222224</v>
      </c>
      <c r="H312" s="9">
        <f>IF('Model inputs'!H63="","",'Model inputs'!H63)</f>
        <v>141.9869748740741</v>
      </c>
      <c r="I312" s="9">
        <f>IF('Model inputs'!I63="","",'Model inputs'!I63)</f>
        <v>170.06185386113583</v>
      </c>
      <c r="J312" s="9">
        <f>IF('Model inputs'!J63="","",'Model inputs'!J63)</f>
        <v>199.26832843402013</v>
      </c>
      <c r="K312" s="9">
        <f>IF('Model inputs'!K63="","",'Model inputs'!K63)</f>
        <v>229.77121922180223</v>
      </c>
      <c r="L312" s="9">
        <f>IF('Model inputs'!L63="","",'Model inputs'!L63)</f>
        <v>261.74357963840293</v>
      </c>
      <c r="M312" s="9">
        <f>IF('Model inputs'!M63="","",'Model inputs'!M63)</f>
        <v>295.3676846964079</v>
      </c>
      <c r="N312" s="9">
        <f>IF('Model inputs'!N63="","",'Model inputs'!N63)</f>
        <v>328.7931298319018</v>
      </c>
      <c r="O312" s="9">
        <f>IF('Model inputs'!O63="","",'Model inputs'!O63)</f>
        <v>362.1148769229731</v>
      </c>
      <c r="P312" s="9">
        <f>IF('Model inputs'!P63="","",'Model inputs'!P63)</f>
        <v>395.4248257711674</v>
      </c>
      <c r="Q312" s="9">
        <f>IF('Model inputs'!Q63="","",'Model inputs'!Q63)</f>
        <v>428.81214898853784</v>
      </c>
      <c r="R312" s="9">
        <f>IF('Model inputs'!R63="","",'Model inputs'!R63)</f>
        <v>462.36360978883476</v>
      </c>
      <c r="S312" s="9">
        <f>IF('Model inputs'!S63="","",'Model inputs'!S63)</f>
        <v>496.16386403176006</v>
      </c>
      <c r="T312" s="9">
        <f>IF('Model inputs'!T63="","",'Model inputs'!T63)</f>
        <v>530.2957477876441</v>
      </c>
      <c r="U312" s="9">
        <f>IF('Model inputs'!U63="","",'Model inputs'!U63)</f>
        <v>564.8405516141227</v>
      </c>
      <c r="V312" s="9">
        <f>IF('Model inputs'!V63="","",'Model inputs'!V63)</f>
        <v>599.8782826659955</v>
      </c>
      <c r="W312" s="9">
        <f>'Model inputs'!W283*'Model inputs'!B105+'Model inputs'!W321*'Model inputs'!B104</f>
        <v>0</v>
      </c>
      <c r="X312" s="9">
        <f>'Model inputs'!X283*'Model inputs'!B105+'Model inputs'!X321*'Model inputs'!B104</f>
        <v>0</v>
      </c>
      <c r="Y312" s="9">
        <f>'Model inputs'!Y283*'Model inputs'!B105+'Model inputs'!Y321*'Model inputs'!B104</f>
        <v>0</v>
      </c>
      <c r="Z312" s="9">
        <f>'Model inputs'!Z283*'Model inputs'!B105+'Model inputs'!Z321*'Model inputs'!B104</f>
        <v>0</v>
      </c>
      <c r="AA312" s="9">
        <f>'Model inputs'!AA283*'Model inputs'!B105+'Model inputs'!AA321*'Model inputs'!B104</f>
        <v>0</v>
      </c>
      <c r="AB312" s="9">
        <f>'Model inputs'!AB283*'Model inputs'!B105+'Model inputs'!AB321*'Model inputs'!B104</f>
        <v>0</v>
      </c>
      <c r="AC312" s="9">
        <f>'Model inputs'!AC283*'Model inputs'!B105+'Model inputs'!AC321*'Model inputs'!B104</f>
        <v>0</v>
      </c>
      <c r="AD312" s="9">
        <f>'Model inputs'!AD283*'Model inputs'!B105+'Model inputs'!AD321*'Model inputs'!B104</f>
        <v>0</v>
      </c>
      <c r="AE312" s="9">
        <f>'Model inputs'!AE283*'Model inputs'!B105+'Model inputs'!AE321*'Model inputs'!B104</f>
        <v>0</v>
      </c>
      <c r="AF312" s="9">
        <f>'Model inputs'!AF283*'Model inputs'!B105+'Model inputs'!AF321*'Model inputs'!B104</f>
        <v>0</v>
      </c>
      <c r="AG312" s="9">
        <f>'Model inputs'!AG283*'Model inputs'!B105+'Model inputs'!AG321*'Model inputs'!B104</f>
        <v>0</v>
      </c>
    </row>
    <row r="313" outlineLevel="1">
      <c r="A313" t="inlineStr" s="18">
        <is>
          <t xml:space="preserve">Payment fees &gt; Launch</t>
        </is>
      </c>
      <c r="C313" s="9">
        <f>IF('Model inputs'!C64="","",'Model inputs'!C64)</f>
        <v>0</v>
      </c>
      <c r="D313" s="9">
        <f>IF('Model inputs'!D64="","",'Model inputs'!D64)</f>
        <v>0</v>
      </c>
      <c r="E313" s="9">
        <f>IF('Model inputs'!E64="","",'Model inputs'!E64)</f>
        <v>15.564440000000001</v>
      </c>
      <c r="F313" s="9">
        <f>IF('Model inputs'!F64="","",'Model inputs'!F64)</f>
        <v>34.97418965</v>
      </c>
      <c r="G313" s="9">
        <f>IF('Model inputs'!G64="","",'Model inputs'!G64)</f>
        <v>49.70887454893054</v>
      </c>
      <c r="H313" s="9">
        <f>IF('Model inputs'!H64="","",'Model inputs'!H64)</f>
        <v>63.94735449644058</v>
      </c>
      <c r="I313" s="9">
        <f>IF('Model inputs'!I64="","",'Model inputs'!I64)</f>
        <v>77.73847893505328</v>
      </c>
      <c r="J313" s="9">
        <f>IF('Model inputs'!J64="","",'Model inputs'!J64)</f>
        <v>91.131560867433</v>
      </c>
      <c r="K313" s="9">
        <f>IF('Model inputs'!K64="","",'Model inputs'!K64)</f>
        <v>104.1768223265935</v>
      </c>
      <c r="L313" s="9">
        <f>IF('Model inputs'!L64="","",'Model inputs'!L64)</f>
        <v>80.97747572261697</v>
      </c>
      <c r="M313" s="9">
        <f>IF('Model inputs'!M64="","",'Model inputs'!M64)</f>
        <v>88.16845249585907</v>
      </c>
      <c r="N313" s="9">
        <f>IF('Model inputs'!N64="","",'Model inputs'!N64)</f>
        <v>95.64269294993724</v>
      </c>
      <c r="O313" s="9">
        <f>IF('Model inputs'!O64="","",'Model inputs'!O64)</f>
        <v>103.34212467758014</v>
      </c>
      <c r="P313" s="9">
        <f>IF('Model inputs'!P64="","",'Model inputs'!P64)</f>
        <v>111.27355621035743</v>
      </c>
      <c r="Q313" s="9">
        <f>IF('Model inputs'!Q64="","",'Model inputs'!Q64)</f>
        <v>119.44395970697099</v>
      </c>
      <c r="R313" s="9">
        <f>IF('Model inputs'!R64="","",'Model inputs'!R64)</f>
        <v>138.51483868898342</v>
      </c>
      <c r="S313" s="9">
        <f>IF('Model inputs'!S64="","",'Model inputs'!S64)</f>
        <v>154.61375866601935</v>
      </c>
      <c r="T313" s="9">
        <f>IF('Model inputs'!T64="","",'Model inputs'!T64)</f>
        <v>171.22678024207562</v>
      </c>
      <c r="U313" s="9">
        <f>IF('Model inputs'!U64="","",'Model inputs'!U64)</f>
        <v>188.40318430341623</v>
      </c>
      <c r="V313" s="9">
        <f>IF('Model inputs'!V64="","",'Model inputs'!V64)</f>
        <v>206.19613943859596</v>
      </c>
      <c r="W313" s="9">
        <f>'Model inputs'!W284*'Model inputs'!B105+'Model inputs'!W322*'Model inputs'!B104</f>
        <v>0</v>
      </c>
      <c r="X313" s="9">
        <f>'Model inputs'!X284*'Model inputs'!B105+'Model inputs'!X322*'Model inputs'!B104</f>
        <v>0</v>
      </c>
      <c r="Y313" s="9">
        <f>'Model inputs'!Y284*'Model inputs'!B105+'Model inputs'!Y322*'Model inputs'!B104</f>
        <v>0</v>
      </c>
      <c r="Z313" s="9">
        <f>'Model inputs'!Z284*'Model inputs'!B105+'Model inputs'!Z322*'Model inputs'!B104</f>
        <v>0</v>
      </c>
      <c r="AA313" s="9">
        <f>'Model inputs'!AA284*'Model inputs'!B105+'Model inputs'!AA322*'Model inputs'!B104</f>
        <v>0</v>
      </c>
      <c r="AB313" s="9">
        <f>'Model inputs'!AB284*'Model inputs'!B105+'Model inputs'!AB322*'Model inputs'!B104</f>
        <v>0</v>
      </c>
      <c r="AC313" s="9">
        <f>'Model inputs'!AC284*'Model inputs'!B105+'Model inputs'!AC322*'Model inputs'!B104</f>
        <v>0</v>
      </c>
      <c r="AD313" s="9">
        <f>'Model inputs'!AD284*'Model inputs'!B105+'Model inputs'!AD322*'Model inputs'!B104</f>
        <v>0</v>
      </c>
      <c r="AE313" s="9">
        <f>'Model inputs'!AE284*'Model inputs'!B105+'Model inputs'!AE322*'Model inputs'!B104</f>
        <v>0</v>
      </c>
      <c r="AF313" s="9">
        <f>'Model inputs'!AF284*'Model inputs'!B105+'Model inputs'!AF322*'Model inputs'!B104</f>
        <v>0</v>
      </c>
      <c r="AG313" s="9">
        <f>'Model inputs'!AG284*'Model inputs'!B105+'Model inputs'!AG322*'Model inputs'!B104</f>
        <v>0</v>
      </c>
    </row>
    <row r="314" outlineLevel="1">
      <c r="A314" t="inlineStr" s="18">
        <is>
          <t xml:space="preserve">Payment fees &gt; Team</t>
        </is>
      </c>
      <c r="C314" s="9">
        <f>IF('Model inputs'!C65="","",'Model inputs'!C65)</f>
        <v>0</v>
      </c>
      <c r="D314" s="9">
        <f>IF('Model inputs'!D65="","",'Model inputs'!D65)</f>
        <v>0</v>
      </c>
      <c r="E314" s="9">
        <f>IF('Model inputs'!E65="","",'Model inputs'!E65)</f>
        <v>29.08668</v>
      </c>
      <c r="F314" s="9">
        <f>IF('Model inputs'!F65="","",'Model inputs'!F65)</f>
        <v>64.48558380833333</v>
      </c>
      <c r="G314" s="9">
        <f>IF('Model inputs'!G65="","",'Model inputs'!G65)</f>
        <v>95.447949102625</v>
      </c>
      <c r="H314" s="9">
        <f>IF('Model inputs'!H65="","",'Model inputs'!H65)</f>
        <v>129.23210542856012</v>
      </c>
      <c r="I314" s="9">
        <f>IF('Model inputs'!I65="","",'Model inputs'!I65)</f>
        <v>165.98368157323554</v>
      </c>
      <c r="J314" s="9">
        <f>IF('Model inputs'!J65="","",'Model inputs'!J65)</f>
        <v>205.88174904325575</v>
      </c>
      <c r="K314" s="9">
        <f>IF('Model inputs'!K65="","",'Model inputs'!K65)</f>
        <v>249.14033690066623</v>
      </c>
      <c r="L314" s="9">
        <f>IF('Model inputs'!L65="","",'Model inputs'!L65)</f>
        <v>214.56229330490257</v>
      </c>
      <c r="M314" s="9">
        <f>IF('Model inputs'!M65="","",'Model inputs'!M65)</f>
        <v>244.67742425904197</v>
      </c>
      <c r="N314" s="9">
        <f>IF('Model inputs'!N65="","",'Model inputs'!N65)</f>
        <v>271.05934994538904</v>
      </c>
      <c r="O314" s="9">
        <f>IF('Model inputs'!O65="","",'Model inputs'!O65)</f>
        <v>298.2476900426359</v>
      </c>
      <c r="P314" s="9">
        <f>IF('Model inputs'!P65="","",'Model inputs'!P65)</f>
        <v>326.26199544231343</v>
      </c>
      <c r="Q314" s="9">
        <f>IF('Model inputs'!Q65="","",'Model inputs'!Q65)</f>
        <v>355.12444708191083</v>
      </c>
      <c r="R314" s="9">
        <f>IF('Model inputs'!R65="","",'Model inputs'!R65)</f>
        <v>400.8176681715322</v>
      </c>
      <c r="S314" s="9">
        <f>IF('Model inputs'!S65="","",'Model inputs'!S65)</f>
        <v>444.2096781011634</v>
      </c>
      <c r="T314" s="9">
        <f>IF('Model inputs'!T65="","",'Model inputs'!T65)</f>
        <v>490.79061917253455</v>
      </c>
      <c r="U314" s="9">
        <f>IF('Model inputs'!U65="","",'Model inputs'!U65)</f>
        <v>540.8282309840478</v>
      </c>
      <c r="V314" s="9">
        <f>IF('Model inputs'!V65="","",'Model inputs'!V65)</f>
        <v>594.6269410012845</v>
      </c>
      <c r="W314" s="9">
        <f>'Model inputs'!W285*'Model inputs'!B105+'Model inputs'!W323*'Model inputs'!B104</f>
        <v>0</v>
      </c>
      <c r="X314" s="9">
        <f>'Model inputs'!X285*'Model inputs'!B105+'Model inputs'!X323*'Model inputs'!B104</f>
        <v>0</v>
      </c>
      <c r="Y314" s="9">
        <f>'Model inputs'!Y285*'Model inputs'!B105+'Model inputs'!Y323*'Model inputs'!B104</f>
        <v>0</v>
      </c>
      <c r="Z314" s="9">
        <f>'Model inputs'!Z285*'Model inputs'!B105+'Model inputs'!Z323*'Model inputs'!B104</f>
        <v>0</v>
      </c>
      <c r="AA314" s="9">
        <f>'Model inputs'!AA285*'Model inputs'!B105+'Model inputs'!AA323*'Model inputs'!B104</f>
        <v>0</v>
      </c>
      <c r="AB314" s="9">
        <f>'Model inputs'!AB285*'Model inputs'!B105+'Model inputs'!AB323*'Model inputs'!B104</f>
        <v>0</v>
      </c>
      <c r="AC314" s="9">
        <f>'Model inputs'!AC285*'Model inputs'!B105+'Model inputs'!AC323*'Model inputs'!B104</f>
        <v>0</v>
      </c>
      <c r="AD314" s="9">
        <f>'Model inputs'!AD285*'Model inputs'!B105+'Model inputs'!AD323*'Model inputs'!B104</f>
        <v>0</v>
      </c>
      <c r="AE314" s="9">
        <f>'Model inputs'!AE285*'Model inputs'!B105+'Model inputs'!AE323*'Model inputs'!B104</f>
        <v>0</v>
      </c>
      <c r="AF314" s="9">
        <f>'Model inputs'!AF285*'Model inputs'!B105+'Model inputs'!AF323*'Model inputs'!B104</f>
        <v>0</v>
      </c>
      <c r="AG314" s="9">
        <f>'Model inputs'!AG285*'Model inputs'!B105+'Model inputs'!AG323*'Model inputs'!B104</f>
        <v>0</v>
      </c>
    </row>
    <row r="315">
      <c r="A315" t="inlineStr" s="16">
        <is>
          <t xml:space="preserve">Render CPU per kit · Loaded COGS per kit · COGS per kit · Kit COGS</t>
        </is>
      </c>
      <c r="B315" s="20">
        <f>0.04</f>
        <v>0.04</v>
      </c>
    </row>
    <row r="316">
      <c r="A316" t="inlineStr" s="16">
        <is>
          <t xml:space="preserve">Annual renewals</t>
        </is>
      </c>
      <c r="C316" s="19">
        <f>IF('Model inputs'!C84="","",'Model inputs'!C84)</f>
        <v>0</v>
      </c>
      <c r="D316" s="19">
        <f>IF('Model inputs'!D84="","",'Model inputs'!D84)</f>
        <v>0</v>
      </c>
      <c r="E316" s="19">
        <f>IF('Model inputs'!E84="","",'Model inputs'!E84)</f>
        <v>0</v>
      </c>
      <c r="F316" s="19">
        <f>IF('Model inputs'!F84="","",'Model inputs'!F84)</f>
        <v>0</v>
      </c>
      <c r="G316" s="19">
        <f>IF('Model inputs'!G84="","",'Model inputs'!G84)</f>
        <v>0</v>
      </c>
      <c r="H316" s="19">
        <f>IF('Model inputs'!H84="","",'Model inputs'!H84)</f>
        <v>0</v>
      </c>
      <c r="I316" s="19">
        <f>IF('Model inputs'!I84="","",'Model inputs'!I84)</f>
        <v>0</v>
      </c>
      <c r="J316" s="19">
        <f>IF('Model inputs'!J84="","",'Model inputs'!J84)</f>
        <v>0</v>
      </c>
      <c r="K316" s="19">
        <f>IF('Model inputs'!K84="","",'Model inputs'!K84)</f>
        <v>0</v>
      </c>
      <c r="L316" s="19">
        <f>IF('Model inputs'!L84="","",'Model inputs'!L84)</f>
        <v>0</v>
      </c>
      <c r="M316" s="19">
        <f>IF('Model inputs'!M84="","",'Model inputs'!M84)</f>
        <v>0</v>
      </c>
      <c r="N316" s="19">
        <f>IF('Model inputs'!N84="","",'Model inputs'!N84)</f>
        <v>0</v>
      </c>
      <c r="O316" s="19">
        <f>IF('Model inputs'!O84="","",'Model inputs'!O84)</f>
        <v>0</v>
      </c>
      <c r="P316" s="19">
        <f>IF('Model inputs'!P84="","",'Model inputs'!P84)</f>
        <v>0</v>
      </c>
      <c r="Q316" s="19">
        <f>IF('Model inputs'!Q84="","",'Model inputs'!Q84)</f>
        <v>0</v>
      </c>
      <c r="R316" s="19">
        <f>IF('Model inputs'!R84="","",'Model inputs'!R84)</f>
        <v>0.44023626889365564</v>
      </c>
      <c r="S316" s="19">
        <f>IF('Model inputs'!S84="","",'Model inputs'!S84)</f>
        <v>0.7846506249110148</v>
      </c>
      <c r="T316" s="19">
        <f>IF('Model inputs'!T84="","",'Model inputs'!T84)</f>
        <v>1.1827268865760097</v>
      </c>
      <c r="U316" s="19">
        <f>IF('Model inputs'!U84="","",'Model inputs'!U84)</f>
        <v>1.640162089726508</v>
      </c>
      <c r="V316" s="19">
        <f>IF('Model inputs'!V84="","",'Model inputs'!V84)</f>
        <v>2.163464631632885</v>
      </c>
      <c r="W316" s="19">
        <f>SUM('Model inputs'!W317,'Model inputs'!W318,'Model inputs'!W319)</f>
        <v>0</v>
      </c>
      <c r="X316" s="19">
        <f>SUM('Model inputs'!X317,'Model inputs'!X318,'Model inputs'!X319)</f>
        <v>0</v>
      </c>
      <c r="Y316" s="19">
        <f>SUM('Model inputs'!Y317,'Model inputs'!Y318,'Model inputs'!Y319)</f>
        <v>0</v>
      </c>
      <c r="Z316" s="19">
        <f>SUM('Model inputs'!Z317,'Model inputs'!Z318,'Model inputs'!Z319)</f>
        <v>0</v>
      </c>
      <c r="AA316" s="19">
        <f>SUM('Model inputs'!AA317,'Model inputs'!AA318,'Model inputs'!AA319)</f>
        <v>0</v>
      </c>
      <c r="AB316" s="19">
        <f>SUM('Model inputs'!AB317,'Model inputs'!AB318,'Model inputs'!AB319)</f>
        <v>0</v>
      </c>
      <c r="AC316" s="19">
        <f>SUM('Model inputs'!AC317,'Model inputs'!AC318,'Model inputs'!AC319)</f>
        <v>0</v>
      </c>
      <c r="AD316" s="19">
        <f>SUM('Model inputs'!AD317,'Model inputs'!AD318,'Model inputs'!AD319)</f>
        <v>0</v>
      </c>
      <c r="AE316" s="19">
        <f>SUM('Model inputs'!AE317,'Model inputs'!AE318,'Model inputs'!AE319)</f>
        <v>0</v>
      </c>
      <c r="AF316" s="19">
        <f>SUM('Model inputs'!AF317,'Model inputs'!AF318,'Model inputs'!AF319)</f>
        <v>0</v>
      </c>
      <c r="AG316" s="19">
        <f>SUM('Model inputs'!AG317,'Model inputs'!AG318,'Model inputs'!AG319)</f>
        <v>0</v>
      </c>
    </row>
    <row r="317" outlineLevel="1">
      <c r="A317" t="inlineStr" s="18">
        <is>
          <t xml:space="preserve">Annual renewals &gt; Indie</t>
        </is>
      </c>
      <c r="C317" s="13">
        <f>IF('Model inputs'!C85="","",'Model inputs'!C85)</f>
        <v>0</v>
      </c>
      <c r="D317" s="13">
        <f>IF('Model inputs'!D85="","",'Model inputs'!D85)</f>
        <v>0</v>
      </c>
      <c r="E317" s="13">
        <f>IF('Model inputs'!E85="","",'Model inputs'!E85)</f>
        <v>0</v>
      </c>
      <c r="F317" s="13">
        <f>IF('Model inputs'!F85="","",'Model inputs'!F85)</f>
        <v>0</v>
      </c>
      <c r="G317" s="13">
        <f>IF('Model inputs'!G85="","",'Model inputs'!G85)</f>
        <v>0</v>
      </c>
      <c r="H317" s="13">
        <f>IF('Model inputs'!H85="","",'Model inputs'!H85)</f>
        <v>0</v>
      </c>
      <c r="I317" s="13">
        <f>IF('Model inputs'!I85="","",'Model inputs'!I85)</f>
        <v>0</v>
      </c>
      <c r="J317" s="13">
        <f>IF('Model inputs'!J85="","",'Model inputs'!J85)</f>
        <v>0</v>
      </c>
      <c r="K317" s="13">
        <f>IF('Model inputs'!K85="","",'Model inputs'!K85)</f>
        <v>0</v>
      </c>
      <c r="L317" s="13">
        <f>IF('Model inputs'!L85="","",'Model inputs'!L85)</f>
        <v>0</v>
      </c>
      <c r="M317" s="13">
        <f>IF('Model inputs'!M85="","",'Model inputs'!M85)</f>
        <v>0</v>
      </c>
      <c r="N317" s="13">
        <f>IF('Model inputs'!N85="","",'Model inputs'!N85)</f>
        <v>0</v>
      </c>
      <c r="O317" s="13">
        <f>IF('Model inputs'!O85="","",'Model inputs'!O85)</f>
        <v>0</v>
      </c>
      <c r="P317" s="13">
        <f>IF('Model inputs'!P85="","",'Model inputs'!P85)</f>
        <v>0</v>
      </c>
      <c r="Q317" s="13">
        <f>IF('Model inputs'!Q85="","",'Model inputs'!Q85)</f>
        <v>0</v>
      </c>
      <c r="R317" s="13">
        <f>IF('Model inputs'!R85="","",'Model inputs'!R85)</f>
        <v>0</v>
      </c>
      <c r="S317" s="13">
        <f>IF('Model inputs'!S85="","",'Model inputs'!S85)</f>
        <v>0</v>
      </c>
      <c r="T317" s="13">
        <f>IF('Model inputs'!T85="","",'Model inputs'!T85)</f>
        <v>0</v>
      </c>
      <c r="U317" s="13">
        <f>IF('Model inputs'!U85="","",'Model inputs'!U85)</f>
        <v>0</v>
      </c>
      <c r="V317" s="13">
        <f>IF('Model inputs'!V85="","",'Model inputs'!V85)</f>
        <v>0</v>
      </c>
      <c r="W317" s="13">
        <f>0*(1-'Model inputs'!B232)^12</f>
        <v>0</v>
      </c>
      <c r="X317" s="13">
        <f>0*(1-'Model inputs'!B232)^12</f>
        <v>0</v>
      </c>
      <c r="Y317" s="13">
        <f>0*(1-'Model inputs'!B232)^12</f>
        <v>0</v>
      </c>
      <c r="Z317" s="13">
        <f>0*(1-'Model inputs'!B232)^12</f>
        <v>0</v>
      </c>
      <c r="AA317" s="13">
        <f>0*(1-'Model inputs'!B232)^12</f>
        <v>0</v>
      </c>
      <c r="AB317" s="13">
        <f>0*(1-'Model inputs'!B232)^12</f>
        <v>0</v>
      </c>
      <c r="AC317" s="13">
        <f>0*(1-'Model inputs'!B232)^12</f>
        <v>0</v>
      </c>
      <c r="AD317" s="13">
        <f>0*(1-'Model inputs'!B232)^12</f>
        <v>0</v>
      </c>
      <c r="AE317" s="13">
        <f>0*(1-'Model inputs'!B232)^12</f>
        <v>0</v>
      </c>
      <c r="AF317" s="13">
        <f>0*(1-'Model inputs'!B232)^12</f>
        <v>0</v>
      </c>
      <c r="AG317" s="13">
        <f>0*(1-'Model inputs'!B232)^12</f>
        <v>0</v>
      </c>
    </row>
    <row r="318" outlineLevel="1">
      <c r="A318" t="inlineStr" s="18">
        <is>
          <t xml:space="preserve">Annual renewals &gt; Launch</t>
        </is>
      </c>
      <c r="C318" s="13">
        <f>IF('Model inputs'!C86="","",'Model inputs'!C86)</f>
        <v>0</v>
      </c>
      <c r="D318" s="13">
        <f>IF('Model inputs'!D86="","",'Model inputs'!D86)</f>
        <v>0</v>
      </c>
      <c r="E318" s="13">
        <f>IF('Model inputs'!E86="","",'Model inputs'!E86)</f>
        <v>0</v>
      </c>
      <c r="F318" s="13">
        <f>IF('Model inputs'!F86="","",'Model inputs'!F86)</f>
        <v>0</v>
      </c>
      <c r="G318" s="13">
        <f>IF('Model inputs'!G86="","",'Model inputs'!G86)</f>
        <v>0</v>
      </c>
      <c r="H318" s="13">
        <f>IF('Model inputs'!H86="","",'Model inputs'!H86)</f>
        <v>0</v>
      </c>
      <c r="I318" s="13">
        <f>IF('Model inputs'!I86="","",'Model inputs'!I86)</f>
        <v>0</v>
      </c>
      <c r="J318" s="13">
        <f>IF('Model inputs'!J86="","",'Model inputs'!J86)</f>
        <v>0</v>
      </c>
      <c r="K318" s="13">
        <f>IF('Model inputs'!K86="","",'Model inputs'!K86)</f>
        <v>0</v>
      </c>
      <c r="L318" s="13">
        <f>IF('Model inputs'!L86="","",'Model inputs'!L86)</f>
        <v>0</v>
      </c>
      <c r="M318" s="13">
        <f>IF('Model inputs'!M86="","",'Model inputs'!M86)</f>
        <v>0</v>
      </c>
      <c r="N318" s="13">
        <f>IF('Model inputs'!N86="","",'Model inputs'!N86)</f>
        <v>0</v>
      </c>
      <c r="O318" s="13">
        <f>IF('Model inputs'!O86="","",'Model inputs'!O86)</f>
        <v>0</v>
      </c>
      <c r="P318" s="13">
        <f>IF('Model inputs'!P86="","",'Model inputs'!P86)</f>
        <v>0</v>
      </c>
      <c r="Q318" s="13">
        <f>IF('Model inputs'!Q86="","",'Model inputs'!Q86)</f>
        <v>0</v>
      </c>
      <c r="R318" s="13">
        <f>IF('Model inputs'!R86="","",'Model inputs'!R86)</f>
        <v>0.0734731242113589</v>
      </c>
      <c r="S318" s="13">
        <f>IF('Model inputs'!S86="","",'Model inputs'!S86)</f>
        <v>0.12470305751333749</v>
      </c>
      <c r="T318" s="13">
        <f>IF('Model inputs'!T86="","",'Model inputs'!T86)</f>
        <v>0.17767725998323847</v>
      </c>
      <c r="U318" s="13">
        <f>IF('Model inputs'!U86="","",'Model inputs'!U86)</f>
        <v>0.2326809803658907</v>
      </c>
      <c r="V318" s="13">
        <f>IF('Model inputs'!V86="","",'Model inputs'!V86)</f>
        <v>0.290024176836067</v>
      </c>
      <c r="W318" s="13">
        <f>0*(1-'Model inputs'!B233)^12</f>
        <v>0</v>
      </c>
      <c r="X318" s="13">
        <f>0*(1-'Model inputs'!B233)^12</f>
        <v>0</v>
      </c>
      <c r="Y318" s="13">
        <f>0*(1-'Model inputs'!B233)^12</f>
        <v>0</v>
      </c>
      <c r="Z318" s="13">
        <f>0*(1-'Model inputs'!B233)^12</f>
        <v>0</v>
      </c>
      <c r="AA318" s="13">
        <f>0*(1-'Model inputs'!B233)^12</f>
        <v>0</v>
      </c>
      <c r="AB318" s="13">
        <f>0*(1-'Model inputs'!B233)^12</f>
        <v>0</v>
      </c>
      <c r="AC318" s="13">
        <f>0*(1-'Model inputs'!B233)^12</f>
        <v>0</v>
      </c>
      <c r="AD318" s="13">
        <f>0*(1-'Model inputs'!B233)^12</f>
        <v>0</v>
      </c>
      <c r="AE318" s="13">
        <f>0*(1-'Model inputs'!B233)^12</f>
        <v>0</v>
      </c>
      <c r="AF318" s="13">
        <f>0*(1-'Model inputs'!B233)^12</f>
        <v>0</v>
      </c>
      <c r="AG318" s="13">
        <f>0*(1-'Model inputs'!B233)^12</f>
        <v>0</v>
      </c>
    </row>
    <row r="319" outlineLevel="1">
      <c r="A319" t="inlineStr" s="18">
        <is>
          <t xml:space="preserve">Annual renewals &gt; Team</t>
        </is>
      </c>
      <c r="C319" s="13">
        <f>IF('Model inputs'!C87="","",'Model inputs'!C87)</f>
        <v>0</v>
      </c>
      <c r="D319" s="13">
        <f>IF('Model inputs'!D87="","",'Model inputs'!D87)</f>
        <v>0</v>
      </c>
      <c r="E319" s="13">
        <f>IF('Model inputs'!E87="","",'Model inputs'!E87)</f>
        <v>0</v>
      </c>
      <c r="F319" s="13">
        <f>IF('Model inputs'!F87="","",'Model inputs'!F87)</f>
        <v>0</v>
      </c>
      <c r="G319" s="13">
        <f>IF('Model inputs'!G87="","",'Model inputs'!G87)</f>
        <v>0</v>
      </c>
      <c r="H319" s="13">
        <f>IF('Model inputs'!H87="","",'Model inputs'!H87)</f>
        <v>0</v>
      </c>
      <c r="I319" s="13">
        <f>IF('Model inputs'!I87="","",'Model inputs'!I87)</f>
        <v>0</v>
      </c>
      <c r="J319" s="13">
        <f>IF('Model inputs'!J87="","",'Model inputs'!J87)</f>
        <v>0</v>
      </c>
      <c r="K319" s="13">
        <f>IF('Model inputs'!K87="","",'Model inputs'!K87)</f>
        <v>0</v>
      </c>
      <c r="L319" s="13">
        <f>IF('Model inputs'!L87="","",'Model inputs'!L87)</f>
        <v>0</v>
      </c>
      <c r="M319" s="13">
        <f>IF('Model inputs'!M87="","",'Model inputs'!M87)</f>
        <v>0</v>
      </c>
      <c r="N319" s="13">
        <f>IF('Model inputs'!N87="","",'Model inputs'!N87)</f>
        <v>0</v>
      </c>
      <c r="O319" s="13">
        <f>IF('Model inputs'!O87="","",'Model inputs'!O87)</f>
        <v>0</v>
      </c>
      <c r="P319" s="13">
        <f>IF('Model inputs'!P87="","",'Model inputs'!P87)</f>
        <v>0</v>
      </c>
      <c r="Q319" s="13">
        <f>IF('Model inputs'!Q87="","",'Model inputs'!Q87)</f>
        <v>0</v>
      </c>
      <c r="R319" s="13">
        <f>IF('Model inputs'!R87="","",'Model inputs'!R87)</f>
        <v>0.3667631446822967</v>
      </c>
      <c r="S319" s="13">
        <f>IF('Model inputs'!S87="","",'Model inputs'!S87)</f>
        <v>0.6599475673976773</v>
      </c>
      <c r="T319" s="13">
        <f>IF('Model inputs'!T87="","",'Model inputs'!T87)</f>
        <v>1.0050496265927713</v>
      </c>
      <c r="U319" s="13">
        <f>IF('Model inputs'!U87="","",'Model inputs'!U87)</f>
        <v>1.4074811093606172</v>
      </c>
      <c r="V319" s="13">
        <f>IF('Model inputs'!V87="","",'Model inputs'!V87)</f>
        <v>1.873440454796818</v>
      </c>
      <c r="W319" s="13">
        <f>0*(1-'Model inputs'!B234)^12</f>
        <v>0</v>
      </c>
      <c r="X319" s="13">
        <f>0*(1-'Model inputs'!B234)^12</f>
        <v>0</v>
      </c>
      <c r="Y319" s="13">
        <f>0*(1-'Model inputs'!B234)^12</f>
        <v>0</v>
      </c>
      <c r="Z319" s="13">
        <f>0*(1-'Model inputs'!B234)^12</f>
        <v>0</v>
      </c>
      <c r="AA319" s="13">
        <f>0*(1-'Model inputs'!B234)^12</f>
        <v>0</v>
      </c>
      <c r="AB319" s="13">
        <f>0*(1-'Model inputs'!B234)^12</f>
        <v>0</v>
      </c>
      <c r="AC319" s="13">
        <f>0*(1-'Model inputs'!B234)^12</f>
        <v>0</v>
      </c>
      <c r="AD319" s="13">
        <f>0*(1-'Model inputs'!B234)^12</f>
        <v>0</v>
      </c>
      <c r="AE319" s="13">
        <f>0*(1-'Model inputs'!B234)^12</f>
        <v>0</v>
      </c>
      <c r="AF319" s="13">
        <f>0*(1-'Model inputs'!B234)^12</f>
        <v>0</v>
      </c>
      <c r="AG319" s="13">
        <f>0*(1-'Model inputs'!B234)^12</f>
        <v>0</v>
      </c>
    </row>
    <row r="320">
      <c r="A320" t="inlineStr" s="16">
        <is>
          <t xml:space="preserve">Card charges</t>
        </is>
      </c>
      <c r="C320" s="14">
        <f>IF('Model inputs'!C100="","",'Model inputs'!C100)</f>
        <v>0</v>
      </c>
      <c r="D320" s="14">
        <f>IF('Model inputs'!D100="","",'Model inputs'!D100)</f>
        <v>0</v>
      </c>
      <c r="E320" s="14">
        <f>IF('Model inputs'!E100="","",'Model inputs'!E100)</f>
        <v>47</v>
      </c>
      <c r="F320" s="14">
        <f>IF('Model inputs'!F100="","",'Model inputs'!F100)</f>
        <v>84.905</v>
      </c>
      <c r="G320" s="14">
        <f>IF('Model inputs'!G100="","",'Model inputs'!G100)</f>
        <v>110.35099861111111</v>
      </c>
      <c r="H320" s="14">
        <f>IF('Model inputs'!H100="","",'Model inputs'!H100)</f>
        <v>136.39833793553242</v>
      </c>
      <c r="I320" s="14">
        <f>IF('Model inputs'!I100="","",'Model inputs'!I100)</f>
        <v>163.1386394629229</v>
      </c>
      <c r="J320" s="14">
        <f>IF('Model inputs'!J100="","",'Model inputs'!J100)</f>
        <v>190.66619745317232</v>
      </c>
      <c r="K320" s="14">
        <f>IF('Model inputs'!K100="","",'Model inputs'!K100)</f>
        <v>219.07804106079942</v>
      </c>
      <c r="L320" s="14">
        <f>IF('Model inputs'!L100="","",'Model inputs'!L100)</f>
        <v>248.47397482800056</v>
      </c>
      <c r="M320" s="14">
        <f>IF('Model inputs'!M100="","",'Model inputs'!M100)</f>
        <v>281.26001013025916</v>
      </c>
      <c r="N320" s="14">
        <f>IF('Model inputs'!N100="","",'Model inputs'!N100)</f>
        <v>313.92842080156595</v>
      </c>
      <c r="O320" s="14">
        <f>IF('Model inputs'!O100="","",'Model inputs'!O100)</f>
        <v>346.6637111423637</v>
      </c>
      <c r="P320" s="14">
        <f>IF('Model inputs'!P100="","",'Model inputs'!P100)</f>
        <v>379.5448779461048</v>
      </c>
      <c r="Q320" s="14">
        <f>IF('Model inputs'!Q100="","",'Model inputs'!Q100)</f>
        <v>412.64917506109316</v>
      </c>
      <c r="R320" s="14">
        <f>IF('Model inputs'!R100="","",'Model inputs'!R100)</f>
        <v>446.4926009328778</v>
      </c>
      <c r="S320" s="14">
        <f>IF('Model inputs'!S100="","",'Model inputs'!S100)</f>
        <v>480.613608003025</v>
      </c>
      <c r="T320" s="14">
        <f>IF('Model inputs'!T100="","",'Model inputs'!T100)</f>
        <v>515.2351690842696</v>
      </c>
      <c r="U320" s="14">
        <f>IF('Model inputs'!U100="","",'Model inputs'!U100)</f>
        <v>550.4356692134742</v>
      </c>
      <c r="V320" s="14">
        <f>IF('Model inputs'!V100="","",'Model inputs'!V100)</f>
        <v>586.2937159981817</v>
      </c>
      <c r="W320" s="14">
        <f>SUM('Model inputs'!W321,'Model inputs'!W322,'Model inputs'!W323)</f>
        <v>0</v>
      </c>
      <c r="X320" s="14">
        <f>SUM('Model inputs'!X321,'Model inputs'!X322,'Model inputs'!X323)</f>
        <v>0</v>
      </c>
      <c r="Y320" s="14">
        <f>SUM('Model inputs'!Y321,'Model inputs'!Y322,'Model inputs'!Y323)</f>
        <v>0</v>
      </c>
      <c r="Z320" s="14">
        <f>SUM('Model inputs'!Z321,'Model inputs'!Z322,'Model inputs'!Z323)</f>
        <v>0</v>
      </c>
      <c r="AA320" s="14">
        <f>SUM('Model inputs'!AA321,'Model inputs'!AA322,'Model inputs'!AA323)</f>
        <v>0</v>
      </c>
      <c r="AB320" s="14">
        <f>SUM('Model inputs'!AB321,'Model inputs'!AB322,'Model inputs'!AB323)</f>
        <v>0</v>
      </c>
      <c r="AC320" s="14">
        <f>SUM('Model inputs'!AC321,'Model inputs'!AC322,'Model inputs'!AC323)</f>
        <v>0</v>
      </c>
      <c r="AD320" s="14">
        <f>SUM('Model inputs'!AD321,'Model inputs'!AD322,'Model inputs'!AD323)</f>
        <v>0</v>
      </c>
      <c r="AE320" s="14">
        <f>SUM('Model inputs'!AE321,'Model inputs'!AE322,'Model inputs'!AE323)</f>
        <v>0</v>
      </c>
      <c r="AF320" s="14">
        <f>SUM('Model inputs'!AF321,'Model inputs'!AF322,'Model inputs'!AF323)</f>
        <v>0</v>
      </c>
      <c r="AG320" s="14">
        <f>SUM('Model inputs'!AG321,'Model inputs'!AG322,'Model inputs'!AG323)</f>
        <v>0</v>
      </c>
    </row>
    <row r="321" outlineLevel="1">
      <c r="A321" t="inlineStr" s="18">
        <is>
          <t xml:space="preserve">Card charges &gt; Indie</t>
        </is>
      </c>
      <c r="C321" s="17">
        <f>IF('Model inputs'!C101="","",'Model inputs'!C101)</f>
        <v>0</v>
      </c>
      <c r="D321" s="17">
        <f>IF('Model inputs'!D101="","",'Model inputs'!D101)</f>
        <v>0</v>
      </c>
      <c r="E321" s="17">
        <f>IF('Model inputs'!E101="","",'Model inputs'!E101)</f>
        <v>40</v>
      </c>
      <c r="F321" s="17">
        <f>IF('Model inputs'!F101="","",'Model inputs'!F101)</f>
        <v>74.33333333333333</v>
      </c>
      <c r="G321" s="17">
        <f>IF('Model inputs'!G101="","",'Model inputs'!G101)</f>
        <v>96.37777777777778</v>
      </c>
      <c r="H321" s="17">
        <f>IF('Model inputs'!H101="","",'Model inputs'!H101)</f>
        <v>119.1125925925926</v>
      </c>
      <c r="I321" s="17">
        <f>IF('Model inputs'!I101="","",'Model inputs'!I101)</f>
        <v>142.66455308641977</v>
      </c>
      <c r="J321" s="17">
        <f>IF('Model inputs'!J101="","",'Model inputs'!J101)</f>
        <v>167.16580688065847</v>
      </c>
      <c r="K321" s="17">
        <f>IF('Model inputs'!K101="","",'Model inputs'!K101)</f>
        <v>192.75462167528124</v>
      </c>
      <c r="L321" s="17">
        <f>IF('Model inputs'!L101="","",'Model inputs'!L101)</f>
        <v>219.57617163719584</v>
      </c>
      <c r="M321" s="17">
        <f>IF('Model inputs'!M101="","",'Model inputs'!M101)</f>
        <v>247.78336691420412</v>
      </c>
      <c r="N321" s="17">
        <f>IF('Model inputs'!N101="","",'Model inputs'!N101)</f>
        <v>275.8239067748581</v>
      </c>
      <c r="O321" s="17">
        <f>IF('Model inputs'!O101="","",'Model inputs'!O101)</f>
        <v>303.77745455099915</v>
      </c>
      <c r="P321" s="17">
        <f>IF('Model inputs'!P101="","",'Model inputs'!P101)</f>
        <v>331.7211048045094</v>
      </c>
      <c r="Q321" s="17">
        <f>IF('Model inputs'!Q101="","",'Model inputs'!Q101)</f>
        <v>359.72966426339536</v>
      </c>
      <c r="R321" s="17">
        <f>IF('Model inputs'!R101="","",'Model inputs'!R101)</f>
        <v>387.87591841618973</v>
      </c>
      <c r="S321" s="17">
        <f>IF('Model inputs'!S101="","",'Model inputs'!S101)</f>
        <v>416.23088489627867</v>
      </c>
      <c r="T321" s="17">
        <f>IF('Model inputs'!T101="","",'Model inputs'!T101)</f>
        <v>444.8640547193417</v>
      </c>
      <c r="U321" s="17">
        <f>IF('Model inputs'!U101="","",'Model inputs'!U101)</f>
        <v>473.8436223735132</v>
      </c>
      <c r="V321" s="17">
        <f>IF('Model inputs'!V101="","",'Model inputs'!V101)</f>
        <v>503.23670570282496</v>
      </c>
      <c r="W321" s="17">
        <f>'Model inputs'!W333+'Model inputs'!W237+'Model inputs'!W317</f>
        <v>0</v>
      </c>
      <c r="X321" s="17">
        <f>'Model inputs'!X333+'Model inputs'!X237+'Model inputs'!X317</f>
        <v>0</v>
      </c>
      <c r="Y321" s="17">
        <f>'Model inputs'!Y333+'Model inputs'!Y237+'Model inputs'!Y317</f>
        <v>0</v>
      </c>
      <c r="Z321" s="17">
        <f>'Model inputs'!Z333+'Model inputs'!Z237+'Model inputs'!Z317</f>
        <v>0</v>
      </c>
      <c r="AA321" s="17">
        <f>'Model inputs'!AA333+'Model inputs'!AA237+'Model inputs'!AA317</f>
        <v>0</v>
      </c>
      <c r="AB321" s="17">
        <f>'Model inputs'!AB333+'Model inputs'!AB237+'Model inputs'!AB317</f>
        <v>0</v>
      </c>
      <c r="AC321" s="17">
        <f>'Model inputs'!AC333+'Model inputs'!AC237+'Model inputs'!AC317</f>
        <v>0</v>
      </c>
      <c r="AD321" s="17">
        <f>'Model inputs'!AD333+'Model inputs'!AD237+'Model inputs'!AD317</f>
        <v>0</v>
      </c>
      <c r="AE321" s="17">
        <f>'Model inputs'!AE333+'Model inputs'!AE237+'Model inputs'!AE317</f>
        <v>0</v>
      </c>
      <c r="AF321" s="17">
        <f>'Model inputs'!AF333+'Model inputs'!AF237+'Model inputs'!AF317</f>
        <v>0</v>
      </c>
      <c r="AG321" s="17">
        <f>'Model inputs'!AG333+'Model inputs'!AG237+'Model inputs'!AG317</f>
        <v>0</v>
      </c>
    </row>
    <row r="322" outlineLevel="1">
      <c r="A322" t="inlineStr" s="18">
        <is>
          <t xml:space="preserve">Card charges &gt; Launch</t>
        </is>
      </c>
      <c r="C322" s="17">
        <f>IF('Model inputs'!C102="","",'Model inputs'!C102)</f>
        <v>0</v>
      </c>
      <c r="D322" s="17">
        <f>IF('Model inputs'!D102="","",'Model inputs'!D102)</f>
        <v>0</v>
      </c>
      <c r="E322" s="17">
        <f>IF('Model inputs'!E102="","",'Model inputs'!E102)</f>
        <v>1</v>
      </c>
      <c r="F322" s="17">
        <f>IF('Model inputs'!F102="","",'Model inputs'!F102)</f>
        <v>1.51</v>
      </c>
      <c r="G322" s="17">
        <f>IF('Model inputs'!G102="","",'Model inputs'!G102)</f>
        <v>1.9383448611111107</v>
      </c>
      <c r="H322" s="17">
        <f>IF('Model inputs'!H102="","",'Model inputs'!H102)</f>
        <v>2.314293530902777</v>
      </c>
      <c r="I322" s="17">
        <f>IF('Model inputs'!I102="","",'Model inputs'!I102)</f>
        <v>2.638063282237991</v>
      </c>
      <c r="J322" s="17">
        <f>IF('Model inputs'!J102="","",'Model inputs'!J102)</f>
        <v>2.909637019333771</v>
      </c>
      <c r="K322" s="17">
        <f>IF('Model inputs'!K102="","",'Model inputs'!K102)</f>
        <v>3.128751273746695</v>
      </c>
      <c r="L322" s="17">
        <f>IF('Model inputs'!L102="","",'Model inputs'!L102)</f>
        <v>3.294880802181151</v>
      </c>
      <c r="M322" s="17">
        <f>IF('Model inputs'!M102="","",'Model inputs'!M102)</f>
        <v>3.6790977370198386</v>
      </c>
      <c r="N322" s="17">
        <f>IF('Model inputs'!N102="","",'Model inputs'!N102)</f>
        <v>4.074907321600538</v>
      </c>
      <c r="O322" s="17">
        <f>IF('Model inputs'!O102="","",'Model inputs'!O102)</f>
        <v>4.482280278889159</v>
      </c>
      <c r="P322" s="17">
        <f>IF('Model inputs'!P102="","",'Model inputs'!P102)</f>
        <v>4.9016314275776</v>
      </c>
      <c r="Q322" s="17">
        <f>IF('Model inputs'!Q102="","",'Model inputs'!Q102)</f>
        <v>5.333375541298454</v>
      </c>
      <c r="R322" s="17">
        <f>IF('Model inputs'!R102="","",'Model inputs'!R102)</f>
        <v>5.85140272496222</v>
      </c>
      <c r="S322" s="17">
        <f>IF('Model inputs'!S102="","",'Model inputs'!S102)</f>
        <v>6.360417997036922</v>
      </c>
      <c r="T322" s="17">
        <f>IF('Model inputs'!T102="","",'Model inputs'!T102)</f>
        <v>6.884836554120148</v>
      </c>
      <c r="U322" s="17">
        <f>IF('Model inputs'!U102="","",'Model inputs'!U102)</f>
        <v>7.425379748567756</v>
      </c>
      <c r="V322" s="17">
        <f>IF('Model inputs'!V102="","",'Model inputs'!V102)</f>
        <v>7.982803896855035</v>
      </c>
      <c r="W322" s="17">
        <f>'Model inputs'!W334+'Model inputs'!W238+'Model inputs'!W318</f>
        <v>0</v>
      </c>
      <c r="X322" s="17">
        <f>'Model inputs'!X334+'Model inputs'!X238+'Model inputs'!X318</f>
        <v>0</v>
      </c>
      <c r="Y322" s="17">
        <f>'Model inputs'!Y334+'Model inputs'!Y238+'Model inputs'!Y318</f>
        <v>0</v>
      </c>
      <c r="Z322" s="17">
        <f>'Model inputs'!Z334+'Model inputs'!Z238+'Model inputs'!Z318</f>
        <v>0</v>
      </c>
      <c r="AA322" s="17">
        <f>'Model inputs'!AA334+'Model inputs'!AA238+'Model inputs'!AA318</f>
        <v>0</v>
      </c>
      <c r="AB322" s="17">
        <f>'Model inputs'!AB334+'Model inputs'!AB238+'Model inputs'!AB318</f>
        <v>0</v>
      </c>
      <c r="AC322" s="17">
        <f>'Model inputs'!AC334+'Model inputs'!AC238+'Model inputs'!AC318</f>
        <v>0</v>
      </c>
      <c r="AD322" s="17">
        <f>'Model inputs'!AD334+'Model inputs'!AD238+'Model inputs'!AD318</f>
        <v>0</v>
      </c>
      <c r="AE322" s="17">
        <f>'Model inputs'!AE334+'Model inputs'!AE238+'Model inputs'!AE318</f>
        <v>0</v>
      </c>
      <c r="AF322" s="17">
        <f>'Model inputs'!AF334+'Model inputs'!AF238+'Model inputs'!AF318</f>
        <v>0</v>
      </c>
      <c r="AG322" s="17">
        <f>'Model inputs'!AG334+'Model inputs'!AG238+'Model inputs'!AG318</f>
        <v>0</v>
      </c>
    </row>
    <row r="323" outlineLevel="1">
      <c r="A323" t="inlineStr" s="18">
        <is>
          <t xml:space="preserve">Card charges &gt; Team</t>
        </is>
      </c>
      <c r="C323" s="17">
        <f>IF('Model inputs'!C103="","",'Model inputs'!C103)</f>
        <v>0</v>
      </c>
      <c r="D323" s="17">
        <f>IF('Model inputs'!D103="","",'Model inputs'!D103)</f>
        <v>0</v>
      </c>
      <c r="E323" s="17">
        <f>IF('Model inputs'!E103="","",'Model inputs'!E103)</f>
        <v>6</v>
      </c>
      <c r="F323" s="17">
        <f>IF('Model inputs'!F103="","",'Model inputs'!F103)</f>
        <v>9.061666666666667</v>
      </c>
      <c r="G323" s="17">
        <f>IF('Model inputs'!G103="","",'Model inputs'!G103)</f>
        <v>12.034875972222222</v>
      </c>
      <c r="H323" s="17">
        <f>IF('Model inputs'!H103="","",'Model inputs'!H103)</f>
        <v>14.971451812037037</v>
      </c>
      <c r="I323" s="17">
        <f>IF('Model inputs'!I103="","",'Model inputs'!I103)</f>
        <v>17.836023094265144</v>
      </c>
      <c r="J323" s="17">
        <f>IF('Model inputs'!J103="","",'Model inputs'!J103)</f>
        <v>20.59075355318007</v>
      </c>
      <c r="K323" s="17">
        <f>IF('Model inputs'!K103="","",'Model inputs'!K103)</f>
        <v>23.194668111771485</v>
      </c>
      <c r="L323" s="17">
        <f>IF('Model inputs'!L103="","",'Model inputs'!L103)</f>
        <v>25.60292238862356</v>
      </c>
      <c r="M323" s="17">
        <f>IF('Model inputs'!M103="","",'Model inputs'!M103)</f>
        <v>29.797545479035175</v>
      </c>
      <c r="N323" s="17">
        <f>IF('Model inputs'!N103="","",'Model inputs'!N103)</f>
        <v>34.02960670510733</v>
      </c>
      <c r="O323" s="17">
        <f>IF('Model inputs'!O103="","",'Model inputs'!O103)</f>
        <v>38.40397631247539</v>
      </c>
      <c r="P323" s="17">
        <f>IF('Model inputs'!P103="","",'Model inputs'!P103)</f>
        <v>42.92214171401777</v>
      </c>
      <c r="Q323" s="17">
        <f>IF('Model inputs'!Q103="","",'Model inputs'!Q103)</f>
        <v>47.58613525639933</v>
      </c>
      <c r="R323" s="17">
        <f>IF('Model inputs'!R103="","",'Model inputs'!R103)</f>
        <v>52.765279791725845</v>
      </c>
      <c r="S323" s="17">
        <f>IF('Model inputs'!S103="","",'Model inputs'!S103)</f>
        <v>58.022305109709365</v>
      </c>
      <c r="T323" s="17">
        <f>IF('Model inputs'!T103="","",'Model inputs'!T103)</f>
        <v>63.48627781080772</v>
      </c>
      <c r="U323" s="17">
        <f>IF('Model inputs'!U103="","",'Model inputs'!U103)</f>
        <v>69.1666670913932</v>
      </c>
      <c r="V323" s="17">
        <f>IF('Model inputs'!V103="","",'Model inputs'!V103)</f>
        <v>75.07420639850176</v>
      </c>
      <c r="W323" s="17">
        <f>'Model inputs'!W335+'Model inputs'!W239+'Model inputs'!W319</f>
        <v>0</v>
      </c>
      <c r="X323" s="17">
        <f>'Model inputs'!X335+'Model inputs'!X239+'Model inputs'!X319</f>
        <v>0</v>
      </c>
      <c r="Y323" s="17">
        <f>'Model inputs'!Y335+'Model inputs'!Y239+'Model inputs'!Y319</f>
        <v>0</v>
      </c>
      <c r="Z323" s="17">
        <f>'Model inputs'!Z335+'Model inputs'!Z239+'Model inputs'!Z319</f>
        <v>0</v>
      </c>
      <c r="AA323" s="17">
        <f>'Model inputs'!AA335+'Model inputs'!AA239+'Model inputs'!AA319</f>
        <v>0</v>
      </c>
      <c r="AB323" s="17">
        <f>'Model inputs'!AB335+'Model inputs'!AB239+'Model inputs'!AB319</f>
        <v>0</v>
      </c>
      <c r="AC323" s="17">
        <f>'Model inputs'!AC335+'Model inputs'!AC239+'Model inputs'!AC319</f>
        <v>0</v>
      </c>
      <c r="AD323" s="17">
        <f>'Model inputs'!AD335+'Model inputs'!AD239+'Model inputs'!AD319</f>
        <v>0</v>
      </c>
      <c r="AE323" s="17">
        <f>'Model inputs'!AE335+'Model inputs'!AE239+'Model inputs'!AE319</f>
        <v>0</v>
      </c>
      <c r="AF323" s="17">
        <f>'Model inputs'!AF335+'Model inputs'!AF239+'Model inputs'!AF319</f>
        <v>0</v>
      </c>
      <c r="AG323" s="17">
        <f>'Model inputs'!AG335+'Model inputs'!AG239+'Model inputs'!AG319</f>
        <v>0</v>
      </c>
    </row>
    <row r="324">
      <c r="A324" t="inlineStr" s="16">
        <is>
          <t xml:space="preserve">Kits generated</t>
        </is>
      </c>
      <c r="C324" s="14">
        <f>IF('Model inputs'!C112="","",'Model inputs'!C112)</f>
        <v>0</v>
      </c>
      <c r="D324" s="14">
        <f>IF('Model inputs'!D112="","",'Model inputs'!D112)</f>
        <v>0</v>
      </c>
      <c r="E324" s="14">
        <f>IF('Model inputs'!E112="","",'Model inputs'!E112)</f>
        <v>828</v>
      </c>
      <c r="F324" s="14">
        <f>IF('Model inputs'!F112="","",'Model inputs'!F112)</f>
        <v>1368.7916666666665</v>
      </c>
      <c r="G324" s="14">
        <f>IF('Model inputs'!G112="","",'Model inputs'!G112)</f>
        <v>1826.121059722222</v>
      </c>
      <c r="H324" s="14">
        <f>IF('Model inputs'!H112="","",'Model inputs'!H112)</f>
        <v>2307.5384331400464</v>
      </c>
      <c r="I324" s="14">
        <f>IF('Model inputs'!I112="","",'Model inputs'!I112)</f>
        <v>2815.60018657172</v>
      </c>
      <c r="J324" s="14">
        <f>IF('Model inputs'!J112="","",'Model inputs'!J112)</f>
        <v>3353.0799466515737</v>
      </c>
      <c r="K324" s="14">
        <f>IF('Model inputs'!K112="","",'Model inputs'!K112)</f>
        <v>3922.9894035737357</v>
      </c>
      <c r="L324" s="14">
        <f>IF('Model inputs'!L112="","",'Model inputs'!L112)</f>
        <v>4528.601033265272</v>
      </c>
      <c r="M324" s="14">
        <f>IF('Model inputs'!M112="","",'Model inputs'!M112)</f>
        <v>5173.472886027722</v>
      </c>
      <c r="N324" s="14">
        <f>IF('Model inputs'!N112="","",'Model inputs'!N112)</f>
        <v>5830.4219865033065</v>
      </c>
      <c r="O324" s="14">
        <f>IF('Model inputs'!O112="","",'Model inputs'!O112)</f>
        <v>6500.301380559953</v>
      </c>
      <c r="P324" s="14">
        <f>IF('Model inputs'!P112="","",'Model inputs'!P112)</f>
        <v>7183.982147804838</v>
      </c>
      <c r="Q324" s="14">
        <f>IF('Model inputs'!Q112="","",'Model inputs'!Q112)</f>
        <v>7882.355052921401</v>
      </c>
      <c r="R324" s="14">
        <f>IF('Model inputs'!R112="","",'Model inputs'!R112)</f>
        <v>8596.332203674476</v>
      </c>
      <c r="S324" s="14">
        <f>IF('Model inputs'!S112="","",'Model inputs'!S112)</f>
        <v>9326.848719753849</v>
      </c>
      <c r="T324" s="14">
        <f>IF('Model inputs'!T112="","",'Model inputs'!T112)</f>
        <v>10074.864416534487</v>
      </c>
      <c r="U324" s="14">
        <f>IF('Model inputs'!U112="","",'Model inputs'!U112)</f>
        <v>10841.365507753188</v>
      </c>
      <c r="V324" s="14">
        <f>IF('Model inputs'!V112="","",'Model inputs'!V112)</f>
        <v>11627.366331035839</v>
      </c>
      <c r="W324" s="14">
        <f>SUM('Model inputs'!W325,'Model inputs'!W326,'Model inputs'!W327)</f>
        <v>0</v>
      </c>
      <c r="X324" s="14">
        <f>SUM('Model inputs'!X325,'Model inputs'!X326,'Model inputs'!X327)</f>
        <v>0</v>
      </c>
      <c r="Y324" s="14">
        <f>SUM('Model inputs'!Y325,'Model inputs'!Y326,'Model inputs'!Y327)</f>
        <v>0</v>
      </c>
      <c r="Z324" s="14">
        <f>SUM('Model inputs'!Z325,'Model inputs'!Z326,'Model inputs'!Z327)</f>
        <v>0</v>
      </c>
      <c r="AA324" s="14">
        <f>SUM('Model inputs'!AA325,'Model inputs'!AA326,'Model inputs'!AA327)</f>
        <v>0</v>
      </c>
      <c r="AB324" s="14">
        <f>SUM('Model inputs'!AB325,'Model inputs'!AB326,'Model inputs'!AB327)</f>
        <v>0</v>
      </c>
      <c r="AC324" s="14">
        <f>SUM('Model inputs'!AC325,'Model inputs'!AC326,'Model inputs'!AC327)</f>
        <v>0</v>
      </c>
      <c r="AD324" s="14">
        <f>SUM('Model inputs'!AD325,'Model inputs'!AD326,'Model inputs'!AD327)</f>
        <v>0</v>
      </c>
      <c r="AE324" s="14">
        <f>SUM('Model inputs'!AE325,'Model inputs'!AE326,'Model inputs'!AE327)</f>
        <v>0</v>
      </c>
      <c r="AF324" s="14">
        <f>SUM('Model inputs'!AF325,'Model inputs'!AF326,'Model inputs'!AF327)</f>
        <v>0</v>
      </c>
      <c r="AG324" s="14">
        <f>SUM('Model inputs'!AG325,'Model inputs'!AG326,'Model inputs'!AG327)</f>
        <v>0</v>
      </c>
    </row>
    <row r="325" outlineLevel="1">
      <c r="A325" t="inlineStr" s="18">
        <is>
          <t xml:space="preserve">Kits generated &gt; Indie</t>
        </is>
      </c>
      <c r="C325" s="17">
        <f>IF('Model inputs'!C113="","",'Model inputs'!C113)</f>
        <v>0</v>
      </c>
      <c r="D325" s="17">
        <f>IF('Model inputs'!D113="","",'Model inputs'!D113)</f>
        <v>0</v>
      </c>
      <c r="E325" s="17">
        <f>IF('Model inputs'!E113="","",'Model inputs'!E113)</f>
        <v>340</v>
      </c>
      <c r="F325" s="17">
        <f>IF('Model inputs'!F113="","",'Model inputs'!F113)</f>
        <v>631.8333333333333</v>
      </c>
      <c r="G325" s="17">
        <f>IF('Model inputs'!G113="","",'Model inputs'!G113)</f>
        <v>819.2111111111111</v>
      </c>
      <c r="H325" s="17">
        <f>IF('Model inputs'!H113="","",'Model inputs'!H113)</f>
        <v>1012.4570370370371</v>
      </c>
      <c r="I325" s="17">
        <f>IF('Model inputs'!I113="","",'Model inputs'!I113)</f>
        <v>1212.648701234568</v>
      </c>
      <c r="J325" s="17">
        <f>IF('Model inputs'!J113="","",'Model inputs'!J113)</f>
        <v>1420.9093584855968</v>
      </c>
      <c r="K325" s="17">
        <f>IF('Model inputs'!K113="","",'Model inputs'!K113)</f>
        <v>1638.4142842398905</v>
      </c>
      <c r="L325" s="17">
        <f>IF('Model inputs'!L113="","",'Model inputs'!L113)</f>
        <v>1866.3974589161646</v>
      </c>
      <c r="M325" s="17">
        <f>IF('Model inputs'!M113="","",'Model inputs'!M113)</f>
        <v>2106.158618770735</v>
      </c>
      <c r="N325" s="17">
        <f>IF('Model inputs'!N113="","",'Model inputs'!N113)</f>
        <v>2344.5032075862937</v>
      </c>
      <c r="O325" s="17">
        <f>IF('Model inputs'!O113="","",'Model inputs'!O113)</f>
        <v>2582.108363683493</v>
      </c>
      <c r="P325" s="17">
        <f>IF('Model inputs'!P113="","",'Model inputs'!P113)</f>
        <v>2819.62939083833</v>
      </c>
      <c r="Q325" s="17">
        <f>IF('Model inputs'!Q113="","",'Model inputs'!Q113)</f>
        <v>3057.7021462388607</v>
      </c>
      <c r="R325" s="17">
        <f>IF('Model inputs'!R113="","",'Model inputs'!R113)</f>
        <v>3296.945306537613</v>
      </c>
      <c r="S325" s="17">
        <f>IF('Model inputs'!S113="","",'Model inputs'!S113)</f>
        <v>3537.9625216183686</v>
      </c>
      <c r="T325" s="17">
        <f>IF('Model inputs'!T113="","",'Model inputs'!T113)</f>
        <v>3781.3444651144046</v>
      </c>
      <c r="U325" s="17">
        <f>IF('Model inputs'!U113="","",'Model inputs'!U113)</f>
        <v>4027.6707901748623</v>
      </c>
      <c r="V325" s="17">
        <f>IF('Model inputs'!V113="","",'Model inputs'!V113)</f>
        <v>4277.511998474012</v>
      </c>
      <c r="W325" s="17">
        <f>'Model inputs'!W214*('Model inputs'!B218+'Model inputs'!B187)</f>
        <v>0</v>
      </c>
      <c r="X325" s="17">
        <f>'Model inputs'!X214*('Model inputs'!B218+'Model inputs'!B187)</f>
        <v>0</v>
      </c>
      <c r="Y325" s="17">
        <f>'Model inputs'!Y214*('Model inputs'!B218+'Model inputs'!B187)</f>
        <v>0</v>
      </c>
      <c r="Z325" s="17">
        <f>'Model inputs'!Z214*('Model inputs'!B218+'Model inputs'!B187)</f>
        <v>0</v>
      </c>
      <c r="AA325" s="17">
        <f>'Model inputs'!AA214*('Model inputs'!B218+'Model inputs'!B187)</f>
        <v>0</v>
      </c>
      <c r="AB325" s="17">
        <f>'Model inputs'!AB214*('Model inputs'!B218+'Model inputs'!B187)</f>
        <v>0</v>
      </c>
      <c r="AC325" s="17">
        <f>'Model inputs'!AC214*('Model inputs'!B218+'Model inputs'!B187)</f>
        <v>0</v>
      </c>
      <c r="AD325" s="17">
        <f>'Model inputs'!AD214*('Model inputs'!B218+'Model inputs'!B187)</f>
        <v>0</v>
      </c>
      <c r="AE325" s="17">
        <f>'Model inputs'!AE214*('Model inputs'!B218+'Model inputs'!B187)</f>
        <v>0</v>
      </c>
      <c r="AF325" s="17">
        <f>'Model inputs'!AF214*('Model inputs'!B218+'Model inputs'!B187)</f>
        <v>0</v>
      </c>
      <c r="AG325" s="17">
        <f>'Model inputs'!AG214*('Model inputs'!B218+'Model inputs'!B187)</f>
        <v>0</v>
      </c>
    </row>
    <row r="326" outlineLevel="1">
      <c r="A326" t="inlineStr" s="18">
        <is>
          <t xml:space="preserve">Kits generated &gt; Launch</t>
        </is>
      </c>
      <c r="C326" s="17">
        <f>IF('Model inputs'!C114="","",'Model inputs'!C114)</f>
        <v>0</v>
      </c>
      <c r="D326" s="17">
        <f>IF('Model inputs'!D114="","",'Model inputs'!D114)</f>
        <v>0</v>
      </c>
      <c r="E326" s="17">
        <f>IF('Model inputs'!E114="","",'Model inputs'!E114)</f>
        <v>206</v>
      </c>
      <c r="F326" s="17">
        <f>IF('Model inputs'!F114="","",'Model inputs'!F114)</f>
        <v>311.06</v>
      </c>
      <c r="G326" s="17">
        <f>IF('Model inputs'!G114="","",'Model inputs'!G114)</f>
        <v>417.17203055555547</v>
      </c>
      <c r="H326" s="17">
        <f>IF('Model inputs'!H114="","",'Model inputs'!H114)</f>
        <v>524.6844865439813</v>
      </c>
      <c r="I326" s="17">
        <f>IF('Model inputs'!I114="","",'Model inputs'!I114)</f>
        <v>633.883524509045</v>
      </c>
      <c r="J326" s="17">
        <f>IF('Model inputs'!J114="","",'Model inputs'!J114)</f>
        <v>745.0727893657524</v>
      </c>
      <c r="K326" s="17">
        <f>IF('Model inputs'!K114="","",'Model inputs'!K114)</f>
        <v>858.5759658366885</v>
      </c>
      <c r="L326" s="17">
        <f>IF('Model inputs'!L114="","",'Model inputs'!L114)</f>
        <v>974.7395094715155</v>
      </c>
      <c r="M326" s="17">
        <f>IF('Model inputs'!M114="","",'Model inputs'!M114)</f>
        <v>1093.9355797163917</v>
      </c>
      <c r="N326" s="17">
        <f>IF('Model inputs'!N114="","",'Model inputs'!N114)</f>
        <v>1216.5651993569368</v>
      </c>
      <c r="O326" s="17">
        <f>IF('Model inputs'!O114="","",'Model inputs'!O114)</f>
        <v>1342.7605899294706</v>
      </c>
      <c r="P326" s="17">
        <f>IF('Model inputs'!P114="","",'Model inputs'!P114)</f>
        <v>1472.6527874591704</v>
      </c>
      <c r="Q326" s="17">
        <f>IF('Model inputs'!Q114="","",'Model inputs'!Q114)</f>
        <v>1606.3724099840306</v>
      </c>
      <c r="R326" s="17">
        <f>IF('Model inputs'!R114="","",'Model inputs'!R114)</f>
        <v>1744.050386096672</v>
      </c>
      <c r="S326" s="17">
        <f>IF('Model inputs'!S114="","",'Model inputs'!S114)</f>
        <v>1885.8186481486862</v>
      </c>
      <c r="T326" s="17">
        <f>IF('Model inputs'!T114="","",'Model inputs'!T114)</f>
        <v>2031.810793541463</v>
      </c>
      <c r="U326" s="17">
        <f>IF('Model inputs'!U114="","",'Model inputs'!U114)</f>
        <v>2182.1627173230036</v>
      </c>
      <c r="V326" s="17">
        <f>IF('Model inputs'!V114="","",'Model inputs'!V114)</f>
        <v>2337.013219121013</v>
      </c>
      <c r="W326" s="17">
        <f>'Model inputs'!W215*('Model inputs'!B219+'Model inputs'!B188)</f>
        <v>0</v>
      </c>
      <c r="X326" s="17">
        <f>'Model inputs'!X215*('Model inputs'!B219+'Model inputs'!B188)</f>
        <v>0</v>
      </c>
      <c r="Y326" s="17">
        <f>'Model inputs'!Y215*('Model inputs'!B219+'Model inputs'!B188)</f>
        <v>0</v>
      </c>
      <c r="Z326" s="17">
        <f>'Model inputs'!Z215*('Model inputs'!B219+'Model inputs'!B188)</f>
        <v>0</v>
      </c>
      <c r="AA326" s="17">
        <f>'Model inputs'!AA215*('Model inputs'!B219+'Model inputs'!B188)</f>
        <v>0</v>
      </c>
      <c r="AB326" s="17">
        <f>'Model inputs'!AB215*('Model inputs'!B219+'Model inputs'!B188)</f>
        <v>0</v>
      </c>
      <c r="AC326" s="17">
        <f>'Model inputs'!AC215*('Model inputs'!B219+'Model inputs'!B188)</f>
        <v>0</v>
      </c>
      <c r="AD326" s="17">
        <f>'Model inputs'!AD215*('Model inputs'!B219+'Model inputs'!B188)</f>
        <v>0</v>
      </c>
      <c r="AE326" s="17">
        <f>'Model inputs'!AE215*('Model inputs'!B219+'Model inputs'!B188)</f>
        <v>0</v>
      </c>
      <c r="AF326" s="17">
        <f>'Model inputs'!AF215*('Model inputs'!B219+'Model inputs'!B188)</f>
        <v>0</v>
      </c>
      <c r="AG326" s="17">
        <f>'Model inputs'!AG215*('Model inputs'!B219+'Model inputs'!B188)</f>
        <v>0</v>
      </c>
    </row>
    <row r="327" outlineLevel="1">
      <c r="A327" t="inlineStr" s="18">
        <is>
          <t xml:space="preserve">Kits generated &gt; Team</t>
        </is>
      </c>
      <c r="C327" s="17">
        <f>IF('Model inputs'!C115="","",'Model inputs'!C115)</f>
        <v>0</v>
      </c>
      <c r="D327" s="17">
        <f>IF('Model inputs'!D115="","",'Model inputs'!D115)</f>
        <v>0</v>
      </c>
      <c r="E327" s="17">
        <f>IF('Model inputs'!E115="","",'Model inputs'!E115)</f>
        <v>282</v>
      </c>
      <c r="F327" s="17">
        <f>IF('Model inputs'!F115="","",'Model inputs'!F115)</f>
        <v>425.89833333333337</v>
      </c>
      <c r="G327" s="17">
        <f>IF('Model inputs'!G115="","",'Model inputs'!G115)</f>
        <v>589.7379180555556</v>
      </c>
      <c r="H327" s="17">
        <f>IF('Model inputs'!H115="","",'Model inputs'!H115)</f>
        <v>770.3969095590278</v>
      </c>
      <c r="I327" s="17">
        <f>IF('Model inputs'!I115="","",'Model inputs'!I115)</f>
        <v>969.0679608281067</v>
      </c>
      <c r="J327" s="17">
        <f>IF('Model inputs'!J115="","",'Model inputs'!J115)</f>
        <v>1187.0977988002246</v>
      </c>
      <c r="K327" s="17">
        <f>IF('Model inputs'!K115="","",'Model inputs'!K115)</f>
        <v>1425.9991534971566</v>
      </c>
      <c r="L327" s="17">
        <f>IF('Model inputs'!L115="","",'Model inputs'!L115)</f>
        <v>1687.464064877592</v>
      </c>
      <c r="M327" s="17">
        <f>IF('Model inputs'!M115="","",'Model inputs'!M115)</f>
        <v>1973.3786875405954</v>
      </c>
      <c r="N327" s="17">
        <f>IF('Model inputs'!N115="","",'Model inputs'!N115)</f>
        <v>2269.3535795600765</v>
      </c>
      <c r="O327" s="17">
        <f>IF('Model inputs'!O115="","",'Model inputs'!O115)</f>
        <v>2575.4324269469894</v>
      </c>
      <c r="P327" s="17">
        <f>IF('Model inputs'!P115="","",'Model inputs'!P115)</f>
        <v>2891.6999695073378</v>
      </c>
      <c r="Q327" s="17">
        <f>IF('Model inputs'!Q115="","",'Model inputs'!Q115)</f>
        <v>3218.28049669851</v>
      </c>
      <c r="R327" s="17">
        <f>IF('Model inputs'!R115="","",'Model inputs'!R115)</f>
        <v>3555.336511040191</v>
      </c>
      <c r="S327" s="17">
        <f>IF('Model inputs'!S115="","",'Model inputs'!S115)</f>
        <v>3903.0675499867943</v>
      </c>
      <c r="T327" s="17">
        <f>IF('Model inputs'!T115="","",'Model inputs'!T115)</f>
        <v>4261.709157878619</v>
      </c>
      <c r="U327" s="17">
        <f>IF('Model inputs'!U115="","",'Model inputs'!U115)</f>
        <v>4631.532000255323</v>
      </c>
      <c r="V327" s="17">
        <f>IF('Model inputs'!V115="","",'Model inputs'!V115)</f>
        <v>5012.841113440814</v>
      </c>
      <c r="W327" s="17">
        <f>'Model inputs'!W216*('Model inputs'!B220+'Model inputs'!B189)</f>
        <v>0</v>
      </c>
      <c r="X327" s="17">
        <f>'Model inputs'!X216*('Model inputs'!B220+'Model inputs'!B189)</f>
        <v>0</v>
      </c>
      <c r="Y327" s="17">
        <f>'Model inputs'!Y216*('Model inputs'!B220+'Model inputs'!B189)</f>
        <v>0</v>
      </c>
      <c r="Z327" s="17">
        <f>'Model inputs'!Z216*('Model inputs'!B220+'Model inputs'!B189)</f>
        <v>0</v>
      </c>
      <c r="AA327" s="17">
        <f>'Model inputs'!AA216*('Model inputs'!B220+'Model inputs'!B189)</f>
        <v>0</v>
      </c>
      <c r="AB327" s="17">
        <f>'Model inputs'!AB216*('Model inputs'!B220+'Model inputs'!B189)</f>
        <v>0</v>
      </c>
      <c r="AC327" s="17">
        <f>'Model inputs'!AC216*('Model inputs'!B220+'Model inputs'!B189)</f>
        <v>0</v>
      </c>
      <c r="AD327" s="17">
        <f>'Model inputs'!AD216*('Model inputs'!B220+'Model inputs'!B189)</f>
        <v>0</v>
      </c>
      <c r="AE327" s="17">
        <f>'Model inputs'!AE216*('Model inputs'!B220+'Model inputs'!B189)</f>
        <v>0</v>
      </c>
      <c r="AF327" s="17">
        <f>'Model inputs'!AF216*('Model inputs'!B220+'Model inputs'!B189)</f>
        <v>0</v>
      </c>
      <c r="AG327" s="17">
        <f>'Model inputs'!AG216*('Model inputs'!B220+'Model inputs'!B189)</f>
        <v>0</v>
      </c>
    </row>
    <row r="328">
      <c r="A328" t="inlineStr" s="16">
        <is>
          <t xml:space="preserve">Long-trailer revenue</t>
        </is>
      </c>
      <c r="C328" s="7">
        <f>IF('Model inputs'!C28="","",'Model inputs'!C28)</f>
        <v>0</v>
      </c>
      <c r="D328" s="7">
        <f>IF('Model inputs'!D28="","",'Model inputs'!D28)</f>
        <v>0</v>
      </c>
      <c r="E328" s="7">
        <f>IF('Model inputs'!E28="","",'Model inputs'!E28)</f>
        <v>49.68</v>
      </c>
      <c r="F328" s="7">
        <f>IF('Model inputs'!F28="","",'Model inputs'!F28)</f>
        <v>82.1275</v>
      </c>
      <c r="G328" s="7">
        <f>IF('Model inputs'!G28="","",'Model inputs'!G28)</f>
        <v>109.56726358333333</v>
      </c>
      <c r="H328" s="7">
        <f>IF('Model inputs'!H28="","",'Model inputs'!H28)</f>
        <v>138.45230598840277</v>
      </c>
      <c r="I328" s="7">
        <f>IF('Model inputs'!I28="","",'Model inputs'!I28)</f>
        <v>168.9360111943032</v>
      </c>
      <c r="J328" s="7">
        <f>IF('Model inputs'!J28="","",'Model inputs'!J28)</f>
        <v>201.18479679909444</v>
      </c>
      <c r="K328" s="7">
        <f>IF('Model inputs'!K28="","",'Model inputs'!K28)</f>
        <v>235.37936421442416</v>
      </c>
      <c r="L328" s="7">
        <f>IF('Model inputs'!L28="","",'Model inputs'!L28)</f>
        <v>271.71606199591633</v>
      </c>
      <c r="M328" s="7">
        <f>IF('Model inputs'!M28="","",'Model inputs'!M28)</f>
        <v>310.4083731616633</v>
      </c>
      <c r="N328" s="7">
        <f>IF('Model inputs'!N28="","",'Model inputs'!N28)</f>
        <v>349.8253191901984</v>
      </c>
      <c r="O328" s="7">
        <f>IF('Model inputs'!O28="","",'Model inputs'!O28)</f>
        <v>390.0180828335972</v>
      </c>
      <c r="P328" s="7">
        <f>IF('Model inputs'!P28="","",'Model inputs'!P28)</f>
        <v>431.0389288682903</v>
      </c>
      <c r="Q328" s="7">
        <f>IF('Model inputs'!Q28="","",'Model inputs'!Q28)</f>
        <v>472.9413031752841</v>
      </c>
      <c r="R328" s="7">
        <f>IF('Model inputs'!R28="","",'Model inputs'!R28)</f>
        <v>515.7799322204686</v>
      </c>
      <c r="S328" s="7">
        <f>IF('Model inputs'!S28="","",'Model inputs'!S28)</f>
        <v>559.610923185231</v>
      </c>
      <c r="T328" s="7">
        <f>IF('Model inputs'!T28="","",'Model inputs'!T28)</f>
        <v>604.4918649920692</v>
      </c>
      <c r="U328" s="7">
        <f>IF('Model inputs'!U28="","",'Model inputs'!U28)</f>
        <v>650.4819304651912</v>
      </c>
      <c r="V328" s="7">
        <f>IF('Model inputs'!V28="","",'Model inputs'!V28)</f>
        <v>697.6419798621504</v>
      </c>
      <c r="W328" s="7">
        <f>SUM('Model inputs'!W329,'Model inputs'!W330,'Model inputs'!W331)</f>
        <v>0</v>
      </c>
      <c r="X328" s="7">
        <f>SUM('Model inputs'!X329,'Model inputs'!X330,'Model inputs'!X331)</f>
        <v>0</v>
      </c>
      <c r="Y328" s="7">
        <f>SUM('Model inputs'!Y329,'Model inputs'!Y330,'Model inputs'!Y331)</f>
        <v>0</v>
      </c>
      <c r="Z328" s="7">
        <f>SUM('Model inputs'!Z329,'Model inputs'!Z330,'Model inputs'!Z331)</f>
        <v>0</v>
      </c>
      <c r="AA328" s="7">
        <f>SUM('Model inputs'!AA329,'Model inputs'!AA330,'Model inputs'!AA331)</f>
        <v>0</v>
      </c>
      <c r="AB328" s="7">
        <f>SUM('Model inputs'!AB329,'Model inputs'!AB330,'Model inputs'!AB331)</f>
        <v>0</v>
      </c>
      <c r="AC328" s="7">
        <f>SUM('Model inputs'!AC329,'Model inputs'!AC330,'Model inputs'!AC331)</f>
        <v>0</v>
      </c>
      <c r="AD328" s="7">
        <f>SUM('Model inputs'!AD329,'Model inputs'!AD330,'Model inputs'!AD331)</f>
        <v>0</v>
      </c>
      <c r="AE328" s="7">
        <f>SUM('Model inputs'!AE329,'Model inputs'!AE330,'Model inputs'!AE331)</f>
        <v>0</v>
      </c>
      <c r="AF328" s="7">
        <f>SUM('Model inputs'!AF329,'Model inputs'!AF330,'Model inputs'!AF331)</f>
        <v>0</v>
      </c>
      <c r="AG328" s="7">
        <f>SUM('Model inputs'!AG329,'Model inputs'!AG330,'Model inputs'!AG331)</f>
        <v>0</v>
      </c>
    </row>
    <row r="329" outlineLevel="1">
      <c r="A329" t="inlineStr" s="18">
        <is>
          <t xml:space="preserve">Long-trailer revenue &gt; Indie</t>
        </is>
      </c>
      <c r="C329" s="9">
        <f>IF('Model inputs'!C29="","",'Model inputs'!C29)</f>
        <v>0</v>
      </c>
      <c r="D329" s="9">
        <f>IF('Model inputs'!D29="","",'Model inputs'!D29)</f>
        <v>0</v>
      </c>
      <c r="E329" s="9">
        <f>IF('Model inputs'!E29="","",'Model inputs'!E29)</f>
        <v>20.400000000000002</v>
      </c>
      <c r="F329" s="9">
        <f>IF('Model inputs'!F29="","",'Model inputs'!F29)</f>
        <v>37.91</v>
      </c>
      <c r="G329" s="9">
        <f>IF('Model inputs'!G29="","",'Model inputs'!G29)</f>
        <v>49.15266666666667</v>
      </c>
      <c r="H329" s="9">
        <f>IF('Model inputs'!H29="","",'Model inputs'!H29)</f>
        <v>60.74742222222223</v>
      </c>
      <c r="I329" s="9">
        <f>IF('Model inputs'!I29="","",'Model inputs'!I29)</f>
        <v>72.75892207407409</v>
      </c>
      <c r="J329" s="9">
        <f>IF('Model inputs'!J29="","",'Model inputs'!J29)</f>
        <v>85.25456150913581</v>
      </c>
      <c r="K329" s="9">
        <f>IF('Model inputs'!K29="","",'Model inputs'!K29)</f>
        <v>98.30485705439344</v>
      </c>
      <c r="L329" s="9">
        <f>IF('Model inputs'!L29="","",'Model inputs'!L29)</f>
        <v>111.98384753496987</v>
      </c>
      <c r="M329" s="9">
        <f>IF('Model inputs'!M29="","",'Model inputs'!M29)</f>
        <v>126.36951712624409</v>
      </c>
      <c r="N329" s="9">
        <f>IF('Model inputs'!N29="","",'Model inputs'!N29)</f>
        <v>140.6701924551776</v>
      </c>
      <c r="O329" s="9">
        <f>IF('Model inputs'!O29="","",'Model inputs'!O29)</f>
        <v>154.92650182100957</v>
      </c>
      <c r="P329" s="9">
        <f>IF('Model inputs'!P29="","",'Model inputs'!P29)</f>
        <v>169.1777634502998</v>
      </c>
      <c r="Q329" s="9">
        <f>IF('Model inputs'!Q29="","",'Model inputs'!Q29)</f>
        <v>183.46212877433163</v>
      </c>
      <c r="R329" s="9">
        <f>IF('Model inputs'!R29="","",'Model inputs'!R29)</f>
        <v>197.81671839225677</v>
      </c>
      <c r="S329" s="9">
        <f>IF('Model inputs'!S29="","",'Model inputs'!S29)</f>
        <v>212.27775129710213</v>
      </c>
      <c r="T329" s="9">
        <f>IF('Model inputs'!T29="","",'Model inputs'!T29)</f>
        <v>226.88066790686426</v>
      </c>
      <c r="U329" s="9">
        <f>IF('Model inputs'!U29="","",'Model inputs'!U29)</f>
        <v>241.66024741049173</v>
      </c>
      <c r="V329" s="9">
        <f>IF('Model inputs'!V29="","",'Model inputs'!V29)</f>
        <v>256.65071990844075</v>
      </c>
      <c r="W329" s="9">
        <f>'Model inputs'!W325*'Model inputs'!B165*'Model inputs'!B164</f>
        <v>0</v>
      </c>
      <c r="X329" s="9">
        <f>'Model inputs'!X325*'Model inputs'!B165*'Model inputs'!B164</f>
        <v>0</v>
      </c>
      <c r="Y329" s="9">
        <f>'Model inputs'!Y325*'Model inputs'!B165*'Model inputs'!B164</f>
        <v>0</v>
      </c>
      <c r="Z329" s="9">
        <f>'Model inputs'!Z325*'Model inputs'!B165*'Model inputs'!B164</f>
        <v>0</v>
      </c>
      <c r="AA329" s="9">
        <f>'Model inputs'!AA325*'Model inputs'!B165*'Model inputs'!B164</f>
        <v>0</v>
      </c>
      <c r="AB329" s="9">
        <f>'Model inputs'!AB325*'Model inputs'!B165*'Model inputs'!B164</f>
        <v>0</v>
      </c>
      <c r="AC329" s="9">
        <f>'Model inputs'!AC325*'Model inputs'!B165*'Model inputs'!B164</f>
        <v>0</v>
      </c>
      <c r="AD329" s="9">
        <f>'Model inputs'!AD325*'Model inputs'!B165*'Model inputs'!B164</f>
        <v>0</v>
      </c>
      <c r="AE329" s="9">
        <f>'Model inputs'!AE325*'Model inputs'!B165*'Model inputs'!B164</f>
        <v>0</v>
      </c>
      <c r="AF329" s="9">
        <f>'Model inputs'!AF325*'Model inputs'!B165*'Model inputs'!B164</f>
        <v>0</v>
      </c>
      <c r="AG329" s="9">
        <f>'Model inputs'!AG325*'Model inputs'!B165*'Model inputs'!B164</f>
        <v>0</v>
      </c>
    </row>
    <row r="330" outlineLevel="1">
      <c r="A330" t="inlineStr" s="18">
        <is>
          <t xml:space="preserve">Long-trailer revenue &gt; Launch</t>
        </is>
      </c>
      <c r="C330" s="9">
        <f>IF('Model inputs'!C30="","",'Model inputs'!C30)</f>
        <v>0</v>
      </c>
      <c r="D330" s="9">
        <f>IF('Model inputs'!D30="","",'Model inputs'!D30)</f>
        <v>0</v>
      </c>
      <c r="E330" s="9">
        <f>IF('Model inputs'!E30="","",'Model inputs'!E30)</f>
        <v>12.36</v>
      </c>
      <c r="F330" s="9">
        <f>IF('Model inputs'!F30="","",'Model inputs'!F30)</f>
        <v>18.6636</v>
      </c>
      <c r="G330" s="9">
        <f>IF('Model inputs'!G30="","",'Model inputs'!G30)</f>
        <v>25.03032183333333</v>
      </c>
      <c r="H330" s="9">
        <f>IF('Model inputs'!H30="","",'Model inputs'!H30)</f>
        <v>31.481069192638877</v>
      </c>
      <c r="I330" s="9">
        <f>IF('Model inputs'!I30="","",'Model inputs'!I30)</f>
        <v>38.0330114705427</v>
      </c>
      <c r="J330" s="9">
        <f>IF('Model inputs'!J30="","",'Model inputs'!J30)</f>
        <v>44.704367361945145</v>
      </c>
      <c r="K330" s="9">
        <f>IF('Model inputs'!K30="","",'Model inputs'!K30)</f>
        <v>51.514557950201315</v>
      </c>
      <c r="L330" s="9">
        <f>IF('Model inputs'!L30="","",'Model inputs'!L30)</f>
        <v>58.48437056829093</v>
      </c>
      <c r="M330" s="9">
        <f>IF('Model inputs'!M30="","",'Model inputs'!M30)</f>
        <v>65.63613478298349</v>
      </c>
      <c r="N330" s="9">
        <f>IF('Model inputs'!N30="","",'Model inputs'!N30)</f>
        <v>72.9939119614162</v>
      </c>
      <c r="O330" s="9">
        <f>IF('Model inputs'!O30="","",'Model inputs'!O30)</f>
        <v>80.56563539576824</v>
      </c>
      <c r="P330" s="9">
        <f>IF('Model inputs'!P30="","",'Model inputs'!P30)</f>
        <v>88.35916724755023</v>
      </c>
      <c r="Q330" s="9">
        <f>IF('Model inputs'!Q30="","",'Model inputs'!Q30)</f>
        <v>96.38234459904184</v>
      </c>
      <c r="R330" s="9">
        <f>IF('Model inputs'!R30="","",'Model inputs'!R30)</f>
        <v>104.64302316580032</v>
      </c>
      <c r="S330" s="9">
        <f>IF('Model inputs'!S30="","",'Model inputs'!S30)</f>
        <v>113.14911888892117</v>
      </c>
      <c r="T330" s="9">
        <f>IF('Model inputs'!T30="","",'Model inputs'!T30)</f>
        <v>121.90864761248777</v>
      </c>
      <c r="U330" s="9">
        <f>IF('Model inputs'!U30="","",'Model inputs'!U30)</f>
        <v>130.92976303938022</v>
      </c>
      <c r="V330" s="9">
        <f>IF('Model inputs'!V30="","",'Model inputs'!V30)</f>
        <v>140.2207931472608</v>
      </c>
      <c r="W330" s="9">
        <f>'Model inputs'!W326*'Model inputs'!B165*'Model inputs'!B164</f>
        <v>0</v>
      </c>
      <c r="X330" s="9">
        <f>'Model inputs'!X326*'Model inputs'!B165*'Model inputs'!B164</f>
        <v>0</v>
      </c>
      <c r="Y330" s="9">
        <f>'Model inputs'!Y326*'Model inputs'!B165*'Model inputs'!B164</f>
        <v>0</v>
      </c>
      <c r="Z330" s="9">
        <f>'Model inputs'!Z326*'Model inputs'!B165*'Model inputs'!B164</f>
        <v>0</v>
      </c>
      <c r="AA330" s="9">
        <f>'Model inputs'!AA326*'Model inputs'!B165*'Model inputs'!B164</f>
        <v>0</v>
      </c>
      <c r="AB330" s="9">
        <f>'Model inputs'!AB326*'Model inputs'!B165*'Model inputs'!B164</f>
        <v>0</v>
      </c>
      <c r="AC330" s="9">
        <f>'Model inputs'!AC326*'Model inputs'!B165*'Model inputs'!B164</f>
        <v>0</v>
      </c>
      <c r="AD330" s="9">
        <f>'Model inputs'!AD326*'Model inputs'!B165*'Model inputs'!B164</f>
        <v>0</v>
      </c>
      <c r="AE330" s="9">
        <f>'Model inputs'!AE326*'Model inputs'!B165*'Model inputs'!B164</f>
        <v>0</v>
      </c>
      <c r="AF330" s="9">
        <f>'Model inputs'!AF326*'Model inputs'!B165*'Model inputs'!B164</f>
        <v>0</v>
      </c>
      <c r="AG330" s="9">
        <f>'Model inputs'!AG326*'Model inputs'!B165*'Model inputs'!B164</f>
        <v>0</v>
      </c>
    </row>
    <row r="331" outlineLevel="1">
      <c r="A331" t="inlineStr" s="18">
        <is>
          <t xml:space="preserve">Long-trailer revenue &gt; Team</t>
        </is>
      </c>
      <c r="C331" s="9">
        <f>IF('Model inputs'!C31="","",'Model inputs'!C31)</f>
        <v>0</v>
      </c>
      <c r="D331" s="9">
        <f>IF('Model inputs'!D31="","",'Model inputs'!D31)</f>
        <v>0</v>
      </c>
      <c r="E331" s="9">
        <f>IF('Model inputs'!E31="","",'Model inputs'!E31)</f>
        <v>16.919999999999998</v>
      </c>
      <c r="F331" s="9">
        <f>IF('Model inputs'!F31="","",'Model inputs'!F31)</f>
        <v>25.553900000000002</v>
      </c>
      <c r="G331" s="9">
        <f>IF('Model inputs'!G31="","",'Model inputs'!G31)</f>
        <v>35.384275083333335</v>
      </c>
      <c r="H331" s="9">
        <f>IF('Model inputs'!H31="","",'Model inputs'!H31)</f>
        <v>46.22381457354167</v>
      </c>
      <c r="I331" s="9">
        <f>IF('Model inputs'!I31="","",'Model inputs'!I31)</f>
        <v>58.14407764968641</v>
      </c>
      <c r="J331" s="9">
        <f>IF('Model inputs'!J31="","",'Model inputs'!J31)</f>
        <v>71.22586792801347</v>
      </c>
      <c r="K331" s="9">
        <f>IF('Model inputs'!K31="","",'Model inputs'!K31)</f>
        <v>85.5599492098294</v>
      </c>
      <c r="L331" s="9">
        <f>IF('Model inputs'!L31="","",'Model inputs'!L31)</f>
        <v>101.24784389265551</v>
      </c>
      <c r="M331" s="9">
        <f>IF('Model inputs'!M31="","",'Model inputs'!M31)</f>
        <v>118.40272125243571</v>
      </c>
      <c r="N331" s="9">
        <f>IF('Model inputs'!N31="","",'Model inputs'!N31)</f>
        <v>136.1612147736046</v>
      </c>
      <c r="O331" s="9">
        <f>IF('Model inputs'!O31="","",'Model inputs'!O31)</f>
        <v>154.52594561681937</v>
      </c>
      <c r="P331" s="9">
        <f>IF('Model inputs'!P31="","",'Model inputs'!P31)</f>
        <v>173.5019981704403</v>
      </c>
      <c r="Q331" s="9">
        <f>IF('Model inputs'!Q31="","",'Model inputs'!Q31)</f>
        <v>193.09682980191062</v>
      </c>
      <c r="R331" s="9">
        <f>IF('Model inputs'!R31="","",'Model inputs'!R31)</f>
        <v>213.32019066241148</v>
      </c>
      <c r="S331" s="9">
        <f>IF('Model inputs'!S31="","",'Model inputs'!S31)</f>
        <v>234.18405299920767</v>
      </c>
      <c r="T331" s="9">
        <f>IF('Model inputs'!T31="","",'Model inputs'!T31)</f>
        <v>255.70254947271715</v>
      </c>
      <c r="U331" s="9">
        <f>IF('Model inputs'!U31="","",'Model inputs'!U31)</f>
        <v>277.89192001531933</v>
      </c>
      <c r="V331" s="9">
        <f>IF('Model inputs'!V31="","",'Model inputs'!V31)</f>
        <v>300.77046680644884</v>
      </c>
      <c r="W331" s="9">
        <f>'Model inputs'!W327*'Model inputs'!B165*'Model inputs'!B164</f>
        <v>0</v>
      </c>
      <c r="X331" s="9">
        <f>'Model inputs'!X327*'Model inputs'!B165*'Model inputs'!B164</f>
        <v>0</v>
      </c>
      <c r="Y331" s="9">
        <f>'Model inputs'!Y327*'Model inputs'!B165*'Model inputs'!B164</f>
        <v>0</v>
      </c>
      <c r="Z331" s="9">
        <f>'Model inputs'!Z327*'Model inputs'!B165*'Model inputs'!B164</f>
        <v>0</v>
      </c>
      <c r="AA331" s="9">
        <f>'Model inputs'!AA327*'Model inputs'!B165*'Model inputs'!B164</f>
        <v>0</v>
      </c>
      <c r="AB331" s="9">
        <f>'Model inputs'!AB327*'Model inputs'!B165*'Model inputs'!B164</f>
        <v>0</v>
      </c>
      <c r="AC331" s="9">
        <f>'Model inputs'!AC327*'Model inputs'!B165*'Model inputs'!B164</f>
        <v>0</v>
      </c>
      <c r="AD331" s="9">
        <f>'Model inputs'!AD327*'Model inputs'!B165*'Model inputs'!B164</f>
        <v>0</v>
      </c>
      <c r="AE331" s="9">
        <f>'Model inputs'!AE327*'Model inputs'!B165*'Model inputs'!B164</f>
        <v>0</v>
      </c>
      <c r="AF331" s="9">
        <f>'Model inputs'!AF327*'Model inputs'!B165*'Model inputs'!B164</f>
        <v>0</v>
      </c>
      <c r="AG331" s="9">
        <f>'Model inputs'!AG327*'Model inputs'!B165*'Model inputs'!B164</f>
        <v>0</v>
      </c>
    </row>
    <row r="332">
      <c r="A332" t="inlineStr" s="16">
        <is>
          <t xml:space="preserve">Monthly payers</t>
        </is>
      </c>
      <c r="C332" s="19">
        <f>IF('Model inputs'!C166="","",'Model inputs'!C166)</f>
        <v>0</v>
      </c>
      <c r="D332" s="19">
        <f>IF('Model inputs'!D166="","",'Model inputs'!D166)</f>
        <v>0</v>
      </c>
      <c r="E332" s="19">
        <f>IF('Model inputs'!E166="","",'Model inputs'!E166)</f>
        <v>47</v>
      </c>
      <c r="F332" s="19">
        <f>IF('Model inputs'!F166="","",'Model inputs'!F166)</f>
        <v>84.28831944444444</v>
      </c>
      <c r="G332" s="19">
        <f>IF('Model inputs'!G166="","",'Model inputs'!G166)</f>
        <v>109.25034907407408</v>
      </c>
      <c r="H332" s="19">
        <f>IF('Model inputs'!H166="","",'Model inputs'!H166)</f>
        <v>134.7368020271412</v>
      </c>
      <c r="I332" s="19">
        <f>IF('Model inputs'!I166="","",'Model inputs'!I166)</f>
        <v>160.83115808675663</v>
      </c>
      <c r="J332" s="19">
        <f>IF('Model inputs'!J166="","",'Model inputs'!J166)</f>
        <v>187.61840642148002</v>
      </c>
      <c r="K332" s="19">
        <f>IF('Model inputs'!K166="","",'Model inputs'!K166)</f>
        <v>215.18498548540106</v>
      </c>
      <c r="L332" s="19">
        <f>IF('Model inputs'!L166="","",'Model inputs'!L166)</f>
        <v>245.98907499409157</v>
      </c>
      <c r="M332" s="19">
        <f>IF('Model inputs'!M166="","",'Model inputs'!M166)</f>
        <v>278.52651277477236</v>
      </c>
      <c r="N332" s="19">
        <f>IF('Model inputs'!N166="","",'Model inputs'!N166)</f>
        <v>311.0472605388994</v>
      </c>
      <c r="O332" s="19">
        <f>IF('Model inputs'!O166="","",'Model inputs'!O166)</f>
        <v>343.6320029904277</v>
      </c>
      <c r="P332" s="19">
        <f>IF('Model inputs'!P166="","",'Model inputs'!P166)</f>
        <v>376.35942008791267</v>
      </c>
      <c r="Q332" s="19">
        <f>IF('Model inputs'!Q166="","",'Model inputs'!Q166)</f>
        <v>409.3064496004066</v>
      </c>
      <c r="R332" s="19">
        <f>IF('Model inputs'!R166="","",'Model inputs'!R166)</f>
        <v>442.54853751591446</v>
      </c>
      <c r="S332" s="19">
        <f>IF('Model inputs'!S166="","",'Model inputs'!S166)</f>
        <v>476.15987731976287</v>
      </c>
      <c r="T332" s="19">
        <f>IF('Model inputs'!T166="","",'Model inputs'!T166)</f>
        <v>510.21363910094044</v>
      </c>
      <c r="U332" s="19">
        <f>IF('Model inputs'!U166="","",'Model inputs'!U166)</f>
        <v>544.7821893894609</v>
      </c>
      <c r="V332" s="19">
        <f>IF('Model inputs'!V166="","",'Model inputs'!V166)</f>
        <v>579.9373025768048</v>
      </c>
      <c r="W332" s="19">
        <f>SUM('Model inputs'!W333,'Model inputs'!W334,'Model inputs'!W335)</f>
        <v>0</v>
      </c>
      <c r="X332" s="19">
        <f>SUM('Model inputs'!X333,'Model inputs'!X334,'Model inputs'!X335)</f>
        <v>0</v>
      </c>
      <c r="Y332" s="19">
        <f>SUM('Model inputs'!Y333,'Model inputs'!Y334,'Model inputs'!Y335)</f>
        <v>0</v>
      </c>
      <c r="Z332" s="19">
        <f>SUM('Model inputs'!Z333,'Model inputs'!Z334,'Model inputs'!Z335)</f>
        <v>0</v>
      </c>
      <c r="AA332" s="19">
        <f>SUM('Model inputs'!AA333,'Model inputs'!AA334,'Model inputs'!AA335)</f>
        <v>0</v>
      </c>
      <c r="AB332" s="19">
        <f>SUM('Model inputs'!AB333,'Model inputs'!AB334,'Model inputs'!AB335)</f>
        <v>0</v>
      </c>
      <c r="AC332" s="19">
        <f>SUM('Model inputs'!AC333,'Model inputs'!AC334,'Model inputs'!AC335)</f>
        <v>0</v>
      </c>
      <c r="AD332" s="19">
        <f>SUM('Model inputs'!AD333,'Model inputs'!AD334,'Model inputs'!AD335)</f>
        <v>0</v>
      </c>
      <c r="AE332" s="19">
        <f>SUM('Model inputs'!AE333,'Model inputs'!AE334,'Model inputs'!AE335)</f>
        <v>0</v>
      </c>
      <c r="AF332" s="19">
        <f>SUM('Model inputs'!AF333,'Model inputs'!AF334,'Model inputs'!AF335)</f>
        <v>0</v>
      </c>
      <c r="AG332" s="19">
        <f>SUM('Model inputs'!AG333,'Model inputs'!AG334,'Model inputs'!AG335)</f>
        <v>0</v>
      </c>
    </row>
    <row r="333" outlineLevel="1">
      <c r="A333" t="inlineStr" s="18">
        <is>
          <t xml:space="preserve">Monthly payers &gt; Indie</t>
        </is>
      </c>
      <c r="C333" s="13">
        <f>IF('Model inputs'!C167="","",'Model inputs'!C167)</f>
        <v>0</v>
      </c>
      <c r="D333" s="13">
        <f>IF('Model inputs'!D167="","",'Model inputs'!D167)</f>
        <v>0</v>
      </c>
      <c r="E333" s="13">
        <f>IF('Model inputs'!E167="","",'Model inputs'!E167)</f>
        <v>40</v>
      </c>
      <c r="F333" s="13">
        <f>IF('Model inputs'!F167="","",'Model inputs'!F167)</f>
        <v>74.33333333333333</v>
      </c>
      <c r="G333" s="13">
        <f>IF('Model inputs'!G167="","",'Model inputs'!G167)</f>
        <v>96.37777777777778</v>
      </c>
      <c r="H333" s="13">
        <f>IF('Model inputs'!H167="","",'Model inputs'!H167)</f>
        <v>119.1125925925926</v>
      </c>
      <c r="I333" s="13">
        <f>IF('Model inputs'!I167="","",'Model inputs'!I167)</f>
        <v>142.66455308641977</v>
      </c>
      <c r="J333" s="13">
        <f>IF('Model inputs'!J167="","",'Model inputs'!J167)</f>
        <v>167.16580688065847</v>
      </c>
      <c r="K333" s="13">
        <f>IF('Model inputs'!K167="","",'Model inputs'!K167)</f>
        <v>192.75462167528124</v>
      </c>
      <c r="L333" s="13">
        <f>IF('Model inputs'!L167="","",'Model inputs'!L167)</f>
        <v>219.57617163719584</v>
      </c>
      <c r="M333" s="13">
        <f>IF('Model inputs'!M167="","",'Model inputs'!M167)</f>
        <v>247.78336691420412</v>
      </c>
      <c r="N333" s="13">
        <f>IF('Model inputs'!N167="","",'Model inputs'!N167)</f>
        <v>275.8239067748581</v>
      </c>
      <c r="O333" s="13">
        <f>IF('Model inputs'!O167="","",'Model inputs'!O167)</f>
        <v>303.77745455099915</v>
      </c>
      <c r="P333" s="13">
        <f>IF('Model inputs'!P167="","",'Model inputs'!P167)</f>
        <v>331.7211048045094</v>
      </c>
      <c r="Q333" s="13">
        <f>IF('Model inputs'!Q167="","",'Model inputs'!Q167)</f>
        <v>359.72966426339536</v>
      </c>
      <c r="R333" s="13">
        <f>IF('Model inputs'!R167="","",'Model inputs'!R167)</f>
        <v>387.87591841618973</v>
      </c>
      <c r="S333" s="13">
        <f>IF('Model inputs'!S167="","",'Model inputs'!S167)</f>
        <v>416.23088489627867</v>
      </c>
      <c r="T333" s="13">
        <f>IF('Model inputs'!T167="","",'Model inputs'!T167)</f>
        <v>444.8640547193417</v>
      </c>
      <c r="U333" s="13">
        <f>IF('Model inputs'!U167="","",'Model inputs'!U167)</f>
        <v>473.8436223735132</v>
      </c>
      <c r="V333" s="13">
        <f>IF('Model inputs'!V167="","",'Model inputs'!V167)</f>
        <v>503.23670570282496</v>
      </c>
      <c r="W333" s="13">
        <f>'Model inputs'!W214-'Model inputs'!W204</f>
        <v>0</v>
      </c>
      <c r="X333" s="13">
        <f>'Model inputs'!X214-'Model inputs'!X204</f>
        <v>0</v>
      </c>
      <c r="Y333" s="13">
        <f>'Model inputs'!Y214-'Model inputs'!Y204</f>
        <v>0</v>
      </c>
      <c r="Z333" s="13">
        <f>'Model inputs'!Z214-'Model inputs'!Z204</f>
        <v>0</v>
      </c>
      <c r="AA333" s="13">
        <f>'Model inputs'!AA214-'Model inputs'!AA204</f>
        <v>0</v>
      </c>
      <c r="AB333" s="13">
        <f>'Model inputs'!AB214-'Model inputs'!AB204</f>
        <v>0</v>
      </c>
      <c r="AC333" s="13">
        <f>'Model inputs'!AC214-'Model inputs'!AC204</f>
        <v>0</v>
      </c>
      <c r="AD333" s="13">
        <f>'Model inputs'!AD214-'Model inputs'!AD204</f>
        <v>0</v>
      </c>
      <c r="AE333" s="13">
        <f>'Model inputs'!AE214-'Model inputs'!AE204</f>
        <v>0</v>
      </c>
      <c r="AF333" s="13">
        <f>'Model inputs'!AF214-'Model inputs'!AF204</f>
        <v>0</v>
      </c>
      <c r="AG333" s="13">
        <f>'Model inputs'!AG214-'Model inputs'!AG204</f>
        <v>0</v>
      </c>
    </row>
    <row r="334" outlineLevel="1">
      <c r="A334" t="inlineStr" s="18">
        <is>
          <t xml:space="preserve">Monthly payers &gt; Launch</t>
        </is>
      </c>
      <c r="C334" s="13">
        <f>IF('Model inputs'!C168="","",'Model inputs'!C168)</f>
        <v>0</v>
      </c>
      <c r="D334" s="13">
        <f>IF('Model inputs'!D168="","",'Model inputs'!D168)</f>
        <v>0</v>
      </c>
      <c r="E334" s="13">
        <f>IF('Model inputs'!E168="","",'Model inputs'!E168)</f>
        <v>1</v>
      </c>
      <c r="F334" s="13">
        <f>IF('Model inputs'!F168="","",'Model inputs'!F168)</f>
        <v>1.4219166666666667</v>
      </c>
      <c r="G334" s="13">
        <f>IF('Model inputs'!G168="","",'Model inputs'!G168)</f>
        <v>1.7888444675925923</v>
      </c>
      <c r="H334" s="13">
        <f>IF('Model inputs'!H168="","",'Model inputs'!H168)</f>
        <v>2.101284958246527</v>
      </c>
      <c r="I334" s="13">
        <f>IF('Model inputs'!I168="","",'Model inputs'!I168)</f>
        <v>2.3591134407294554</v>
      </c>
      <c r="J334" s="13">
        <f>IF('Model inputs'!J168="","",'Model inputs'!J168)</f>
        <v>2.5619412255699414</v>
      </c>
      <c r="K334" s="13">
        <f>IF('Model inputs'!K168="","",'Model inputs'!K168)</f>
        <v>2.709098921329357</v>
      </c>
      <c r="L334" s="13">
        <f>IF('Model inputs'!L168="","",'Model inputs'!L168)</f>
        <v>3.075634374546044</v>
      </c>
      <c r="M334" s="13">
        <f>IF('Model inputs'!M168="","",'Model inputs'!M168)</f>
        <v>3.4517384796876436</v>
      </c>
      <c r="N334" s="13">
        <f>IF('Model inputs'!N168="","",'Model inputs'!N168)</f>
        <v>3.838676599912665</v>
      </c>
      <c r="O334" s="13">
        <f>IF('Model inputs'!O168="","",'Model inputs'!O168)</f>
        <v>4.236865939097845</v>
      </c>
      <c r="P334" s="13">
        <f>IF('Model inputs'!P168="","",'Model inputs'!P168)</f>
        <v>4.646719960429421</v>
      </c>
      <c r="Q334" s="13">
        <f>IF('Model inputs'!Q168="","",'Model inputs'!Q168)</f>
        <v>5.0686508082020385</v>
      </c>
      <c r="R334" s="13">
        <f>IF('Model inputs'!R168="","",'Model inputs'!R168)</f>
        <v>5.503071606615713</v>
      </c>
      <c r="S334" s="13">
        <f>IF('Model inputs'!S168="","",'Model inputs'!S168)</f>
        <v>5.950398647071097</v>
      </c>
      <c r="T334" s="13">
        <f>IF('Model inputs'!T168="","",'Model inputs'!T168)</f>
        <v>6.411053474766752</v>
      </c>
      <c r="U334" s="13">
        <f>IF('Model inputs'!U168="","",'Model inputs'!U168)</f>
        <v>6.8854648847570505</v>
      </c>
      <c r="V334" s="13">
        <f>IF('Model inputs'!V168="","",'Model inputs'!V168)</f>
        <v>7.374070837032322</v>
      </c>
      <c r="W334" s="13">
        <f>'Model inputs'!W215-'Model inputs'!W205</f>
        <v>0</v>
      </c>
      <c r="X334" s="13">
        <f>'Model inputs'!X215-'Model inputs'!X205</f>
        <v>0</v>
      </c>
      <c r="Y334" s="13">
        <f>'Model inputs'!Y215-'Model inputs'!Y205</f>
        <v>0</v>
      </c>
      <c r="Z334" s="13">
        <f>'Model inputs'!Z215-'Model inputs'!Z205</f>
        <v>0</v>
      </c>
      <c r="AA334" s="13">
        <f>'Model inputs'!AA215-'Model inputs'!AA205</f>
        <v>0</v>
      </c>
      <c r="AB334" s="13">
        <f>'Model inputs'!AB215-'Model inputs'!AB205</f>
        <v>0</v>
      </c>
      <c r="AC334" s="13">
        <f>'Model inputs'!AC215-'Model inputs'!AC205</f>
        <v>0</v>
      </c>
      <c r="AD334" s="13">
        <f>'Model inputs'!AD215-'Model inputs'!AD205</f>
        <v>0</v>
      </c>
      <c r="AE334" s="13">
        <f>'Model inputs'!AE215-'Model inputs'!AE205</f>
        <v>0</v>
      </c>
      <c r="AF334" s="13">
        <f>'Model inputs'!AF215-'Model inputs'!AF205</f>
        <v>0</v>
      </c>
      <c r="AG334" s="13">
        <f>'Model inputs'!AG215-'Model inputs'!AG205</f>
        <v>0</v>
      </c>
    </row>
    <row r="335" outlineLevel="1">
      <c r="A335" t="inlineStr" s="18">
        <is>
          <t xml:space="preserve">Monthly payers &gt; Team</t>
        </is>
      </c>
      <c r="C335" s="13">
        <f>IF('Model inputs'!C169="","",'Model inputs'!C169)</f>
        <v>0</v>
      </c>
      <c r="D335" s="13">
        <f>IF('Model inputs'!D169="","",'Model inputs'!D169)</f>
        <v>0</v>
      </c>
      <c r="E335" s="13">
        <f>IF('Model inputs'!E169="","",'Model inputs'!E169)</f>
        <v>6</v>
      </c>
      <c r="F335" s="13">
        <f>IF('Model inputs'!F169="","",'Model inputs'!F169)</f>
        <v>8.533069444444445</v>
      </c>
      <c r="G335" s="13">
        <f>IF('Model inputs'!G169="","",'Model inputs'!G169)</f>
        <v>11.083726828703703</v>
      </c>
      <c r="H335" s="13">
        <f>IF('Model inputs'!H169="","",'Model inputs'!H169)</f>
        <v>13.522924476302084</v>
      </c>
      <c r="I335" s="13">
        <f>IF('Model inputs'!I169="","",'Model inputs'!I169)</f>
        <v>15.807491559607413</v>
      </c>
      <c r="J335" s="13">
        <f>IF('Model inputs'!J169="","",'Model inputs'!J169)</f>
        <v>17.890658315251613</v>
      </c>
      <c r="K335" s="13">
        <f>IF('Model inputs'!K169="","",'Model inputs'!K169)</f>
        <v>19.721264888790465</v>
      </c>
      <c r="L335" s="13">
        <f>IF('Model inputs'!L169="","",'Model inputs'!L169)</f>
        <v>23.337268982349677</v>
      </c>
      <c r="M335" s="13">
        <f>IF('Model inputs'!M169="","",'Model inputs'!M169)</f>
        <v>27.291407380880578</v>
      </c>
      <c r="N335" s="13">
        <f>IF('Model inputs'!N169="","",'Model inputs'!N169)</f>
        <v>31.384677164128714</v>
      </c>
      <c r="O335" s="13">
        <f>IF('Model inputs'!O169="","",'Model inputs'!O169)</f>
        <v>35.6176825003307</v>
      </c>
      <c r="P335" s="13">
        <f>IF('Model inputs'!P169="","",'Model inputs'!P169)</f>
        <v>39.99159532297382</v>
      </c>
      <c r="Q335" s="13">
        <f>IF('Model inputs'!Q169="","",'Model inputs'!Q169)</f>
        <v>44.50813452880918</v>
      </c>
      <c r="R335" s="13">
        <f>IF('Model inputs'!R169="","",'Model inputs'!R169)</f>
        <v>49.16954749310902</v>
      </c>
      <c r="S335" s="13">
        <f>IF('Model inputs'!S169="","",'Model inputs'!S169)</f>
        <v>53.97859377641311</v>
      </c>
      <c r="T335" s="13">
        <f>IF('Model inputs'!T169="","",'Model inputs'!T169)</f>
        <v>58.93853090683197</v>
      </c>
      <c r="U335" s="13">
        <f>IF('Model inputs'!U169="","",'Model inputs'!U169)</f>
        <v>64.05310213119063</v>
      </c>
      <c r="V335" s="13">
        <f>IF('Model inputs'!V169="","",'Model inputs'!V169)</f>
        <v>69.32652603694743</v>
      </c>
      <c r="W335" s="13">
        <f>'Model inputs'!W216-'Model inputs'!W206</f>
        <v>0</v>
      </c>
      <c r="X335" s="13">
        <f>'Model inputs'!X216-'Model inputs'!X206</f>
        <v>0</v>
      </c>
      <c r="Y335" s="13">
        <f>'Model inputs'!Y216-'Model inputs'!Y206</f>
        <v>0</v>
      </c>
      <c r="Z335" s="13">
        <f>'Model inputs'!Z216-'Model inputs'!Z206</f>
        <v>0</v>
      </c>
      <c r="AA335" s="13">
        <f>'Model inputs'!AA216-'Model inputs'!AA206</f>
        <v>0</v>
      </c>
      <c r="AB335" s="13">
        <f>'Model inputs'!AB216-'Model inputs'!AB206</f>
        <v>0</v>
      </c>
      <c r="AC335" s="13">
        <f>'Model inputs'!AC216-'Model inputs'!AC206</f>
        <v>0</v>
      </c>
      <c r="AD335" s="13">
        <f>'Model inputs'!AD216-'Model inputs'!AD206</f>
        <v>0</v>
      </c>
      <c r="AE335" s="13">
        <f>'Model inputs'!AE216-'Model inputs'!AE206</f>
        <v>0</v>
      </c>
      <c r="AF335" s="13">
        <f>'Model inputs'!AF216-'Model inputs'!AF206</f>
        <v>0</v>
      </c>
      <c r="AG335" s="13">
        <f>'Model inputs'!AG216-'Model inputs'!AG206</f>
        <v>0</v>
      </c>
    </row>
    <row r="336">
      <c r="A336" t="inlineStr" s="16">
        <is>
          <t xml:space="preserve">Opex</t>
        </is>
      </c>
      <c r="C336" s="7">
        <f>IF('Model inputs'!C34="","",'Model inputs'!C34)</f>
        <v>0</v>
      </c>
      <c r="D336" s="7">
        <f>IF('Model inputs'!D34="","",'Model inputs'!D34)</f>
        <v>0</v>
      </c>
      <c r="E336" s="7">
        <f>IF('Model inputs'!E34="","",'Model inputs'!E34)</f>
        <v>5245</v>
      </c>
      <c r="F336" s="7">
        <f>IF('Model inputs'!F34="","",'Model inputs'!F34)</f>
        <v>5595</v>
      </c>
      <c r="G336" s="7">
        <f>IF('Model inputs'!G34="","",'Model inputs'!G34)</f>
        <v>5595</v>
      </c>
      <c r="H336" s="7">
        <f>IF('Model inputs'!H34="","",'Model inputs'!H34)</f>
        <v>7245</v>
      </c>
      <c r="I336" s="7">
        <f>IF('Model inputs'!I34="","",'Model inputs'!I34)</f>
        <v>7445</v>
      </c>
      <c r="J336" s="7">
        <f>IF('Model inputs'!J34="","",'Model inputs'!J34)</f>
        <v>7445</v>
      </c>
      <c r="K336" s="7">
        <f>IF('Model inputs'!K34="","",'Model inputs'!K34)</f>
        <v>11445</v>
      </c>
      <c r="L336" s="7">
        <f>IF('Model inputs'!L34="","",'Model inputs'!L34)</f>
        <v>11445</v>
      </c>
      <c r="M336" s="7">
        <f>IF('Model inputs'!M34="","",'Model inputs'!M34)</f>
        <v>11445</v>
      </c>
      <c r="N336" s="7">
        <f>IF('Model inputs'!N34="","",'Model inputs'!N34)</f>
        <v>11445</v>
      </c>
      <c r="O336" s="7">
        <f>IF('Model inputs'!O34="","",'Model inputs'!O34)</f>
        <v>11445</v>
      </c>
      <c r="P336" s="7">
        <f>IF('Model inputs'!P34="","",'Model inputs'!P34)</f>
        <v>11445</v>
      </c>
      <c r="Q336" s="7">
        <f>IF('Model inputs'!Q34="","",'Model inputs'!Q34)</f>
        <v>11445</v>
      </c>
      <c r="R336" s="7">
        <f>IF('Model inputs'!R34="","",'Model inputs'!R34)</f>
        <v>11445</v>
      </c>
      <c r="S336" s="7">
        <f>IF('Model inputs'!S34="","",'Model inputs'!S34)</f>
        <v>11445</v>
      </c>
      <c r="T336" s="7">
        <f>IF('Model inputs'!T34="","",'Model inputs'!T34)</f>
        <v>11445</v>
      </c>
      <c r="U336" s="7">
        <f>IF('Model inputs'!U34="","",'Model inputs'!U34)</f>
        <v>11445</v>
      </c>
      <c r="V336" s="7">
        <f>IF('Model inputs'!V34="","",'Model inputs'!V34)</f>
        <v>11445</v>
      </c>
      <c r="W336" s="7">
        <f>SUM('Model inputs'!W337,'Model inputs'!W338,'Model inputs'!W339,'Model inputs'!W340,'Model inputs'!W341,'Model inputs'!W342,'Model inputs'!W343,'Model inputs'!W344,'Model inputs'!W345,'Model inputs'!W346,'Model inputs'!W347)</f>
        <v>0</v>
      </c>
      <c r="X336" s="7">
        <f>SUM('Model inputs'!X337,'Model inputs'!X338,'Model inputs'!X339,'Model inputs'!X340,'Model inputs'!X341,'Model inputs'!X342,'Model inputs'!X343,'Model inputs'!X344,'Model inputs'!X345,'Model inputs'!X346,'Model inputs'!X347)</f>
        <v>0</v>
      </c>
      <c r="Y336" s="7">
        <f>SUM('Model inputs'!Y337,'Model inputs'!Y338,'Model inputs'!Y339,'Model inputs'!Y340,'Model inputs'!Y341,'Model inputs'!Y342,'Model inputs'!Y343,'Model inputs'!Y344,'Model inputs'!Y345,'Model inputs'!Y346,'Model inputs'!Y347)</f>
        <v>0</v>
      </c>
      <c r="Z336" s="7">
        <f>SUM('Model inputs'!Z337,'Model inputs'!Z338,'Model inputs'!Z339,'Model inputs'!Z340,'Model inputs'!Z341,'Model inputs'!Z342,'Model inputs'!Z343,'Model inputs'!Z344,'Model inputs'!Z345,'Model inputs'!Z346,'Model inputs'!Z347)</f>
        <v>0</v>
      </c>
      <c r="AA336" s="7">
        <f>SUM('Model inputs'!AA337,'Model inputs'!AA338,'Model inputs'!AA339,'Model inputs'!AA340,'Model inputs'!AA341,'Model inputs'!AA342,'Model inputs'!AA343,'Model inputs'!AA344,'Model inputs'!AA345,'Model inputs'!AA346,'Model inputs'!AA347)</f>
        <v>0</v>
      </c>
      <c r="AB336" s="7">
        <f>SUM('Model inputs'!AB337,'Model inputs'!AB338,'Model inputs'!AB339,'Model inputs'!AB340,'Model inputs'!AB341,'Model inputs'!AB342,'Model inputs'!AB343,'Model inputs'!AB344,'Model inputs'!AB345,'Model inputs'!AB346,'Model inputs'!AB347)</f>
        <v>0</v>
      </c>
      <c r="AC336" s="7">
        <f>SUM('Model inputs'!AC337,'Model inputs'!AC338,'Model inputs'!AC339,'Model inputs'!AC340,'Model inputs'!AC341,'Model inputs'!AC342,'Model inputs'!AC343,'Model inputs'!AC344,'Model inputs'!AC345,'Model inputs'!AC346,'Model inputs'!AC347)</f>
        <v>0</v>
      </c>
      <c r="AD336" s="7">
        <f>SUM('Model inputs'!AD337,'Model inputs'!AD338,'Model inputs'!AD339,'Model inputs'!AD340,'Model inputs'!AD341,'Model inputs'!AD342,'Model inputs'!AD343,'Model inputs'!AD344,'Model inputs'!AD345,'Model inputs'!AD346,'Model inputs'!AD347)</f>
        <v>0</v>
      </c>
      <c r="AE336" s="7">
        <f>SUM('Model inputs'!AE337,'Model inputs'!AE338,'Model inputs'!AE339,'Model inputs'!AE340,'Model inputs'!AE341,'Model inputs'!AE342,'Model inputs'!AE343,'Model inputs'!AE344,'Model inputs'!AE345,'Model inputs'!AE346,'Model inputs'!AE347)</f>
        <v>0</v>
      </c>
      <c r="AF336" s="7">
        <f>SUM('Model inputs'!AF337,'Model inputs'!AF338,'Model inputs'!AF339,'Model inputs'!AF340,'Model inputs'!AF341,'Model inputs'!AF342,'Model inputs'!AF343,'Model inputs'!AF344,'Model inputs'!AF345,'Model inputs'!AF346,'Model inputs'!AF347)</f>
        <v>0</v>
      </c>
      <c r="AG336" s="7">
        <f>SUM('Model inputs'!AG337,'Model inputs'!AG338,'Model inputs'!AG339,'Model inputs'!AG340,'Model inputs'!AG341,'Model inputs'!AG342,'Model inputs'!AG343,'Model inputs'!AG344,'Model inputs'!AG345,'Model inputs'!AG346,'Model inputs'!AG347)</f>
        <v>0</v>
      </c>
    </row>
    <row r="337" outlineLevel="1">
      <c r="A337" t="inlineStr" s="18">
        <is>
          <t xml:space="preserve">Opex &gt; Domain, email, extras</t>
        </is>
      </c>
      <c r="C337" s="9">
        <f>IF('Model inputs'!C35="","",'Model inputs'!C35)</f>
        <v>0</v>
      </c>
      <c r="D337" s="9">
        <f>IF('Model inputs'!D35="","",'Model inputs'!D35)</f>
        <v>0</v>
      </c>
      <c r="E337" s="9">
        <f>IF('Model inputs'!E35="","",'Model inputs'!E35)</f>
        <v>40</v>
      </c>
      <c r="F337" s="9">
        <f>IF('Model inputs'!F35="","",'Model inputs'!F35)</f>
        <v>40</v>
      </c>
      <c r="G337" s="9">
        <f>IF('Model inputs'!G35="","",'Model inputs'!G35)</f>
        <v>40</v>
      </c>
      <c r="H337" s="9">
        <f>IF('Model inputs'!H35="","",'Model inputs'!H35)</f>
        <v>40</v>
      </c>
      <c r="I337" s="9">
        <f>IF('Model inputs'!I35="","",'Model inputs'!I35)</f>
        <v>40</v>
      </c>
      <c r="J337" s="9">
        <f>IF('Model inputs'!J35="","",'Model inputs'!J35)</f>
        <v>40</v>
      </c>
      <c r="K337" s="9">
        <f>IF('Model inputs'!K35="","",'Model inputs'!K35)</f>
        <v>40</v>
      </c>
      <c r="L337" s="9">
        <f>IF('Model inputs'!L35="","",'Model inputs'!L35)</f>
        <v>40</v>
      </c>
      <c r="M337" s="9">
        <f>IF('Model inputs'!M35="","",'Model inputs'!M35)</f>
        <v>40</v>
      </c>
      <c r="N337" s="9">
        <f>IF('Model inputs'!N35="","",'Model inputs'!N35)</f>
        <v>40</v>
      </c>
      <c r="O337" s="9">
        <f>IF('Model inputs'!O35="","",'Model inputs'!O35)</f>
        <v>40</v>
      </c>
      <c r="P337" s="9">
        <f>IF('Model inputs'!P35="","",'Model inputs'!P35)</f>
        <v>40</v>
      </c>
      <c r="Q337" s="9">
        <f>IF('Model inputs'!Q35="","",'Model inputs'!Q35)</f>
        <v>40</v>
      </c>
      <c r="R337" s="9">
        <f>IF('Model inputs'!R35="","",'Model inputs'!R35)</f>
        <v>40</v>
      </c>
      <c r="S337" s="9">
        <f>IF('Model inputs'!S35="","",'Model inputs'!S35)</f>
        <v>40</v>
      </c>
      <c r="T337" s="9">
        <f>IF('Model inputs'!T35="","",'Model inputs'!T35)</f>
        <v>40</v>
      </c>
      <c r="U337" s="9">
        <f>IF('Model inputs'!U35="","",'Model inputs'!U35)</f>
        <v>40</v>
      </c>
      <c r="V337" s="9">
        <f>IF('Model inputs'!V35="","",'Model inputs'!V35)</f>
        <v>40</v>
      </c>
      <c r="W337" s="9">
        <f>'Model inputs'!B129*IF(IF(IF(IF(IFERROR('Model inputs'!B1111=FALSE,FALSE),FALSE,IF(IFERROR('Model inputs'!B1233=FALSE,FALSE),FALSE,IF(OR('Model inputs'!B1111="",'Model inputs'!B1233=""),"",AND('Model inputs'!B1111,'Model inputs'!B1233))))="",FALSE,IF(IFERROR('Model inputs'!B1111=FALSE,FALSE),FALSE,IF(IFERROR('Model inputs'!B1233=FALSE,FALSE),FALSE,IF(OR('Model inputs'!B1111="",'Model inputs'!B1233=""),"",AND('Model inputs'!B1111,'Model inputs'!B1233))))),IF('Model inputs'!B141="","",'Model inputs'!B141),0)="",0,IF(IF(IF(IFERROR('Model inputs'!B1111=FALSE,FALSE),FALSE,IF(IFERROR('Model inputs'!B1233=FALSE,FALSE),FALSE,IF(OR('Model inputs'!B1111="",'Model inputs'!B1233=""),"",AND('Model inputs'!B1111,'Model inputs'!B1233))))="",FALSE,IF(IFERROR('Model inputs'!B1111=FALSE,FALSE),FALSE,IF(IFERROR('Model inputs'!B1233=FALSE,FALSE),FALSE,IF(OR('Model inputs'!B1111="",'Model inputs'!B1233=""),"",AND('Model inputs'!B1111,'Model inputs'!B1233))))),IF('Model inputs'!B141="","",'Model inputs'!B141),0))</f>
        <v>0</v>
      </c>
      <c r="X337" s="9">
        <f>'Model inputs'!B129*IF(IF(IF(IF(IFERROR('Model inputs'!B1112=FALSE,FALSE),FALSE,IF(IFERROR('Model inputs'!B1235=FALSE,FALSE),FALSE,IF(OR('Model inputs'!B1112="",'Model inputs'!B1235=""),"",AND('Model inputs'!B1112,'Model inputs'!B1235))))="",FALSE,IF(IFERROR('Model inputs'!B1112=FALSE,FALSE),FALSE,IF(IFERROR('Model inputs'!B1235=FALSE,FALSE),FALSE,IF(OR('Model inputs'!B1112="",'Model inputs'!B1235=""),"",AND('Model inputs'!B1112,'Model inputs'!B1235))))),IF('Model inputs'!B141="","",'Model inputs'!B141),0)="",0,IF(IF(IF(IFERROR('Model inputs'!B1112=FALSE,FALSE),FALSE,IF(IFERROR('Model inputs'!B1235=FALSE,FALSE),FALSE,IF(OR('Model inputs'!B1112="",'Model inputs'!B1235=""),"",AND('Model inputs'!B1112,'Model inputs'!B1235))))="",FALSE,IF(IFERROR('Model inputs'!B1112=FALSE,FALSE),FALSE,IF(IFERROR('Model inputs'!B1235=FALSE,FALSE),FALSE,IF(OR('Model inputs'!B1112="",'Model inputs'!B1235=""),"",AND('Model inputs'!B1112,'Model inputs'!B1235))))),IF('Model inputs'!B141="","",'Model inputs'!B141),0))</f>
        <v>0</v>
      </c>
      <c r="Y337" s="9">
        <f>'Model inputs'!B129*IF(IF(IF(IF(IFERROR('Model inputs'!B1113=FALSE,FALSE),FALSE,IF(IFERROR('Model inputs'!B1237=FALSE,FALSE),FALSE,IF(OR('Model inputs'!B1113="",'Model inputs'!B1237=""),"",AND('Model inputs'!B1113,'Model inputs'!B1237))))="",FALSE,IF(IFERROR('Model inputs'!B1113=FALSE,FALSE),FALSE,IF(IFERROR('Model inputs'!B1237=FALSE,FALSE),FALSE,IF(OR('Model inputs'!B1113="",'Model inputs'!B1237=""),"",AND('Model inputs'!B1113,'Model inputs'!B1237))))),IF('Model inputs'!B141="","",'Model inputs'!B141),0)="",0,IF(IF(IF(IFERROR('Model inputs'!B1113=FALSE,FALSE),FALSE,IF(IFERROR('Model inputs'!B1237=FALSE,FALSE),FALSE,IF(OR('Model inputs'!B1113="",'Model inputs'!B1237=""),"",AND('Model inputs'!B1113,'Model inputs'!B1237))))="",FALSE,IF(IFERROR('Model inputs'!B1113=FALSE,FALSE),FALSE,IF(IFERROR('Model inputs'!B1237=FALSE,FALSE),FALSE,IF(OR('Model inputs'!B1113="",'Model inputs'!B1237=""),"",AND('Model inputs'!B1113,'Model inputs'!B1237))))),IF('Model inputs'!B141="","",'Model inputs'!B141),0))</f>
        <v>0</v>
      </c>
      <c r="Z337" s="9">
        <f>'Model inputs'!B129*IF(IF(IF(IF(IFERROR('Model inputs'!B1114=FALSE,FALSE),FALSE,IF(IFERROR('Model inputs'!B1239=FALSE,FALSE),FALSE,IF(OR('Model inputs'!B1114="",'Model inputs'!B1239=""),"",AND('Model inputs'!B1114,'Model inputs'!B1239))))="",FALSE,IF(IFERROR('Model inputs'!B1114=FALSE,FALSE),FALSE,IF(IFERROR('Model inputs'!B1239=FALSE,FALSE),FALSE,IF(OR('Model inputs'!B1114="",'Model inputs'!B1239=""),"",AND('Model inputs'!B1114,'Model inputs'!B1239))))),IF('Model inputs'!B141="","",'Model inputs'!B141),0)="",0,IF(IF(IF(IFERROR('Model inputs'!B1114=FALSE,FALSE),FALSE,IF(IFERROR('Model inputs'!B1239=FALSE,FALSE),FALSE,IF(OR('Model inputs'!B1114="",'Model inputs'!B1239=""),"",AND('Model inputs'!B1114,'Model inputs'!B1239))))="",FALSE,IF(IFERROR('Model inputs'!B1114=FALSE,FALSE),FALSE,IF(IFERROR('Model inputs'!B1239=FALSE,FALSE),FALSE,IF(OR('Model inputs'!B1114="",'Model inputs'!B1239=""),"",AND('Model inputs'!B1114,'Model inputs'!B1239))))),IF('Model inputs'!B141="","",'Model inputs'!B141),0))</f>
        <v>0</v>
      </c>
      <c r="AA337" s="9">
        <f>'Model inputs'!B129*IF(IF(IF(IF(IFERROR('Model inputs'!B1115=FALSE,FALSE),FALSE,IF(IFERROR('Model inputs'!B1241=FALSE,FALSE),FALSE,IF(OR('Model inputs'!B1115="",'Model inputs'!B1241=""),"",AND('Model inputs'!B1115,'Model inputs'!B1241))))="",FALSE,IF(IFERROR('Model inputs'!B1115=FALSE,FALSE),FALSE,IF(IFERROR('Model inputs'!B1241=FALSE,FALSE),FALSE,IF(OR('Model inputs'!B1115="",'Model inputs'!B1241=""),"",AND('Model inputs'!B1115,'Model inputs'!B1241))))),IF('Model inputs'!B141="","",'Model inputs'!B141),0)="",0,IF(IF(IF(IFERROR('Model inputs'!B1115=FALSE,FALSE),FALSE,IF(IFERROR('Model inputs'!B1241=FALSE,FALSE),FALSE,IF(OR('Model inputs'!B1115="",'Model inputs'!B1241=""),"",AND('Model inputs'!B1115,'Model inputs'!B1241))))="",FALSE,IF(IFERROR('Model inputs'!B1115=FALSE,FALSE),FALSE,IF(IFERROR('Model inputs'!B1241=FALSE,FALSE),FALSE,IF(OR('Model inputs'!B1115="",'Model inputs'!B1241=""),"",AND('Model inputs'!B1115,'Model inputs'!B1241))))),IF('Model inputs'!B141="","",'Model inputs'!B141),0))</f>
        <v>0</v>
      </c>
      <c r="AB337" s="9">
        <f>'Model inputs'!B129*IF(IF(IF(IF(IFERROR('Model inputs'!B1116=FALSE,FALSE),FALSE,IF(IFERROR('Model inputs'!B1243=FALSE,FALSE),FALSE,IF(OR('Model inputs'!B1116="",'Model inputs'!B1243=""),"",AND('Model inputs'!B1116,'Model inputs'!B1243))))="",FALSE,IF(IFERROR('Model inputs'!B1116=FALSE,FALSE),FALSE,IF(IFERROR('Model inputs'!B1243=FALSE,FALSE),FALSE,IF(OR('Model inputs'!B1116="",'Model inputs'!B1243=""),"",AND('Model inputs'!B1116,'Model inputs'!B1243))))),IF('Model inputs'!B141="","",'Model inputs'!B141),0)="",0,IF(IF(IF(IFERROR('Model inputs'!B1116=FALSE,FALSE),FALSE,IF(IFERROR('Model inputs'!B1243=FALSE,FALSE),FALSE,IF(OR('Model inputs'!B1116="",'Model inputs'!B1243=""),"",AND('Model inputs'!B1116,'Model inputs'!B1243))))="",FALSE,IF(IFERROR('Model inputs'!B1116=FALSE,FALSE),FALSE,IF(IFERROR('Model inputs'!B1243=FALSE,FALSE),FALSE,IF(OR('Model inputs'!B1116="",'Model inputs'!B1243=""),"",AND('Model inputs'!B1116,'Model inputs'!B1243))))),IF('Model inputs'!B141="","",'Model inputs'!B141),0))</f>
        <v>0</v>
      </c>
      <c r="AC337" s="9">
        <f>'Model inputs'!B129*IF(IF(IF(IF(IFERROR('Model inputs'!B1117=FALSE,FALSE),FALSE,IF(IFERROR('Model inputs'!B1245=FALSE,FALSE),FALSE,IF(OR('Model inputs'!B1117="",'Model inputs'!B1245=""),"",AND('Model inputs'!B1117,'Model inputs'!B1245))))="",FALSE,IF(IFERROR('Model inputs'!B1117=FALSE,FALSE),FALSE,IF(IFERROR('Model inputs'!B1245=FALSE,FALSE),FALSE,IF(OR('Model inputs'!B1117="",'Model inputs'!B1245=""),"",AND('Model inputs'!B1117,'Model inputs'!B1245))))),IF('Model inputs'!B141="","",'Model inputs'!B141),0)="",0,IF(IF(IF(IFERROR('Model inputs'!B1117=FALSE,FALSE),FALSE,IF(IFERROR('Model inputs'!B1245=FALSE,FALSE),FALSE,IF(OR('Model inputs'!B1117="",'Model inputs'!B1245=""),"",AND('Model inputs'!B1117,'Model inputs'!B1245))))="",FALSE,IF(IFERROR('Model inputs'!B1117=FALSE,FALSE),FALSE,IF(IFERROR('Model inputs'!B1245=FALSE,FALSE),FALSE,IF(OR('Model inputs'!B1117="",'Model inputs'!B1245=""),"",AND('Model inputs'!B1117,'Model inputs'!B1245))))),IF('Model inputs'!B141="","",'Model inputs'!B141),0))</f>
        <v>0</v>
      </c>
      <c r="AD337" s="9">
        <f>'Model inputs'!B129*IF(IF(IF(IF(IFERROR('Model inputs'!B1118=FALSE,FALSE),FALSE,IF(IFERROR('Model inputs'!B1247=FALSE,FALSE),FALSE,IF(OR('Model inputs'!B1118="",'Model inputs'!B1247=""),"",AND('Model inputs'!B1118,'Model inputs'!B1247))))="",FALSE,IF(IFERROR('Model inputs'!B1118=FALSE,FALSE),FALSE,IF(IFERROR('Model inputs'!B1247=FALSE,FALSE),FALSE,IF(OR('Model inputs'!B1118="",'Model inputs'!B1247=""),"",AND('Model inputs'!B1118,'Model inputs'!B1247))))),IF('Model inputs'!B141="","",'Model inputs'!B141),0)="",0,IF(IF(IF(IFERROR('Model inputs'!B1118=FALSE,FALSE),FALSE,IF(IFERROR('Model inputs'!B1247=FALSE,FALSE),FALSE,IF(OR('Model inputs'!B1118="",'Model inputs'!B1247=""),"",AND('Model inputs'!B1118,'Model inputs'!B1247))))="",FALSE,IF(IFERROR('Model inputs'!B1118=FALSE,FALSE),FALSE,IF(IFERROR('Model inputs'!B1247=FALSE,FALSE),FALSE,IF(OR('Model inputs'!B1118="",'Model inputs'!B1247=""),"",AND('Model inputs'!B1118,'Model inputs'!B1247))))),IF('Model inputs'!B141="","",'Model inputs'!B141),0))</f>
        <v>0</v>
      </c>
      <c r="AE337" s="9">
        <f>'Model inputs'!B129*IF(IF(IF(IF(IFERROR('Model inputs'!B1119=FALSE,FALSE),FALSE,IF(IFERROR('Model inputs'!B1249=FALSE,FALSE),FALSE,IF(OR('Model inputs'!B1119="",'Model inputs'!B1249=""),"",AND('Model inputs'!B1119,'Model inputs'!B1249))))="",FALSE,IF(IFERROR('Model inputs'!B1119=FALSE,FALSE),FALSE,IF(IFERROR('Model inputs'!B1249=FALSE,FALSE),FALSE,IF(OR('Model inputs'!B1119="",'Model inputs'!B1249=""),"",AND('Model inputs'!B1119,'Model inputs'!B1249))))),IF('Model inputs'!B141="","",'Model inputs'!B141),0)="",0,IF(IF(IF(IFERROR('Model inputs'!B1119=FALSE,FALSE),FALSE,IF(IFERROR('Model inputs'!B1249=FALSE,FALSE),FALSE,IF(OR('Model inputs'!B1119="",'Model inputs'!B1249=""),"",AND('Model inputs'!B1119,'Model inputs'!B1249))))="",FALSE,IF(IFERROR('Model inputs'!B1119=FALSE,FALSE),FALSE,IF(IFERROR('Model inputs'!B1249=FALSE,FALSE),FALSE,IF(OR('Model inputs'!B1119="",'Model inputs'!B1249=""),"",AND('Model inputs'!B1119,'Model inputs'!B1249))))),IF('Model inputs'!B141="","",'Model inputs'!B141),0))</f>
        <v>0</v>
      </c>
      <c r="AF337" s="9">
        <f>'Model inputs'!B129*IF(IF(IF(IF(IFERROR('Model inputs'!B1120=FALSE,FALSE),FALSE,IF(IFERROR('Model inputs'!B1251=FALSE,FALSE),FALSE,IF(OR('Model inputs'!B1120="",'Model inputs'!B1251=""),"",AND('Model inputs'!B1120,'Model inputs'!B1251))))="",FALSE,IF(IFERROR('Model inputs'!B1120=FALSE,FALSE),FALSE,IF(IFERROR('Model inputs'!B1251=FALSE,FALSE),FALSE,IF(OR('Model inputs'!B1120="",'Model inputs'!B1251=""),"",AND('Model inputs'!B1120,'Model inputs'!B1251))))),IF('Model inputs'!B141="","",'Model inputs'!B141),0)="",0,IF(IF(IF(IFERROR('Model inputs'!B1120=FALSE,FALSE),FALSE,IF(IFERROR('Model inputs'!B1251=FALSE,FALSE),FALSE,IF(OR('Model inputs'!B1120="",'Model inputs'!B1251=""),"",AND('Model inputs'!B1120,'Model inputs'!B1251))))="",FALSE,IF(IFERROR('Model inputs'!B1120=FALSE,FALSE),FALSE,IF(IFERROR('Model inputs'!B1251=FALSE,FALSE),FALSE,IF(OR('Model inputs'!B1120="",'Model inputs'!B1251=""),"",AND('Model inputs'!B1120,'Model inputs'!B1251))))),IF('Model inputs'!B141="","",'Model inputs'!B141),0))</f>
        <v>0</v>
      </c>
      <c r="AG337" s="9">
        <f>'Model inputs'!B129*IF(IF(IF(IF(IFERROR('Model inputs'!B1121=FALSE,FALSE),FALSE,IF(IFERROR('Model inputs'!B1253=FALSE,FALSE),FALSE,IF(OR('Model inputs'!B1121="",'Model inputs'!B1253=""),"",AND('Model inputs'!B1121,'Model inputs'!B1253))))="",FALSE,IF(IFERROR('Model inputs'!B1121=FALSE,FALSE),FALSE,IF(IFERROR('Model inputs'!B1253=FALSE,FALSE),FALSE,IF(OR('Model inputs'!B1121="",'Model inputs'!B1253=""),"",AND('Model inputs'!B1121,'Model inputs'!B1253))))),IF('Model inputs'!B141="","",'Model inputs'!B141),0)="",0,IF(IF(IF(IFERROR('Model inputs'!B1121=FALSE,FALSE),FALSE,IF(IFERROR('Model inputs'!B1253=FALSE,FALSE),FALSE,IF(OR('Model inputs'!B1121="",'Model inputs'!B1253=""),"",AND('Model inputs'!B1121,'Model inputs'!B1253))))="",FALSE,IF(IFERROR('Model inputs'!B1121=FALSE,FALSE),FALSE,IF(IFERROR('Model inputs'!B1253=FALSE,FALSE),FALSE,IF(OR('Model inputs'!B1121="",'Model inputs'!B1253=""),"",AND('Model inputs'!B1121,'Model inputs'!B1253))))),IF('Model inputs'!B141="","",'Model inputs'!B141),0))</f>
        <v>0</v>
      </c>
    </row>
    <row r="338" outlineLevel="1">
      <c r="A338" t="inlineStr" s="18">
        <is>
          <t xml:space="preserve">Opex &gt; Entire cloud workspace</t>
        </is>
      </c>
      <c r="C338" s="9">
        <f>IF('Model inputs'!C36="","",'Model inputs'!C36)</f>
        <v>0</v>
      </c>
      <c r="D338" s="9">
        <f>IF('Model inputs'!D36="","",'Model inputs'!D36)</f>
        <v>0</v>
      </c>
      <c r="E338" s="9">
        <f>IF('Model inputs'!E36="","",'Model inputs'!E36)</f>
        <v>0</v>
      </c>
      <c r="F338" s="9">
        <f>IF('Model inputs'!F36="","",'Model inputs'!F36)</f>
        <v>0</v>
      </c>
      <c r="G338" s="9">
        <f>IF('Model inputs'!G36="","",'Model inputs'!G36)</f>
        <v>0</v>
      </c>
      <c r="H338" s="9">
        <f>IF('Model inputs'!H36="","",'Model inputs'!H36)</f>
        <v>0</v>
      </c>
      <c r="I338" s="9">
        <f>IF('Model inputs'!I36="","",'Model inputs'!I36)</f>
        <v>200</v>
      </c>
      <c r="J338" s="9">
        <f>IF('Model inputs'!J36="","",'Model inputs'!J36)</f>
        <v>200</v>
      </c>
      <c r="K338" s="9">
        <f>IF('Model inputs'!K36="","",'Model inputs'!K36)</f>
        <v>200</v>
      </c>
      <c r="L338" s="9">
        <f>IF('Model inputs'!L36="","",'Model inputs'!L36)</f>
        <v>200</v>
      </c>
      <c r="M338" s="9">
        <f>IF('Model inputs'!M36="","",'Model inputs'!M36)</f>
        <v>200</v>
      </c>
      <c r="N338" s="9">
        <f>IF('Model inputs'!N36="","",'Model inputs'!N36)</f>
        <v>200</v>
      </c>
      <c r="O338" s="9">
        <f>IF('Model inputs'!O36="","",'Model inputs'!O36)</f>
        <v>200</v>
      </c>
      <c r="P338" s="9">
        <f>IF('Model inputs'!P36="","",'Model inputs'!P36)</f>
        <v>200</v>
      </c>
      <c r="Q338" s="9">
        <f>IF('Model inputs'!Q36="","",'Model inputs'!Q36)</f>
        <v>200</v>
      </c>
      <c r="R338" s="9">
        <f>IF('Model inputs'!R36="","",'Model inputs'!R36)</f>
        <v>200</v>
      </c>
      <c r="S338" s="9">
        <f>IF('Model inputs'!S36="","",'Model inputs'!S36)</f>
        <v>200</v>
      </c>
      <c r="T338" s="9">
        <f>IF('Model inputs'!T36="","",'Model inputs'!T36)</f>
        <v>200</v>
      </c>
      <c r="U338" s="9">
        <f>IF('Model inputs'!U36="","",'Model inputs'!U36)</f>
        <v>200</v>
      </c>
      <c r="V338" s="9">
        <f>IF('Model inputs'!V36="","",'Model inputs'!V36)</f>
        <v>200</v>
      </c>
      <c r="W338" s="9">
        <f>'Model inputs'!B130*IF(IF(IF(IF(IFERROR('Model inputs'!B1122=FALSE,FALSE),FALSE,IF(IFERROR('Model inputs'!B1255=FALSE,FALSE),FALSE,IF(OR('Model inputs'!B1122="",'Model inputs'!B1255=""),"",AND('Model inputs'!B1122,'Model inputs'!B1255))))="",FALSE,IF(IFERROR('Model inputs'!B1122=FALSE,FALSE),FALSE,IF(IFERROR('Model inputs'!B1255=FALSE,FALSE),FALSE,IF(OR('Model inputs'!B1122="",'Model inputs'!B1255=""),"",AND('Model inputs'!B1122,'Model inputs'!B1255))))),IF('Model inputs'!B142="","",'Model inputs'!B142),0)="",0,IF(IF(IF(IFERROR('Model inputs'!B1122=FALSE,FALSE),FALSE,IF(IFERROR('Model inputs'!B1255=FALSE,FALSE),FALSE,IF(OR('Model inputs'!B1122="",'Model inputs'!B1255=""),"",AND('Model inputs'!B1122,'Model inputs'!B1255))))="",FALSE,IF(IFERROR('Model inputs'!B1122=FALSE,FALSE),FALSE,IF(IFERROR('Model inputs'!B1255=FALSE,FALSE),FALSE,IF(OR('Model inputs'!B1122="",'Model inputs'!B1255=""),"",AND('Model inputs'!B1122,'Model inputs'!B1255))))),IF('Model inputs'!B142="","",'Model inputs'!B142),0))</f>
        <v>0</v>
      </c>
      <c r="X338" s="9">
        <f>'Model inputs'!B130*IF(IF(IF(IF(IFERROR('Model inputs'!B1123=FALSE,FALSE),FALSE,IF(IFERROR('Model inputs'!B1257=FALSE,FALSE),FALSE,IF(OR('Model inputs'!B1123="",'Model inputs'!B1257=""),"",AND('Model inputs'!B1123,'Model inputs'!B1257))))="",FALSE,IF(IFERROR('Model inputs'!B1123=FALSE,FALSE),FALSE,IF(IFERROR('Model inputs'!B1257=FALSE,FALSE),FALSE,IF(OR('Model inputs'!B1123="",'Model inputs'!B1257=""),"",AND('Model inputs'!B1123,'Model inputs'!B1257))))),IF('Model inputs'!B142="","",'Model inputs'!B142),0)="",0,IF(IF(IF(IFERROR('Model inputs'!B1123=FALSE,FALSE),FALSE,IF(IFERROR('Model inputs'!B1257=FALSE,FALSE),FALSE,IF(OR('Model inputs'!B1123="",'Model inputs'!B1257=""),"",AND('Model inputs'!B1123,'Model inputs'!B1257))))="",FALSE,IF(IFERROR('Model inputs'!B1123=FALSE,FALSE),FALSE,IF(IFERROR('Model inputs'!B1257=FALSE,FALSE),FALSE,IF(OR('Model inputs'!B1123="",'Model inputs'!B1257=""),"",AND('Model inputs'!B1123,'Model inputs'!B1257))))),IF('Model inputs'!B142="","",'Model inputs'!B142),0))</f>
        <v>0</v>
      </c>
      <c r="Y338" s="9">
        <f>'Model inputs'!B130*IF(IF(IF(IF(IFERROR('Model inputs'!B1124=FALSE,FALSE),FALSE,IF(IFERROR('Model inputs'!B1259=FALSE,FALSE),FALSE,IF(OR('Model inputs'!B1124="",'Model inputs'!B1259=""),"",AND('Model inputs'!B1124,'Model inputs'!B1259))))="",FALSE,IF(IFERROR('Model inputs'!B1124=FALSE,FALSE),FALSE,IF(IFERROR('Model inputs'!B1259=FALSE,FALSE),FALSE,IF(OR('Model inputs'!B1124="",'Model inputs'!B1259=""),"",AND('Model inputs'!B1124,'Model inputs'!B1259))))),IF('Model inputs'!B142="","",'Model inputs'!B142),0)="",0,IF(IF(IF(IFERROR('Model inputs'!B1124=FALSE,FALSE),FALSE,IF(IFERROR('Model inputs'!B1259=FALSE,FALSE),FALSE,IF(OR('Model inputs'!B1124="",'Model inputs'!B1259=""),"",AND('Model inputs'!B1124,'Model inputs'!B1259))))="",FALSE,IF(IFERROR('Model inputs'!B1124=FALSE,FALSE),FALSE,IF(IFERROR('Model inputs'!B1259=FALSE,FALSE),FALSE,IF(OR('Model inputs'!B1124="",'Model inputs'!B1259=""),"",AND('Model inputs'!B1124,'Model inputs'!B1259))))),IF('Model inputs'!B142="","",'Model inputs'!B142),0))</f>
        <v>0</v>
      </c>
      <c r="Z338" s="9">
        <f>'Model inputs'!B130*IF(IF(IF(IF(IFERROR('Model inputs'!B1125=FALSE,FALSE),FALSE,IF(IFERROR('Model inputs'!B1261=FALSE,FALSE),FALSE,IF(OR('Model inputs'!B1125="",'Model inputs'!B1261=""),"",AND('Model inputs'!B1125,'Model inputs'!B1261))))="",FALSE,IF(IFERROR('Model inputs'!B1125=FALSE,FALSE),FALSE,IF(IFERROR('Model inputs'!B1261=FALSE,FALSE),FALSE,IF(OR('Model inputs'!B1125="",'Model inputs'!B1261=""),"",AND('Model inputs'!B1125,'Model inputs'!B1261))))),IF('Model inputs'!B142="","",'Model inputs'!B142),0)="",0,IF(IF(IF(IFERROR('Model inputs'!B1125=FALSE,FALSE),FALSE,IF(IFERROR('Model inputs'!B1261=FALSE,FALSE),FALSE,IF(OR('Model inputs'!B1125="",'Model inputs'!B1261=""),"",AND('Model inputs'!B1125,'Model inputs'!B1261))))="",FALSE,IF(IFERROR('Model inputs'!B1125=FALSE,FALSE),FALSE,IF(IFERROR('Model inputs'!B1261=FALSE,FALSE),FALSE,IF(OR('Model inputs'!B1125="",'Model inputs'!B1261=""),"",AND('Model inputs'!B1125,'Model inputs'!B1261))))),IF('Model inputs'!B142="","",'Model inputs'!B142),0))</f>
        <v>0</v>
      </c>
      <c r="AA338" s="9">
        <f>'Model inputs'!B130*IF(IF(IF(IF(IFERROR('Model inputs'!B1126=FALSE,FALSE),FALSE,IF(IFERROR('Model inputs'!B1263=FALSE,FALSE),FALSE,IF(OR('Model inputs'!B1126="",'Model inputs'!B1263=""),"",AND('Model inputs'!B1126,'Model inputs'!B1263))))="",FALSE,IF(IFERROR('Model inputs'!B1126=FALSE,FALSE),FALSE,IF(IFERROR('Model inputs'!B1263=FALSE,FALSE),FALSE,IF(OR('Model inputs'!B1126="",'Model inputs'!B1263=""),"",AND('Model inputs'!B1126,'Model inputs'!B1263))))),IF('Model inputs'!B142="","",'Model inputs'!B142),0)="",0,IF(IF(IF(IFERROR('Model inputs'!B1126=FALSE,FALSE),FALSE,IF(IFERROR('Model inputs'!B1263=FALSE,FALSE),FALSE,IF(OR('Model inputs'!B1126="",'Model inputs'!B1263=""),"",AND('Model inputs'!B1126,'Model inputs'!B1263))))="",FALSE,IF(IFERROR('Model inputs'!B1126=FALSE,FALSE),FALSE,IF(IFERROR('Model inputs'!B1263=FALSE,FALSE),FALSE,IF(OR('Model inputs'!B1126="",'Model inputs'!B1263=""),"",AND('Model inputs'!B1126,'Model inputs'!B1263))))),IF('Model inputs'!B142="","",'Model inputs'!B142),0))</f>
        <v>0</v>
      </c>
      <c r="AB338" s="9">
        <f>'Model inputs'!B130*IF(IF(IF(IF(IFERROR('Model inputs'!B1127=FALSE,FALSE),FALSE,IF(IFERROR('Model inputs'!B1265=FALSE,FALSE),FALSE,IF(OR('Model inputs'!B1127="",'Model inputs'!B1265=""),"",AND('Model inputs'!B1127,'Model inputs'!B1265))))="",FALSE,IF(IFERROR('Model inputs'!B1127=FALSE,FALSE),FALSE,IF(IFERROR('Model inputs'!B1265=FALSE,FALSE),FALSE,IF(OR('Model inputs'!B1127="",'Model inputs'!B1265=""),"",AND('Model inputs'!B1127,'Model inputs'!B1265))))),IF('Model inputs'!B142="","",'Model inputs'!B142),0)="",0,IF(IF(IF(IFERROR('Model inputs'!B1127=FALSE,FALSE),FALSE,IF(IFERROR('Model inputs'!B1265=FALSE,FALSE),FALSE,IF(OR('Model inputs'!B1127="",'Model inputs'!B1265=""),"",AND('Model inputs'!B1127,'Model inputs'!B1265))))="",FALSE,IF(IFERROR('Model inputs'!B1127=FALSE,FALSE),FALSE,IF(IFERROR('Model inputs'!B1265=FALSE,FALSE),FALSE,IF(OR('Model inputs'!B1127="",'Model inputs'!B1265=""),"",AND('Model inputs'!B1127,'Model inputs'!B1265))))),IF('Model inputs'!B142="","",'Model inputs'!B142),0))</f>
        <v>0</v>
      </c>
      <c r="AC338" s="9">
        <f>'Model inputs'!B130*IF(IF(IF(IF(IFERROR('Model inputs'!B1128=FALSE,FALSE),FALSE,IF(IFERROR('Model inputs'!B1267=FALSE,FALSE),FALSE,IF(OR('Model inputs'!B1128="",'Model inputs'!B1267=""),"",AND('Model inputs'!B1128,'Model inputs'!B1267))))="",FALSE,IF(IFERROR('Model inputs'!B1128=FALSE,FALSE),FALSE,IF(IFERROR('Model inputs'!B1267=FALSE,FALSE),FALSE,IF(OR('Model inputs'!B1128="",'Model inputs'!B1267=""),"",AND('Model inputs'!B1128,'Model inputs'!B1267))))),IF('Model inputs'!B142="","",'Model inputs'!B142),0)="",0,IF(IF(IF(IFERROR('Model inputs'!B1128=FALSE,FALSE),FALSE,IF(IFERROR('Model inputs'!B1267=FALSE,FALSE),FALSE,IF(OR('Model inputs'!B1128="",'Model inputs'!B1267=""),"",AND('Model inputs'!B1128,'Model inputs'!B1267))))="",FALSE,IF(IFERROR('Model inputs'!B1128=FALSE,FALSE),FALSE,IF(IFERROR('Model inputs'!B1267=FALSE,FALSE),FALSE,IF(OR('Model inputs'!B1128="",'Model inputs'!B1267=""),"",AND('Model inputs'!B1128,'Model inputs'!B1267))))),IF('Model inputs'!B142="","",'Model inputs'!B142),0))</f>
        <v>0</v>
      </c>
      <c r="AD338" s="9">
        <f>'Model inputs'!B130*IF(IF(IF(IF(IFERROR('Model inputs'!B1129=FALSE,FALSE),FALSE,IF(IFERROR('Model inputs'!B1269=FALSE,FALSE),FALSE,IF(OR('Model inputs'!B1129="",'Model inputs'!B1269=""),"",AND('Model inputs'!B1129,'Model inputs'!B1269))))="",FALSE,IF(IFERROR('Model inputs'!B1129=FALSE,FALSE),FALSE,IF(IFERROR('Model inputs'!B1269=FALSE,FALSE),FALSE,IF(OR('Model inputs'!B1129="",'Model inputs'!B1269=""),"",AND('Model inputs'!B1129,'Model inputs'!B1269))))),IF('Model inputs'!B142="","",'Model inputs'!B142),0)="",0,IF(IF(IF(IFERROR('Model inputs'!B1129=FALSE,FALSE),FALSE,IF(IFERROR('Model inputs'!B1269=FALSE,FALSE),FALSE,IF(OR('Model inputs'!B1129="",'Model inputs'!B1269=""),"",AND('Model inputs'!B1129,'Model inputs'!B1269))))="",FALSE,IF(IFERROR('Model inputs'!B1129=FALSE,FALSE),FALSE,IF(IFERROR('Model inputs'!B1269=FALSE,FALSE),FALSE,IF(OR('Model inputs'!B1129="",'Model inputs'!B1269=""),"",AND('Model inputs'!B1129,'Model inputs'!B1269))))),IF('Model inputs'!B142="","",'Model inputs'!B142),0))</f>
        <v>0</v>
      </c>
      <c r="AE338" s="9">
        <f>'Model inputs'!B130*IF(IF(IF(IF(IFERROR('Model inputs'!B1130=FALSE,FALSE),FALSE,IF(IFERROR('Model inputs'!B1271=FALSE,FALSE),FALSE,IF(OR('Model inputs'!B1130="",'Model inputs'!B1271=""),"",AND('Model inputs'!B1130,'Model inputs'!B1271))))="",FALSE,IF(IFERROR('Model inputs'!B1130=FALSE,FALSE),FALSE,IF(IFERROR('Model inputs'!B1271=FALSE,FALSE),FALSE,IF(OR('Model inputs'!B1130="",'Model inputs'!B1271=""),"",AND('Model inputs'!B1130,'Model inputs'!B1271))))),IF('Model inputs'!B142="","",'Model inputs'!B142),0)="",0,IF(IF(IF(IFERROR('Model inputs'!B1130=FALSE,FALSE),FALSE,IF(IFERROR('Model inputs'!B1271=FALSE,FALSE),FALSE,IF(OR('Model inputs'!B1130="",'Model inputs'!B1271=""),"",AND('Model inputs'!B1130,'Model inputs'!B1271))))="",FALSE,IF(IFERROR('Model inputs'!B1130=FALSE,FALSE),FALSE,IF(IFERROR('Model inputs'!B1271=FALSE,FALSE),FALSE,IF(OR('Model inputs'!B1130="",'Model inputs'!B1271=""),"",AND('Model inputs'!B1130,'Model inputs'!B1271))))),IF('Model inputs'!B142="","",'Model inputs'!B142),0))</f>
        <v>0</v>
      </c>
      <c r="AF338" s="9">
        <f>'Model inputs'!B130*IF(IF(IF(IF(IFERROR('Model inputs'!B1131=FALSE,FALSE),FALSE,IF(IFERROR('Model inputs'!B1273=FALSE,FALSE),FALSE,IF(OR('Model inputs'!B1131="",'Model inputs'!B1273=""),"",AND('Model inputs'!B1131,'Model inputs'!B1273))))="",FALSE,IF(IFERROR('Model inputs'!B1131=FALSE,FALSE),FALSE,IF(IFERROR('Model inputs'!B1273=FALSE,FALSE),FALSE,IF(OR('Model inputs'!B1131="",'Model inputs'!B1273=""),"",AND('Model inputs'!B1131,'Model inputs'!B1273))))),IF('Model inputs'!B142="","",'Model inputs'!B142),0)="",0,IF(IF(IF(IFERROR('Model inputs'!B1131=FALSE,FALSE),FALSE,IF(IFERROR('Model inputs'!B1273=FALSE,FALSE),FALSE,IF(OR('Model inputs'!B1131="",'Model inputs'!B1273=""),"",AND('Model inputs'!B1131,'Model inputs'!B1273))))="",FALSE,IF(IFERROR('Model inputs'!B1131=FALSE,FALSE),FALSE,IF(IFERROR('Model inputs'!B1273=FALSE,FALSE),FALSE,IF(OR('Model inputs'!B1131="",'Model inputs'!B1273=""),"",AND('Model inputs'!B1131,'Model inputs'!B1273))))),IF('Model inputs'!B142="","",'Model inputs'!B142),0))</f>
        <v>0</v>
      </c>
      <c r="AG338" s="9">
        <f>'Model inputs'!B130*IF(IF(IF(IF(IFERROR('Model inputs'!B1132=FALSE,FALSE),FALSE,IF(IFERROR('Model inputs'!B1275=FALSE,FALSE),FALSE,IF(OR('Model inputs'!B1132="",'Model inputs'!B1275=""),"",AND('Model inputs'!B1132,'Model inputs'!B1275))))="",FALSE,IF(IFERROR('Model inputs'!B1132=FALSE,FALSE),FALSE,IF(IFERROR('Model inputs'!B1275=FALSE,FALSE),FALSE,IF(OR('Model inputs'!B1132="",'Model inputs'!B1275=""),"",AND('Model inputs'!B1132,'Model inputs'!B1275))))),IF('Model inputs'!B142="","",'Model inputs'!B142),0)="",0,IF(IF(IF(IFERROR('Model inputs'!B1132=FALSE,FALSE),FALSE,IF(IFERROR('Model inputs'!B1275=FALSE,FALSE),FALSE,IF(OR('Model inputs'!B1132="",'Model inputs'!B1275=""),"",AND('Model inputs'!B1132,'Model inputs'!B1275))))="",FALSE,IF(IFERROR('Model inputs'!B1132=FALSE,FALSE),FALSE,IF(IFERROR('Model inputs'!B1275=FALSE,FALSE),FALSE,IF(OR('Model inputs'!B1132="",'Model inputs'!B1275=""),"",AND('Model inputs'!B1132,'Model inputs'!B1275))))),IF('Model inputs'!B142="","",'Model inputs'!B142),0))</f>
        <v>0</v>
      </c>
    </row>
    <row r="339" outlineLevel="1">
      <c r="A339" t="inlineStr" s="18">
        <is>
          <t xml:space="preserve">Opex &gt; First engineer (loaded)</t>
        </is>
      </c>
      <c r="C339" s="9">
        <f>IF('Model inputs'!C37="","",'Model inputs'!C37)</f>
        <v>0</v>
      </c>
      <c r="D339" s="9">
        <f>IF('Model inputs'!D37="","",'Model inputs'!D37)</f>
        <v>0</v>
      </c>
      <c r="E339" s="9">
        <f>IF('Model inputs'!E37="","",'Model inputs'!E37)</f>
        <v>0</v>
      </c>
      <c r="F339" s="9">
        <f>IF('Model inputs'!F37="","",'Model inputs'!F37)</f>
        <v>0</v>
      </c>
      <c r="G339" s="9">
        <f>IF('Model inputs'!G37="","",'Model inputs'!G37)</f>
        <v>0</v>
      </c>
      <c r="H339" s="9">
        <f>IF('Model inputs'!H37="","",'Model inputs'!H37)</f>
        <v>0</v>
      </c>
      <c r="I339" s="9">
        <f>IF('Model inputs'!I37="","",'Model inputs'!I37)</f>
        <v>0</v>
      </c>
      <c r="J339" s="9">
        <f>IF('Model inputs'!J37="","",'Model inputs'!J37)</f>
        <v>0</v>
      </c>
      <c r="K339" s="9">
        <f>IF('Model inputs'!K37="","",'Model inputs'!K37)</f>
        <v>0</v>
      </c>
      <c r="L339" s="9">
        <f>IF('Model inputs'!L37="","",'Model inputs'!L37)</f>
        <v>0</v>
      </c>
      <c r="M339" s="9">
        <f>IF('Model inputs'!M37="","",'Model inputs'!M37)</f>
        <v>0</v>
      </c>
      <c r="N339" s="9">
        <f>IF('Model inputs'!N37="","",'Model inputs'!N37)</f>
        <v>0</v>
      </c>
      <c r="O339" s="9">
        <f>IF('Model inputs'!O37="","",'Model inputs'!O37)</f>
        <v>0</v>
      </c>
      <c r="P339" s="9">
        <f>IF('Model inputs'!P37="","",'Model inputs'!P37)</f>
        <v>0</v>
      </c>
      <c r="Q339" s="9">
        <f>IF('Model inputs'!Q37="","",'Model inputs'!Q37)</f>
        <v>0</v>
      </c>
      <c r="R339" s="9">
        <f>IF('Model inputs'!R37="","",'Model inputs'!R37)</f>
        <v>0</v>
      </c>
      <c r="S339" s="9">
        <f>IF('Model inputs'!S37="","",'Model inputs'!S37)</f>
        <v>0</v>
      </c>
      <c r="T339" s="9">
        <f>IF('Model inputs'!T37="","",'Model inputs'!T37)</f>
        <v>0</v>
      </c>
      <c r="U339" s="9">
        <f>IF('Model inputs'!U37="","",'Model inputs'!U37)</f>
        <v>0</v>
      </c>
      <c r="V339" s="9">
        <f>IF('Model inputs'!V37="","",'Model inputs'!V37)</f>
        <v>0</v>
      </c>
      <c r="W339" s="9">
        <f>'Model inputs'!B131*IF(IF(IF(IF(IFERROR('Model inputs'!B1133=FALSE,FALSE),FALSE,IF(IFERROR('Model inputs'!B1277=FALSE,FALSE),FALSE,IF(OR('Model inputs'!B1133="",'Model inputs'!B1277=""),"",AND('Model inputs'!B1133,'Model inputs'!B1277))))="",FALSE,IF(IFERROR('Model inputs'!B1133=FALSE,FALSE),FALSE,IF(IFERROR('Model inputs'!B1277=FALSE,FALSE),FALSE,IF(OR('Model inputs'!B1133="",'Model inputs'!B1277=""),"",AND('Model inputs'!B1133,'Model inputs'!B1277))))),IF('Model inputs'!B143="","",'Model inputs'!B143),0)="",0,IF(IF(IF(IFERROR('Model inputs'!B1133=FALSE,FALSE),FALSE,IF(IFERROR('Model inputs'!B1277=FALSE,FALSE),FALSE,IF(OR('Model inputs'!B1133="",'Model inputs'!B1277=""),"",AND('Model inputs'!B1133,'Model inputs'!B1277))))="",FALSE,IF(IFERROR('Model inputs'!B1133=FALSE,FALSE),FALSE,IF(IFERROR('Model inputs'!B1277=FALSE,FALSE),FALSE,IF(OR('Model inputs'!B1133="",'Model inputs'!B1277=""),"",AND('Model inputs'!B1133,'Model inputs'!B1277))))),IF('Model inputs'!B143="","",'Model inputs'!B143),0))</f>
        <v>0</v>
      </c>
      <c r="X339" s="9">
        <f>'Model inputs'!B131*IF(IF(IF(IF(IFERROR('Model inputs'!B1134=FALSE,FALSE),FALSE,IF(IFERROR('Model inputs'!B1279=FALSE,FALSE),FALSE,IF(OR('Model inputs'!B1134="",'Model inputs'!B1279=""),"",AND('Model inputs'!B1134,'Model inputs'!B1279))))="",FALSE,IF(IFERROR('Model inputs'!B1134=FALSE,FALSE),FALSE,IF(IFERROR('Model inputs'!B1279=FALSE,FALSE),FALSE,IF(OR('Model inputs'!B1134="",'Model inputs'!B1279=""),"",AND('Model inputs'!B1134,'Model inputs'!B1279))))),IF('Model inputs'!B143="","",'Model inputs'!B143),0)="",0,IF(IF(IF(IFERROR('Model inputs'!B1134=FALSE,FALSE),FALSE,IF(IFERROR('Model inputs'!B1279=FALSE,FALSE),FALSE,IF(OR('Model inputs'!B1134="",'Model inputs'!B1279=""),"",AND('Model inputs'!B1134,'Model inputs'!B1279))))="",FALSE,IF(IFERROR('Model inputs'!B1134=FALSE,FALSE),FALSE,IF(IFERROR('Model inputs'!B1279=FALSE,FALSE),FALSE,IF(OR('Model inputs'!B1134="",'Model inputs'!B1279=""),"",AND('Model inputs'!B1134,'Model inputs'!B1279))))),IF('Model inputs'!B143="","",'Model inputs'!B143),0))</f>
        <v>0</v>
      </c>
      <c r="Y339" s="9">
        <f>'Model inputs'!B131*IF(IF(IF(IF(IFERROR('Model inputs'!B1135=FALSE,FALSE),FALSE,IF(IFERROR('Model inputs'!B1281=FALSE,FALSE),FALSE,IF(OR('Model inputs'!B1135="",'Model inputs'!B1281=""),"",AND('Model inputs'!B1135,'Model inputs'!B1281))))="",FALSE,IF(IFERROR('Model inputs'!B1135=FALSE,FALSE),FALSE,IF(IFERROR('Model inputs'!B1281=FALSE,FALSE),FALSE,IF(OR('Model inputs'!B1135="",'Model inputs'!B1281=""),"",AND('Model inputs'!B1135,'Model inputs'!B1281))))),IF('Model inputs'!B143="","",'Model inputs'!B143),0)="",0,IF(IF(IF(IFERROR('Model inputs'!B1135=FALSE,FALSE),FALSE,IF(IFERROR('Model inputs'!B1281=FALSE,FALSE),FALSE,IF(OR('Model inputs'!B1135="",'Model inputs'!B1281=""),"",AND('Model inputs'!B1135,'Model inputs'!B1281))))="",FALSE,IF(IFERROR('Model inputs'!B1135=FALSE,FALSE),FALSE,IF(IFERROR('Model inputs'!B1281=FALSE,FALSE),FALSE,IF(OR('Model inputs'!B1135="",'Model inputs'!B1281=""),"",AND('Model inputs'!B1135,'Model inputs'!B1281))))),IF('Model inputs'!B143="","",'Model inputs'!B143),0))</f>
        <v>0</v>
      </c>
      <c r="Z339" s="9">
        <f>'Model inputs'!B131*IF(IF(IF(IF(IFERROR('Model inputs'!B1136=FALSE,FALSE),FALSE,IF(IFERROR('Model inputs'!B1283=FALSE,FALSE),FALSE,IF(OR('Model inputs'!B1136="",'Model inputs'!B1283=""),"",AND('Model inputs'!B1136,'Model inputs'!B1283))))="",FALSE,IF(IFERROR('Model inputs'!B1136=FALSE,FALSE),FALSE,IF(IFERROR('Model inputs'!B1283=FALSE,FALSE),FALSE,IF(OR('Model inputs'!B1136="",'Model inputs'!B1283=""),"",AND('Model inputs'!B1136,'Model inputs'!B1283))))),IF('Model inputs'!B143="","",'Model inputs'!B143),0)="",0,IF(IF(IF(IFERROR('Model inputs'!B1136=FALSE,FALSE),FALSE,IF(IFERROR('Model inputs'!B1283=FALSE,FALSE),FALSE,IF(OR('Model inputs'!B1136="",'Model inputs'!B1283=""),"",AND('Model inputs'!B1136,'Model inputs'!B1283))))="",FALSE,IF(IFERROR('Model inputs'!B1136=FALSE,FALSE),FALSE,IF(IFERROR('Model inputs'!B1283=FALSE,FALSE),FALSE,IF(OR('Model inputs'!B1136="",'Model inputs'!B1283=""),"",AND('Model inputs'!B1136,'Model inputs'!B1283))))),IF('Model inputs'!B143="","",'Model inputs'!B143),0))</f>
        <v>0</v>
      </c>
      <c r="AA339" s="9">
        <f>'Model inputs'!B131*IF(IF(IF(IF(IFERROR('Model inputs'!B1137=FALSE,FALSE),FALSE,IF(IFERROR('Model inputs'!B1285=FALSE,FALSE),FALSE,IF(OR('Model inputs'!B1137="",'Model inputs'!B1285=""),"",AND('Model inputs'!B1137,'Model inputs'!B1285))))="",FALSE,IF(IFERROR('Model inputs'!B1137=FALSE,FALSE),FALSE,IF(IFERROR('Model inputs'!B1285=FALSE,FALSE),FALSE,IF(OR('Model inputs'!B1137="",'Model inputs'!B1285=""),"",AND('Model inputs'!B1137,'Model inputs'!B1285))))),IF('Model inputs'!B143="","",'Model inputs'!B143),0)="",0,IF(IF(IF(IFERROR('Model inputs'!B1137=FALSE,FALSE),FALSE,IF(IFERROR('Model inputs'!B1285=FALSE,FALSE),FALSE,IF(OR('Model inputs'!B1137="",'Model inputs'!B1285=""),"",AND('Model inputs'!B1137,'Model inputs'!B1285))))="",FALSE,IF(IFERROR('Model inputs'!B1137=FALSE,FALSE),FALSE,IF(IFERROR('Model inputs'!B1285=FALSE,FALSE),FALSE,IF(OR('Model inputs'!B1137="",'Model inputs'!B1285=""),"",AND('Model inputs'!B1137,'Model inputs'!B1285))))),IF('Model inputs'!B143="","",'Model inputs'!B143),0))</f>
        <v>0</v>
      </c>
      <c r="AB339" s="9">
        <f>'Model inputs'!B131*IF(IF(IF(IF(IFERROR('Model inputs'!B1138=FALSE,FALSE),FALSE,IF(IFERROR('Model inputs'!B1287=FALSE,FALSE),FALSE,IF(OR('Model inputs'!B1138="",'Model inputs'!B1287=""),"",AND('Model inputs'!B1138,'Model inputs'!B1287))))="",FALSE,IF(IFERROR('Model inputs'!B1138=FALSE,FALSE),FALSE,IF(IFERROR('Model inputs'!B1287=FALSE,FALSE),FALSE,IF(OR('Model inputs'!B1138="",'Model inputs'!B1287=""),"",AND('Model inputs'!B1138,'Model inputs'!B1287))))),IF('Model inputs'!B143="","",'Model inputs'!B143),0)="",0,IF(IF(IF(IFERROR('Model inputs'!B1138=FALSE,FALSE),FALSE,IF(IFERROR('Model inputs'!B1287=FALSE,FALSE),FALSE,IF(OR('Model inputs'!B1138="",'Model inputs'!B1287=""),"",AND('Model inputs'!B1138,'Model inputs'!B1287))))="",FALSE,IF(IFERROR('Model inputs'!B1138=FALSE,FALSE),FALSE,IF(IFERROR('Model inputs'!B1287=FALSE,FALSE),FALSE,IF(OR('Model inputs'!B1138="",'Model inputs'!B1287=""),"",AND('Model inputs'!B1138,'Model inputs'!B1287))))),IF('Model inputs'!B143="","",'Model inputs'!B143),0))</f>
        <v>0</v>
      </c>
      <c r="AC339" s="9">
        <f>'Model inputs'!B131*IF(IF(IF(IF(IFERROR('Model inputs'!B1139=FALSE,FALSE),FALSE,IF(IFERROR('Model inputs'!B1289=FALSE,FALSE),FALSE,IF(OR('Model inputs'!B1139="",'Model inputs'!B1289=""),"",AND('Model inputs'!B1139,'Model inputs'!B1289))))="",FALSE,IF(IFERROR('Model inputs'!B1139=FALSE,FALSE),FALSE,IF(IFERROR('Model inputs'!B1289=FALSE,FALSE),FALSE,IF(OR('Model inputs'!B1139="",'Model inputs'!B1289=""),"",AND('Model inputs'!B1139,'Model inputs'!B1289))))),IF('Model inputs'!B143="","",'Model inputs'!B143),0)="",0,IF(IF(IF(IFERROR('Model inputs'!B1139=FALSE,FALSE),FALSE,IF(IFERROR('Model inputs'!B1289=FALSE,FALSE),FALSE,IF(OR('Model inputs'!B1139="",'Model inputs'!B1289=""),"",AND('Model inputs'!B1139,'Model inputs'!B1289))))="",FALSE,IF(IFERROR('Model inputs'!B1139=FALSE,FALSE),FALSE,IF(IFERROR('Model inputs'!B1289=FALSE,FALSE),FALSE,IF(OR('Model inputs'!B1139="",'Model inputs'!B1289=""),"",AND('Model inputs'!B1139,'Model inputs'!B1289))))),IF('Model inputs'!B143="","",'Model inputs'!B143),0))</f>
        <v>0</v>
      </c>
      <c r="AD339" s="9">
        <f>'Model inputs'!B131*IF(IF(IF(IF(IFERROR('Model inputs'!B1140=FALSE,FALSE),FALSE,IF(IFERROR('Model inputs'!B1291=FALSE,FALSE),FALSE,IF(OR('Model inputs'!B1140="",'Model inputs'!B1291=""),"",AND('Model inputs'!B1140,'Model inputs'!B1291))))="",FALSE,IF(IFERROR('Model inputs'!B1140=FALSE,FALSE),FALSE,IF(IFERROR('Model inputs'!B1291=FALSE,FALSE),FALSE,IF(OR('Model inputs'!B1140="",'Model inputs'!B1291=""),"",AND('Model inputs'!B1140,'Model inputs'!B1291))))),IF('Model inputs'!B143="","",'Model inputs'!B143),0)="",0,IF(IF(IF(IFERROR('Model inputs'!B1140=FALSE,FALSE),FALSE,IF(IFERROR('Model inputs'!B1291=FALSE,FALSE),FALSE,IF(OR('Model inputs'!B1140="",'Model inputs'!B1291=""),"",AND('Model inputs'!B1140,'Model inputs'!B1291))))="",FALSE,IF(IFERROR('Model inputs'!B1140=FALSE,FALSE),FALSE,IF(IFERROR('Model inputs'!B1291=FALSE,FALSE),FALSE,IF(OR('Model inputs'!B1140="",'Model inputs'!B1291=""),"",AND('Model inputs'!B1140,'Model inputs'!B1291))))),IF('Model inputs'!B143="","",'Model inputs'!B143),0))</f>
        <v>0</v>
      </c>
      <c r="AE339" s="9">
        <f>'Model inputs'!B131*IF(IF(IF(IF(IFERROR('Model inputs'!B1141=FALSE,FALSE),FALSE,IF(IFERROR('Model inputs'!B1293=FALSE,FALSE),FALSE,IF(OR('Model inputs'!B1141="",'Model inputs'!B1293=""),"",AND('Model inputs'!B1141,'Model inputs'!B1293))))="",FALSE,IF(IFERROR('Model inputs'!B1141=FALSE,FALSE),FALSE,IF(IFERROR('Model inputs'!B1293=FALSE,FALSE),FALSE,IF(OR('Model inputs'!B1141="",'Model inputs'!B1293=""),"",AND('Model inputs'!B1141,'Model inputs'!B1293))))),IF('Model inputs'!B143="","",'Model inputs'!B143),0)="",0,IF(IF(IF(IFERROR('Model inputs'!B1141=FALSE,FALSE),FALSE,IF(IFERROR('Model inputs'!B1293=FALSE,FALSE),FALSE,IF(OR('Model inputs'!B1141="",'Model inputs'!B1293=""),"",AND('Model inputs'!B1141,'Model inputs'!B1293))))="",FALSE,IF(IFERROR('Model inputs'!B1141=FALSE,FALSE),FALSE,IF(IFERROR('Model inputs'!B1293=FALSE,FALSE),FALSE,IF(OR('Model inputs'!B1141="",'Model inputs'!B1293=""),"",AND('Model inputs'!B1141,'Model inputs'!B1293))))),IF('Model inputs'!B143="","",'Model inputs'!B143),0))</f>
        <v>0</v>
      </c>
      <c r="AF339" s="9">
        <f>'Model inputs'!B131*IF(IF(IF(IF(IFERROR('Model inputs'!B1142=FALSE,FALSE),FALSE,IF(IFERROR('Model inputs'!B1295=FALSE,FALSE),FALSE,IF(OR('Model inputs'!B1142="",'Model inputs'!B1295=""),"",AND('Model inputs'!B1142,'Model inputs'!B1295))))="",FALSE,IF(IFERROR('Model inputs'!B1142=FALSE,FALSE),FALSE,IF(IFERROR('Model inputs'!B1295=FALSE,FALSE),FALSE,IF(OR('Model inputs'!B1142="",'Model inputs'!B1295=""),"",AND('Model inputs'!B1142,'Model inputs'!B1295))))),IF('Model inputs'!B143="","",'Model inputs'!B143),0)="",0,IF(IF(IF(IFERROR('Model inputs'!B1142=FALSE,FALSE),FALSE,IF(IFERROR('Model inputs'!B1295=FALSE,FALSE),FALSE,IF(OR('Model inputs'!B1142="",'Model inputs'!B1295=""),"",AND('Model inputs'!B1142,'Model inputs'!B1295))))="",FALSE,IF(IFERROR('Model inputs'!B1142=FALSE,FALSE),FALSE,IF(IFERROR('Model inputs'!B1295=FALSE,FALSE),FALSE,IF(OR('Model inputs'!B1142="",'Model inputs'!B1295=""),"",AND('Model inputs'!B1142,'Model inputs'!B1295))))),IF('Model inputs'!B143="","",'Model inputs'!B143),0))</f>
        <v>0</v>
      </c>
      <c r="AG339" s="9">
        <f>'Model inputs'!B131*IF(IF(IF(IF(IFERROR('Model inputs'!B1143=FALSE,FALSE),FALSE,IF(IFERROR('Model inputs'!B1297=FALSE,FALSE),FALSE,IF(OR('Model inputs'!B1143="",'Model inputs'!B1297=""),"",AND('Model inputs'!B1143,'Model inputs'!B1297))))="",FALSE,IF(IFERROR('Model inputs'!B1143=FALSE,FALSE),FALSE,IF(IFERROR('Model inputs'!B1297=FALSE,FALSE),FALSE,IF(OR('Model inputs'!B1143="",'Model inputs'!B1297=""),"",AND('Model inputs'!B1143,'Model inputs'!B1297))))),IF('Model inputs'!B143="","",'Model inputs'!B143),0)="",0,IF(IF(IF(IFERROR('Model inputs'!B1143=FALSE,FALSE),FALSE,IF(IFERROR('Model inputs'!B1297=FALSE,FALSE),FALSE,IF(OR('Model inputs'!B1143="",'Model inputs'!B1297=""),"",AND('Model inputs'!B1143,'Model inputs'!B1297))))="",FALSE,IF(IFERROR('Model inputs'!B1143=FALSE,FALSE),FALSE,IF(IFERROR('Model inputs'!B1297=FALSE,FALSE),FALSE,IF(OR('Model inputs'!B1143="",'Model inputs'!B1297=""),"",AND('Model inputs'!B1143,'Model inputs'!B1297))))),IF('Model inputs'!B143="","",'Model inputs'!B143),0))</f>
        <v>0</v>
      </c>
    </row>
    <row r="340" outlineLevel="1">
      <c r="A340" t="inlineStr" s="18">
        <is>
          <t xml:space="preserve">Opex &gt; Founder full-time step-up</t>
        </is>
      </c>
      <c r="C340" s="9">
        <f>IF('Model inputs'!C38="","",'Model inputs'!C38)</f>
        <v>0</v>
      </c>
      <c r="D340" s="9">
        <f>IF('Model inputs'!D38="","",'Model inputs'!D38)</f>
        <v>0</v>
      </c>
      <c r="E340" s="9">
        <f>IF('Model inputs'!E38="","",'Model inputs'!E38)</f>
        <v>0</v>
      </c>
      <c r="F340" s="9">
        <f>IF('Model inputs'!F38="","",'Model inputs'!F38)</f>
        <v>0</v>
      </c>
      <c r="G340" s="9">
        <f>IF('Model inputs'!G38="","",'Model inputs'!G38)</f>
        <v>0</v>
      </c>
      <c r="H340" s="9">
        <f>IF('Model inputs'!H38="","",'Model inputs'!H38)</f>
        <v>0</v>
      </c>
      <c r="I340" s="9">
        <f>IF('Model inputs'!I38="","",'Model inputs'!I38)</f>
        <v>0</v>
      </c>
      <c r="J340" s="9">
        <f>IF('Model inputs'!J38="","",'Model inputs'!J38)</f>
        <v>0</v>
      </c>
      <c r="K340" s="9">
        <f>IF('Model inputs'!K38="","",'Model inputs'!K38)</f>
        <v>4000</v>
      </c>
      <c r="L340" s="9">
        <f>IF('Model inputs'!L38="","",'Model inputs'!L38)</f>
        <v>4000</v>
      </c>
      <c r="M340" s="9">
        <f>IF('Model inputs'!M38="","",'Model inputs'!M38)</f>
        <v>4000</v>
      </c>
      <c r="N340" s="9">
        <f>IF('Model inputs'!N38="","",'Model inputs'!N38)</f>
        <v>4000</v>
      </c>
      <c r="O340" s="9">
        <f>IF('Model inputs'!O38="","",'Model inputs'!O38)</f>
        <v>4000</v>
      </c>
      <c r="P340" s="9">
        <f>IF('Model inputs'!P38="","",'Model inputs'!P38)</f>
        <v>4000</v>
      </c>
      <c r="Q340" s="9">
        <f>IF('Model inputs'!Q38="","",'Model inputs'!Q38)</f>
        <v>4000</v>
      </c>
      <c r="R340" s="9">
        <f>IF('Model inputs'!R38="","",'Model inputs'!R38)</f>
        <v>4000</v>
      </c>
      <c r="S340" s="9">
        <f>IF('Model inputs'!S38="","",'Model inputs'!S38)</f>
        <v>4000</v>
      </c>
      <c r="T340" s="9">
        <f>IF('Model inputs'!T38="","",'Model inputs'!T38)</f>
        <v>4000</v>
      </c>
      <c r="U340" s="9">
        <f>IF('Model inputs'!U38="","",'Model inputs'!U38)</f>
        <v>4000</v>
      </c>
      <c r="V340" s="9">
        <f>IF('Model inputs'!V38="","",'Model inputs'!V38)</f>
        <v>4000</v>
      </c>
      <c r="W340" s="9">
        <f>'Model inputs'!B132*IF(IF(IF(IF(IFERROR('Model inputs'!B1144=FALSE,FALSE),FALSE,IF(IFERROR('Model inputs'!B1299=FALSE,FALSE),FALSE,IF(OR('Model inputs'!B1144="",'Model inputs'!B1299=""),"",AND('Model inputs'!B1144,'Model inputs'!B1299))))="",FALSE,IF(IFERROR('Model inputs'!B1144=FALSE,FALSE),FALSE,IF(IFERROR('Model inputs'!B1299=FALSE,FALSE),FALSE,IF(OR('Model inputs'!B1144="",'Model inputs'!B1299=""),"",AND('Model inputs'!B1144,'Model inputs'!B1299))))),IF('Model inputs'!B144="","",'Model inputs'!B144),0)="",0,IF(IF(IF(IFERROR('Model inputs'!B1144=FALSE,FALSE),FALSE,IF(IFERROR('Model inputs'!B1299=FALSE,FALSE),FALSE,IF(OR('Model inputs'!B1144="",'Model inputs'!B1299=""),"",AND('Model inputs'!B1144,'Model inputs'!B1299))))="",FALSE,IF(IFERROR('Model inputs'!B1144=FALSE,FALSE),FALSE,IF(IFERROR('Model inputs'!B1299=FALSE,FALSE),FALSE,IF(OR('Model inputs'!B1144="",'Model inputs'!B1299=""),"",AND('Model inputs'!B1144,'Model inputs'!B1299))))),IF('Model inputs'!B144="","",'Model inputs'!B144),0))</f>
        <v>0</v>
      </c>
      <c r="X340" s="9">
        <f>'Model inputs'!B132*IF(IF(IF(IF(IFERROR('Model inputs'!B1145=FALSE,FALSE),FALSE,IF(IFERROR('Model inputs'!B1301=FALSE,FALSE),FALSE,IF(OR('Model inputs'!B1145="",'Model inputs'!B1301=""),"",AND('Model inputs'!B1145,'Model inputs'!B1301))))="",FALSE,IF(IFERROR('Model inputs'!B1145=FALSE,FALSE),FALSE,IF(IFERROR('Model inputs'!B1301=FALSE,FALSE),FALSE,IF(OR('Model inputs'!B1145="",'Model inputs'!B1301=""),"",AND('Model inputs'!B1145,'Model inputs'!B1301))))),IF('Model inputs'!B144="","",'Model inputs'!B144),0)="",0,IF(IF(IF(IFERROR('Model inputs'!B1145=FALSE,FALSE),FALSE,IF(IFERROR('Model inputs'!B1301=FALSE,FALSE),FALSE,IF(OR('Model inputs'!B1145="",'Model inputs'!B1301=""),"",AND('Model inputs'!B1145,'Model inputs'!B1301))))="",FALSE,IF(IFERROR('Model inputs'!B1145=FALSE,FALSE),FALSE,IF(IFERROR('Model inputs'!B1301=FALSE,FALSE),FALSE,IF(OR('Model inputs'!B1145="",'Model inputs'!B1301=""),"",AND('Model inputs'!B1145,'Model inputs'!B1301))))),IF('Model inputs'!B144="","",'Model inputs'!B144),0))</f>
        <v>0</v>
      </c>
      <c r="Y340" s="9">
        <f>'Model inputs'!B132*IF(IF(IF(IF(IFERROR('Model inputs'!B1146=FALSE,FALSE),FALSE,IF(IFERROR('Model inputs'!B1303=FALSE,FALSE),FALSE,IF(OR('Model inputs'!B1146="",'Model inputs'!B1303=""),"",AND('Model inputs'!B1146,'Model inputs'!B1303))))="",FALSE,IF(IFERROR('Model inputs'!B1146=FALSE,FALSE),FALSE,IF(IFERROR('Model inputs'!B1303=FALSE,FALSE),FALSE,IF(OR('Model inputs'!B1146="",'Model inputs'!B1303=""),"",AND('Model inputs'!B1146,'Model inputs'!B1303))))),IF('Model inputs'!B144="","",'Model inputs'!B144),0)="",0,IF(IF(IF(IFERROR('Model inputs'!B1146=FALSE,FALSE),FALSE,IF(IFERROR('Model inputs'!B1303=FALSE,FALSE),FALSE,IF(OR('Model inputs'!B1146="",'Model inputs'!B1303=""),"",AND('Model inputs'!B1146,'Model inputs'!B1303))))="",FALSE,IF(IFERROR('Model inputs'!B1146=FALSE,FALSE),FALSE,IF(IFERROR('Model inputs'!B1303=FALSE,FALSE),FALSE,IF(OR('Model inputs'!B1146="",'Model inputs'!B1303=""),"",AND('Model inputs'!B1146,'Model inputs'!B1303))))),IF('Model inputs'!B144="","",'Model inputs'!B144),0))</f>
        <v>0</v>
      </c>
      <c r="Z340" s="9">
        <f>'Model inputs'!B132*IF(IF(IF(IF(IFERROR('Model inputs'!B1147=FALSE,FALSE),FALSE,IF(IFERROR('Model inputs'!B1305=FALSE,FALSE),FALSE,IF(OR('Model inputs'!B1147="",'Model inputs'!B1305=""),"",AND('Model inputs'!B1147,'Model inputs'!B1305))))="",FALSE,IF(IFERROR('Model inputs'!B1147=FALSE,FALSE),FALSE,IF(IFERROR('Model inputs'!B1305=FALSE,FALSE),FALSE,IF(OR('Model inputs'!B1147="",'Model inputs'!B1305=""),"",AND('Model inputs'!B1147,'Model inputs'!B1305))))),IF('Model inputs'!B144="","",'Model inputs'!B144),0)="",0,IF(IF(IF(IFERROR('Model inputs'!B1147=FALSE,FALSE),FALSE,IF(IFERROR('Model inputs'!B1305=FALSE,FALSE),FALSE,IF(OR('Model inputs'!B1147="",'Model inputs'!B1305=""),"",AND('Model inputs'!B1147,'Model inputs'!B1305))))="",FALSE,IF(IFERROR('Model inputs'!B1147=FALSE,FALSE),FALSE,IF(IFERROR('Model inputs'!B1305=FALSE,FALSE),FALSE,IF(OR('Model inputs'!B1147="",'Model inputs'!B1305=""),"",AND('Model inputs'!B1147,'Model inputs'!B1305))))),IF('Model inputs'!B144="","",'Model inputs'!B144),0))</f>
        <v>0</v>
      </c>
      <c r="AA340" s="9">
        <f>'Model inputs'!B132*IF(IF(IF(IF(IFERROR('Model inputs'!B1148=FALSE,FALSE),FALSE,IF(IFERROR('Model inputs'!B1307=FALSE,FALSE),FALSE,IF(OR('Model inputs'!B1148="",'Model inputs'!B1307=""),"",AND('Model inputs'!B1148,'Model inputs'!B1307))))="",FALSE,IF(IFERROR('Model inputs'!B1148=FALSE,FALSE),FALSE,IF(IFERROR('Model inputs'!B1307=FALSE,FALSE),FALSE,IF(OR('Model inputs'!B1148="",'Model inputs'!B1307=""),"",AND('Model inputs'!B1148,'Model inputs'!B1307))))),IF('Model inputs'!B144="","",'Model inputs'!B144),0)="",0,IF(IF(IF(IFERROR('Model inputs'!B1148=FALSE,FALSE),FALSE,IF(IFERROR('Model inputs'!B1307=FALSE,FALSE),FALSE,IF(OR('Model inputs'!B1148="",'Model inputs'!B1307=""),"",AND('Model inputs'!B1148,'Model inputs'!B1307))))="",FALSE,IF(IFERROR('Model inputs'!B1148=FALSE,FALSE),FALSE,IF(IFERROR('Model inputs'!B1307=FALSE,FALSE),FALSE,IF(OR('Model inputs'!B1148="",'Model inputs'!B1307=""),"",AND('Model inputs'!B1148,'Model inputs'!B1307))))),IF('Model inputs'!B144="","",'Model inputs'!B144),0))</f>
        <v>0</v>
      </c>
      <c r="AB340" s="9">
        <f>'Model inputs'!B132*IF(IF(IF(IF(IFERROR('Model inputs'!B1149=FALSE,FALSE),FALSE,IF(IFERROR('Model inputs'!B1309=FALSE,FALSE),FALSE,IF(OR('Model inputs'!B1149="",'Model inputs'!B1309=""),"",AND('Model inputs'!B1149,'Model inputs'!B1309))))="",FALSE,IF(IFERROR('Model inputs'!B1149=FALSE,FALSE),FALSE,IF(IFERROR('Model inputs'!B1309=FALSE,FALSE),FALSE,IF(OR('Model inputs'!B1149="",'Model inputs'!B1309=""),"",AND('Model inputs'!B1149,'Model inputs'!B1309))))),IF('Model inputs'!B144="","",'Model inputs'!B144),0)="",0,IF(IF(IF(IFERROR('Model inputs'!B1149=FALSE,FALSE),FALSE,IF(IFERROR('Model inputs'!B1309=FALSE,FALSE),FALSE,IF(OR('Model inputs'!B1149="",'Model inputs'!B1309=""),"",AND('Model inputs'!B1149,'Model inputs'!B1309))))="",FALSE,IF(IFERROR('Model inputs'!B1149=FALSE,FALSE),FALSE,IF(IFERROR('Model inputs'!B1309=FALSE,FALSE),FALSE,IF(OR('Model inputs'!B1149="",'Model inputs'!B1309=""),"",AND('Model inputs'!B1149,'Model inputs'!B1309))))),IF('Model inputs'!B144="","",'Model inputs'!B144),0))</f>
        <v>0</v>
      </c>
      <c r="AC340" s="9">
        <f>'Model inputs'!B132*IF(IF(IF(IF(IFERROR('Model inputs'!B1150=FALSE,FALSE),FALSE,IF(IFERROR('Model inputs'!B1311=FALSE,FALSE),FALSE,IF(OR('Model inputs'!B1150="",'Model inputs'!B1311=""),"",AND('Model inputs'!B1150,'Model inputs'!B1311))))="",FALSE,IF(IFERROR('Model inputs'!B1150=FALSE,FALSE),FALSE,IF(IFERROR('Model inputs'!B1311=FALSE,FALSE),FALSE,IF(OR('Model inputs'!B1150="",'Model inputs'!B1311=""),"",AND('Model inputs'!B1150,'Model inputs'!B1311))))),IF('Model inputs'!B144="","",'Model inputs'!B144),0)="",0,IF(IF(IF(IFERROR('Model inputs'!B1150=FALSE,FALSE),FALSE,IF(IFERROR('Model inputs'!B1311=FALSE,FALSE),FALSE,IF(OR('Model inputs'!B1150="",'Model inputs'!B1311=""),"",AND('Model inputs'!B1150,'Model inputs'!B1311))))="",FALSE,IF(IFERROR('Model inputs'!B1150=FALSE,FALSE),FALSE,IF(IFERROR('Model inputs'!B1311=FALSE,FALSE),FALSE,IF(OR('Model inputs'!B1150="",'Model inputs'!B1311=""),"",AND('Model inputs'!B1150,'Model inputs'!B1311))))),IF('Model inputs'!B144="","",'Model inputs'!B144),0))</f>
        <v>0</v>
      </c>
      <c r="AD340" s="9">
        <f>'Model inputs'!B132*IF(IF(IF(IF(IFERROR('Model inputs'!B1151=FALSE,FALSE),FALSE,IF(IFERROR('Model inputs'!B1313=FALSE,FALSE),FALSE,IF(OR('Model inputs'!B1151="",'Model inputs'!B1313=""),"",AND('Model inputs'!B1151,'Model inputs'!B1313))))="",FALSE,IF(IFERROR('Model inputs'!B1151=FALSE,FALSE),FALSE,IF(IFERROR('Model inputs'!B1313=FALSE,FALSE),FALSE,IF(OR('Model inputs'!B1151="",'Model inputs'!B1313=""),"",AND('Model inputs'!B1151,'Model inputs'!B1313))))),IF('Model inputs'!B144="","",'Model inputs'!B144),0)="",0,IF(IF(IF(IFERROR('Model inputs'!B1151=FALSE,FALSE),FALSE,IF(IFERROR('Model inputs'!B1313=FALSE,FALSE),FALSE,IF(OR('Model inputs'!B1151="",'Model inputs'!B1313=""),"",AND('Model inputs'!B1151,'Model inputs'!B1313))))="",FALSE,IF(IFERROR('Model inputs'!B1151=FALSE,FALSE),FALSE,IF(IFERROR('Model inputs'!B1313=FALSE,FALSE),FALSE,IF(OR('Model inputs'!B1151="",'Model inputs'!B1313=""),"",AND('Model inputs'!B1151,'Model inputs'!B1313))))),IF('Model inputs'!B144="","",'Model inputs'!B144),0))</f>
        <v>0</v>
      </c>
      <c r="AE340" s="9">
        <f>'Model inputs'!B132*IF(IF(IF(IF(IFERROR('Model inputs'!B1152=FALSE,FALSE),FALSE,IF(IFERROR('Model inputs'!B1315=FALSE,FALSE),FALSE,IF(OR('Model inputs'!B1152="",'Model inputs'!B1315=""),"",AND('Model inputs'!B1152,'Model inputs'!B1315))))="",FALSE,IF(IFERROR('Model inputs'!B1152=FALSE,FALSE),FALSE,IF(IFERROR('Model inputs'!B1315=FALSE,FALSE),FALSE,IF(OR('Model inputs'!B1152="",'Model inputs'!B1315=""),"",AND('Model inputs'!B1152,'Model inputs'!B1315))))),IF('Model inputs'!B144="","",'Model inputs'!B144),0)="",0,IF(IF(IF(IFERROR('Model inputs'!B1152=FALSE,FALSE),FALSE,IF(IFERROR('Model inputs'!B1315=FALSE,FALSE),FALSE,IF(OR('Model inputs'!B1152="",'Model inputs'!B1315=""),"",AND('Model inputs'!B1152,'Model inputs'!B1315))))="",FALSE,IF(IFERROR('Model inputs'!B1152=FALSE,FALSE),FALSE,IF(IFERROR('Model inputs'!B1315=FALSE,FALSE),FALSE,IF(OR('Model inputs'!B1152="",'Model inputs'!B1315=""),"",AND('Model inputs'!B1152,'Model inputs'!B1315))))),IF('Model inputs'!B144="","",'Model inputs'!B144),0))</f>
        <v>0</v>
      </c>
      <c r="AF340" s="9">
        <f>'Model inputs'!B132*IF(IF(IF(IF(IFERROR('Model inputs'!B1153=FALSE,FALSE),FALSE,IF(IFERROR('Model inputs'!B1317=FALSE,FALSE),FALSE,IF(OR('Model inputs'!B1153="",'Model inputs'!B1317=""),"",AND('Model inputs'!B1153,'Model inputs'!B1317))))="",FALSE,IF(IFERROR('Model inputs'!B1153=FALSE,FALSE),FALSE,IF(IFERROR('Model inputs'!B1317=FALSE,FALSE),FALSE,IF(OR('Model inputs'!B1153="",'Model inputs'!B1317=""),"",AND('Model inputs'!B1153,'Model inputs'!B1317))))),IF('Model inputs'!B144="","",'Model inputs'!B144),0)="",0,IF(IF(IF(IFERROR('Model inputs'!B1153=FALSE,FALSE),FALSE,IF(IFERROR('Model inputs'!B1317=FALSE,FALSE),FALSE,IF(OR('Model inputs'!B1153="",'Model inputs'!B1317=""),"",AND('Model inputs'!B1153,'Model inputs'!B1317))))="",FALSE,IF(IFERROR('Model inputs'!B1153=FALSE,FALSE),FALSE,IF(IFERROR('Model inputs'!B1317=FALSE,FALSE),FALSE,IF(OR('Model inputs'!B1153="",'Model inputs'!B1317=""),"",AND('Model inputs'!B1153,'Model inputs'!B1317))))),IF('Model inputs'!B144="","",'Model inputs'!B144),0))</f>
        <v>0</v>
      </c>
      <c r="AG340" s="9">
        <f>'Model inputs'!B132*IF(IF(IF(IF(IFERROR('Model inputs'!B1154=FALSE,FALSE),FALSE,IF(IFERROR('Model inputs'!B1319=FALSE,FALSE),FALSE,IF(OR('Model inputs'!B1154="",'Model inputs'!B1319=""),"",AND('Model inputs'!B1154,'Model inputs'!B1319))))="",FALSE,IF(IFERROR('Model inputs'!B1154=FALSE,FALSE),FALSE,IF(IFERROR('Model inputs'!B1319=FALSE,FALSE),FALSE,IF(OR('Model inputs'!B1154="",'Model inputs'!B1319=""),"",AND('Model inputs'!B1154,'Model inputs'!B1319))))),IF('Model inputs'!B144="","",'Model inputs'!B144),0)="",0,IF(IF(IF(IFERROR('Model inputs'!B1154=FALSE,FALSE),FALSE,IF(IFERROR('Model inputs'!B1319=FALSE,FALSE),FALSE,IF(OR('Model inputs'!B1154="",'Model inputs'!B1319=""),"",AND('Model inputs'!B1154,'Model inputs'!B1319))))="",FALSE,IF(IFERROR('Model inputs'!B1154=FALSE,FALSE),FALSE,IF(IFERROR('Model inputs'!B1319=FALSE,FALSE),FALSE,IF(OR('Model inputs'!B1154="",'Model inputs'!B1319=""),"",AND('Model inputs'!B1154,'Model inputs'!B1319))))),IF('Model inputs'!B144="","",'Model inputs'!B144),0))</f>
        <v>0</v>
      </c>
    </row>
    <row r="341" outlineLevel="1">
      <c r="A341" t="inlineStr" s="18">
        <is>
          <t xml:space="preserve">Opex &gt; Founder salary (0.5 FTE)</t>
        </is>
      </c>
      <c r="C341" s="9">
        <f>IF('Model inputs'!C39="","",'Model inputs'!C39)</f>
        <v>0</v>
      </c>
      <c r="D341" s="9">
        <f>IF('Model inputs'!D39="","",'Model inputs'!D39)</f>
        <v>0</v>
      </c>
      <c r="E341" s="9">
        <f>IF('Model inputs'!E39="","",'Model inputs'!E39)</f>
        <v>4000</v>
      </c>
      <c r="F341" s="9">
        <f>IF('Model inputs'!F39="","",'Model inputs'!F39)</f>
        <v>4000</v>
      </c>
      <c r="G341" s="9">
        <f>IF('Model inputs'!G39="","",'Model inputs'!G39)</f>
        <v>4000</v>
      </c>
      <c r="H341" s="9">
        <f>IF('Model inputs'!H39="","",'Model inputs'!H39)</f>
        <v>4000</v>
      </c>
      <c r="I341" s="9">
        <f>IF('Model inputs'!I39="","",'Model inputs'!I39)</f>
        <v>4000</v>
      </c>
      <c r="J341" s="9">
        <f>IF('Model inputs'!J39="","",'Model inputs'!J39)</f>
        <v>4000</v>
      </c>
      <c r="K341" s="9">
        <f>IF('Model inputs'!K39="","",'Model inputs'!K39)</f>
        <v>4000</v>
      </c>
      <c r="L341" s="9">
        <f>IF('Model inputs'!L39="","",'Model inputs'!L39)</f>
        <v>4000</v>
      </c>
      <c r="M341" s="9">
        <f>IF('Model inputs'!M39="","",'Model inputs'!M39)</f>
        <v>4000</v>
      </c>
      <c r="N341" s="9">
        <f>IF('Model inputs'!N39="","",'Model inputs'!N39)</f>
        <v>4000</v>
      </c>
      <c r="O341" s="9">
        <f>IF('Model inputs'!O39="","",'Model inputs'!O39)</f>
        <v>4000</v>
      </c>
      <c r="P341" s="9">
        <f>IF('Model inputs'!P39="","",'Model inputs'!P39)</f>
        <v>4000</v>
      </c>
      <c r="Q341" s="9">
        <f>IF('Model inputs'!Q39="","",'Model inputs'!Q39)</f>
        <v>4000</v>
      </c>
      <c r="R341" s="9">
        <f>IF('Model inputs'!R39="","",'Model inputs'!R39)</f>
        <v>4000</v>
      </c>
      <c r="S341" s="9">
        <f>IF('Model inputs'!S39="","",'Model inputs'!S39)</f>
        <v>4000</v>
      </c>
      <c r="T341" s="9">
        <f>IF('Model inputs'!T39="","",'Model inputs'!T39)</f>
        <v>4000</v>
      </c>
      <c r="U341" s="9">
        <f>IF('Model inputs'!U39="","",'Model inputs'!U39)</f>
        <v>4000</v>
      </c>
      <c r="V341" s="9">
        <f>IF('Model inputs'!V39="","",'Model inputs'!V39)</f>
        <v>4000</v>
      </c>
      <c r="W341" s="9">
        <f>'Model inputs'!B133*IF(IF(IF(IF(IFERROR('Model inputs'!B1155=FALSE,FALSE),FALSE,IF(IFERROR('Model inputs'!B1321=FALSE,FALSE),FALSE,IF(OR('Model inputs'!B1155="",'Model inputs'!B1321=""),"",AND('Model inputs'!B1155,'Model inputs'!B1321))))="",FALSE,IF(IFERROR('Model inputs'!B1155=FALSE,FALSE),FALSE,IF(IFERROR('Model inputs'!B1321=FALSE,FALSE),FALSE,IF(OR('Model inputs'!B1155="",'Model inputs'!B1321=""),"",AND('Model inputs'!B1155,'Model inputs'!B1321))))),IF('Model inputs'!B145="","",'Model inputs'!B145),0)="",0,IF(IF(IF(IFERROR('Model inputs'!B1155=FALSE,FALSE),FALSE,IF(IFERROR('Model inputs'!B1321=FALSE,FALSE),FALSE,IF(OR('Model inputs'!B1155="",'Model inputs'!B1321=""),"",AND('Model inputs'!B1155,'Model inputs'!B1321))))="",FALSE,IF(IFERROR('Model inputs'!B1155=FALSE,FALSE),FALSE,IF(IFERROR('Model inputs'!B1321=FALSE,FALSE),FALSE,IF(OR('Model inputs'!B1155="",'Model inputs'!B1321=""),"",AND('Model inputs'!B1155,'Model inputs'!B1321))))),IF('Model inputs'!B145="","",'Model inputs'!B145),0))</f>
        <v>0</v>
      </c>
      <c r="X341" s="9">
        <f>'Model inputs'!B133*IF(IF(IF(IF(IFERROR('Model inputs'!B1156=FALSE,FALSE),FALSE,IF(IFERROR('Model inputs'!B1323=FALSE,FALSE),FALSE,IF(OR('Model inputs'!B1156="",'Model inputs'!B1323=""),"",AND('Model inputs'!B1156,'Model inputs'!B1323))))="",FALSE,IF(IFERROR('Model inputs'!B1156=FALSE,FALSE),FALSE,IF(IFERROR('Model inputs'!B1323=FALSE,FALSE),FALSE,IF(OR('Model inputs'!B1156="",'Model inputs'!B1323=""),"",AND('Model inputs'!B1156,'Model inputs'!B1323))))),IF('Model inputs'!B145="","",'Model inputs'!B145),0)="",0,IF(IF(IF(IFERROR('Model inputs'!B1156=FALSE,FALSE),FALSE,IF(IFERROR('Model inputs'!B1323=FALSE,FALSE),FALSE,IF(OR('Model inputs'!B1156="",'Model inputs'!B1323=""),"",AND('Model inputs'!B1156,'Model inputs'!B1323))))="",FALSE,IF(IFERROR('Model inputs'!B1156=FALSE,FALSE),FALSE,IF(IFERROR('Model inputs'!B1323=FALSE,FALSE),FALSE,IF(OR('Model inputs'!B1156="",'Model inputs'!B1323=""),"",AND('Model inputs'!B1156,'Model inputs'!B1323))))),IF('Model inputs'!B145="","",'Model inputs'!B145),0))</f>
        <v>0</v>
      </c>
      <c r="Y341" s="9">
        <f>'Model inputs'!B133*IF(IF(IF(IF(IFERROR('Model inputs'!B1157=FALSE,FALSE),FALSE,IF(IFERROR('Model inputs'!B1325=FALSE,FALSE),FALSE,IF(OR('Model inputs'!B1157="",'Model inputs'!B1325=""),"",AND('Model inputs'!B1157,'Model inputs'!B1325))))="",FALSE,IF(IFERROR('Model inputs'!B1157=FALSE,FALSE),FALSE,IF(IFERROR('Model inputs'!B1325=FALSE,FALSE),FALSE,IF(OR('Model inputs'!B1157="",'Model inputs'!B1325=""),"",AND('Model inputs'!B1157,'Model inputs'!B1325))))),IF('Model inputs'!B145="","",'Model inputs'!B145),0)="",0,IF(IF(IF(IFERROR('Model inputs'!B1157=FALSE,FALSE),FALSE,IF(IFERROR('Model inputs'!B1325=FALSE,FALSE),FALSE,IF(OR('Model inputs'!B1157="",'Model inputs'!B1325=""),"",AND('Model inputs'!B1157,'Model inputs'!B1325))))="",FALSE,IF(IFERROR('Model inputs'!B1157=FALSE,FALSE),FALSE,IF(IFERROR('Model inputs'!B1325=FALSE,FALSE),FALSE,IF(OR('Model inputs'!B1157="",'Model inputs'!B1325=""),"",AND('Model inputs'!B1157,'Model inputs'!B1325))))),IF('Model inputs'!B145="","",'Model inputs'!B145),0))</f>
        <v>0</v>
      </c>
      <c r="Z341" s="9">
        <f>'Model inputs'!B133*IF(IF(IF(IF(IFERROR('Model inputs'!B1158=FALSE,FALSE),FALSE,IF(IFERROR('Model inputs'!B1327=FALSE,FALSE),FALSE,IF(OR('Model inputs'!B1158="",'Model inputs'!B1327=""),"",AND('Model inputs'!B1158,'Model inputs'!B1327))))="",FALSE,IF(IFERROR('Model inputs'!B1158=FALSE,FALSE),FALSE,IF(IFERROR('Model inputs'!B1327=FALSE,FALSE),FALSE,IF(OR('Model inputs'!B1158="",'Model inputs'!B1327=""),"",AND('Model inputs'!B1158,'Model inputs'!B1327))))),IF('Model inputs'!B145="","",'Model inputs'!B145),0)="",0,IF(IF(IF(IFERROR('Model inputs'!B1158=FALSE,FALSE),FALSE,IF(IFERROR('Model inputs'!B1327=FALSE,FALSE),FALSE,IF(OR('Model inputs'!B1158="",'Model inputs'!B1327=""),"",AND('Model inputs'!B1158,'Model inputs'!B1327))))="",FALSE,IF(IFERROR('Model inputs'!B1158=FALSE,FALSE),FALSE,IF(IFERROR('Model inputs'!B1327=FALSE,FALSE),FALSE,IF(OR('Model inputs'!B1158="",'Model inputs'!B1327=""),"",AND('Model inputs'!B1158,'Model inputs'!B1327))))),IF('Model inputs'!B145="","",'Model inputs'!B145),0))</f>
        <v>0</v>
      </c>
      <c r="AA341" s="9">
        <f>'Model inputs'!B133*IF(IF(IF(IF(IFERROR('Model inputs'!B1159=FALSE,FALSE),FALSE,IF(IFERROR('Model inputs'!B1329=FALSE,FALSE),FALSE,IF(OR('Model inputs'!B1159="",'Model inputs'!B1329=""),"",AND('Model inputs'!B1159,'Model inputs'!B1329))))="",FALSE,IF(IFERROR('Model inputs'!B1159=FALSE,FALSE),FALSE,IF(IFERROR('Model inputs'!B1329=FALSE,FALSE),FALSE,IF(OR('Model inputs'!B1159="",'Model inputs'!B1329=""),"",AND('Model inputs'!B1159,'Model inputs'!B1329))))),IF('Model inputs'!B145="","",'Model inputs'!B145),0)="",0,IF(IF(IF(IFERROR('Model inputs'!B1159=FALSE,FALSE),FALSE,IF(IFERROR('Model inputs'!B1329=FALSE,FALSE),FALSE,IF(OR('Model inputs'!B1159="",'Model inputs'!B1329=""),"",AND('Model inputs'!B1159,'Model inputs'!B1329))))="",FALSE,IF(IFERROR('Model inputs'!B1159=FALSE,FALSE),FALSE,IF(IFERROR('Model inputs'!B1329=FALSE,FALSE),FALSE,IF(OR('Model inputs'!B1159="",'Model inputs'!B1329=""),"",AND('Model inputs'!B1159,'Model inputs'!B1329))))),IF('Model inputs'!B145="","",'Model inputs'!B145),0))</f>
        <v>0</v>
      </c>
      <c r="AB341" s="9">
        <f>'Model inputs'!B133*IF(IF(IF(IF(IFERROR('Model inputs'!B1160=FALSE,FALSE),FALSE,IF(IFERROR('Model inputs'!B1331=FALSE,FALSE),FALSE,IF(OR('Model inputs'!B1160="",'Model inputs'!B1331=""),"",AND('Model inputs'!B1160,'Model inputs'!B1331))))="",FALSE,IF(IFERROR('Model inputs'!B1160=FALSE,FALSE),FALSE,IF(IFERROR('Model inputs'!B1331=FALSE,FALSE),FALSE,IF(OR('Model inputs'!B1160="",'Model inputs'!B1331=""),"",AND('Model inputs'!B1160,'Model inputs'!B1331))))),IF('Model inputs'!B145="","",'Model inputs'!B145),0)="",0,IF(IF(IF(IFERROR('Model inputs'!B1160=FALSE,FALSE),FALSE,IF(IFERROR('Model inputs'!B1331=FALSE,FALSE),FALSE,IF(OR('Model inputs'!B1160="",'Model inputs'!B1331=""),"",AND('Model inputs'!B1160,'Model inputs'!B1331))))="",FALSE,IF(IFERROR('Model inputs'!B1160=FALSE,FALSE),FALSE,IF(IFERROR('Model inputs'!B1331=FALSE,FALSE),FALSE,IF(OR('Model inputs'!B1160="",'Model inputs'!B1331=""),"",AND('Model inputs'!B1160,'Model inputs'!B1331))))),IF('Model inputs'!B145="","",'Model inputs'!B145),0))</f>
        <v>0</v>
      </c>
      <c r="AC341" s="9">
        <f>'Model inputs'!B133*IF(IF(IF(IF(IFERROR('Model inputs'!B1161=FALSE,FALSE),FALSE,IF(IFERROR('Model inputs'!B1333=FALSE,FALSE),FALSE,IF(OR('Model inputs'!B1161="",'Model inputs'!B1333=""),"",AND('Model inputs'!B1161,'Model inputs'!B1333))))="",FALSE,IF(IFERROR('Model inputs'!B1161=FALSE,FALSE),FALSE,IF(IFERROR('Model inputs'!B1333=FALSE,FALSE),FALSE,IF(OR('Model inputs'!B1161="",'Model inputs'!B1333=""),"",AND('Model inputs'!B1161,'Model inputs'!B1333))))),IF('Model inputs'!B145="","",'Model inputs'!B145),0)="",0,IF(IF(IF(IFERROR('Model inputs'!B1161=FALSE,FALSE),FALSE,IF(IFERROR('Model inputs'!B1333=FALSE,FALSE),FALSE,IF(OR('Model inputs'!B1161="",'Model inputs'!B1333=""),"",AND('Model inputs'!B1161,'Model inputs'!B1333))))="",FALSE,IF(IFERROR('Model inputs'!B1161=FALSE,FALSE),FALSE,IF(IFERROR('Model inputs'!B1333=FALSE,FALSE),FALSE,IF(OR('Model inputs'!B1161="",'Model inputs'!B1333=""),"",AND('Model inputs'!B1161,'Model inputs'!B1333))))),IF('Model inputs'!B145="","",'Model inputs'!B145),0))</f>
        <v>0</v>
      </c>
      <c r="AD341" s="9">
        <f>'Model inputs'!B133*IF(IF(IF(IF(IFERROR('Model inputs'!B1162=FALSE,FALSE),FALSE,IF(IFERROR('Model inputs'!B1335=FALSE,FALSE),FALSE,IF(OR('Model inputs'!B1162="",'Model inputs'!B1335=""),"",AND('Model inputs'!B1162,'Model inputs'!B1335))))="",FALSE,IF(IFERROR('Model inputs'!B1162=FALSE,FALSE),FALSE,IF(IFERROR('Model inputs'!B1335=FALSE,FALSE),FALSE,IF(OR('Model inputs'!B1162="",'Model inputs'!B1335=""),"",AND('Model inputs'!B1162,'Model inputs'!B1335))))),IF('Model inputs'!B145="","",'Model inputs'!B145),0)="",0,IF(IF(IF(IFERROR('Model inputs'!B1162=FALSE,FALSE),FALSE,IF(IFERROR('Model inputs'!B1335=FALSE,FALSE),FALSE,IF(OR('Model inputs'!B1162="",'Model inputs'!B1335=""),"",AND('Model inputs'!B1162,'Model inputs'!B1335))))="",FALSE,IF(IFERROR('Model inputs'!B1162=FALSE,FALSE),FALSE,IF(IFERROR('Model inputs'!B1335=FALSE,FALSE),FALSE,IF(OR('Model inputs'!B1162="",'Model inputs'!B1335=""),"",AND('Model inputs'!B1162,'Model inputs'!B1335))))),IF('Model inputs'!B145="","",'Model inputs'!B145),0))</f>
        <v>0</v>
      </c>
      <c r="AE341" s="9">
        <f>'Model inputs'!B133*IF(IF(IF(IF(IFERROR('Model inputs'!B1163=FALSE,FALSE),FALSE,IF(IFERROR('Model inputs'!B1337=FALSE,FALSE),FALSE,IF(OR('Model inputs'!B1163="",'Model inputs'!B1337=""),"",AND('Model inputs'!B1163,'Model inputs'!B1337))))="",FALSE,IF(IFERROR('Model inputs'!B1163=FALSE,FALSE),FALSE,IF(IFERROR('Model inputs'!B1337=FALSE,FALSE),FALSE,IF(OR('Model inputs'!B1163="",'Model inputs'!B1337=""),"",AND('Model inputs'!B1163,'Model inputs'!B1337))))),IF('Model inputs'!B145="","",'Model inputs'!B145),0)="",0,IF(IF(IF(IFERROR('Model inputs'!B1163=FALSE,FALSE),FALSE,IF(IFERROR('Model inputs'!B1337=FALSE,FALSE),FALSE,IF(OR('Model inputs'!B1163="",'Model inputs'!B1337=""),"",AND('Model inputs'!B1163,'Model inputs'!B1337))))="",FALSE,IF(IFERROR('Model inputs'!B1163=FALSE,FALSE),FALSE,IF(IFERROR('Model inputs'!B1337=FALSE,FALSE),FALSE,IF(OR('Model inputs'!B1163="",'Model inputs'!B1337=""),"",AND('Model inputs'!B1163,'Model inputs'!B1337))))),IF('Model inputs'!B145="","",'Model inputs'!B145),0))</f>
        <v>0</v>
      </c>
      <c r="AF341" s="9">
        <f>'Model inputs'!B133*IF(IF(IF(IF(IFERROR('Model inputs'!B1164=FALSE,FALSE),FALSE,IF(IFERROR('Model inputs'!B1339=FALSE,FALSE),FALSE,IF(OR('Model inputs'!B1164="",'Model inputs'!B1339=""),"",AND('Model inputs'!B1164,'Model inputs'!B1339))))="",FALSE,IF(IFERROR('Model inputs'!B1164=FALSE,FALSE),FALSE,IF(IFERROR('Model inputs'!B1339=FALSE,FALSE),FALSE,IF(OR('Model inputs'!B1164="",'Model inputs'!B1339=""),"",AND('Model inputs'!B1164,'Model inputs'!B1339))))),IF('Model inputs'!B145="","",'Model inputs'!B145),0)="",0,IF(IF(IF(IFERROR('Model inputs'!B1164=FALSE,FALSE),FALSE,IF(IFERROR('Model inputs'!B1339=FALSE,FALSE),FALSE,IF(OR('Model inputs'!B1164="",'Model inputs'!B1339=""),"",AND('Model inputs'!B1164,'Model inputs'!B1339))))="",FALSE,IF(IFERROR('Model inputs'!B1164=FALSE,FALSE),FALSE,IF(IFERROR('Model inputs'!B1339=FALSE,FALSE),FALSE,IF(OR('Model inputs'!B1164="",'Model inputs'!B1339=""),"",AND('Model inputs'!B1164,'Model inputs'!B1339))))),IF('Model inputs'!B145="","",'Model inputs'!B145),0))</f>
        <v>0</v>
      </c>
      <c r="AG341" s="9">
        <f>'Model inputs'!B133*IF(IF(IF(IF(IFERROR('Model inputs'!B1165=FALSE,FALSE),FALSE,IF(IFERROR('Model inputs'!B1341=FALSE,FALSE),FALSE,IF(OR('Model inputs'!B1165="",'Model inputs'!B1341=""),"",AND('Model inputs'!B1165,'Model inputs'!B1341))))="",FALSE,IF(IFERROR('Model inputs'!B1165=FALSE,FALSE),FALSE,IF(IFERROR('Model inputs'!B1341=FALSE,FALSE),FALSE,IF(OR('Model inputs'!B1165="",'Model inputs'!B1341=""),"",AND('Model inputs'!B1165,'Model inputs'!B1341))))),IF('Model inputs'!B145="","",'Model inputs'!B145),0)="",0,IF(IF(IF(IFERROR('Model inputs'!B1165=FALSE,FALSE),FALSE,IF(IFERROR('Model inputs'!B1341=FALSE,FALSE),FALSE,IF(OR('Model inputs'!B1165="",'Model inputs'!B1341=""),"",AND('Model inputs'!B1165,'Model inputs'!B1341))))="",FALSE,IF(IFERROR('Model inputs'!B1165=FALSE,FALSE),FALSE,IF(IFERROR('Model inputs'!B1341=FALSE,FALSE),FALSE,IF(OR('Model inputs'!B1165="",'Model inputs'!B1341=""),"",AND('Model inputs'!B1165,'Model inputs'!B1341))))),IF('Model inputs'!B145="","",'Model inputs'!B145),0))</f>
        <v>0</v>
      </c>
    </row>
    <row r="342" outlineLevel="1">
      <c r="A342" t="inlineStr" s="18">
        <is>
          <t xml:space="preserve">Opex &gt; Frontend contractor (0.25 FTE)</t>
        </is>
      </c>
      <c r="C342" s="9">
        <f>IF('Model inputs'!C40="","",'Model inputs'!C40)</f>
        <v>0</v>
      </c>
      <c r="D342" s="9">
        <f>IF('Model inputs'!D40="","",'Model inputs'!D40)</f>
        <v>0</v>
      </c>
      <c r="E342" s="9">
        <f>IF('Model inputs'!E40="","",'Model inputs'!E40)</f>
        <v>0</v>
      </c>
      <c r="F342" s="9">
        <f>IF('Model inputs'!F40="","",'Model inputs'!F40)</f>
        <v>0</v>
      </c>
      <c r="G342" s="9">
        <f>IF('Model inputs'!G40="","",'Model inputs'!G40)</f>
        <v>0</v>
      </c>
      <c r="H342" s="9">
        <f>IF('Model inputs'!H40="","",'Model inputs'!H40)</f>
        <v>2000</v>
      </c>
      <c r="I342" s="9">
        <f>IF('Model inputs'!I40="","",'Model inputs'!I40)</f>
        <v>2000</v>
      </c>
      <c r="J342" s="9">
        <f>IF('Model inputs'!J40="","",'Model inputs'!J40)</f>
        <v>2000</v>
      </c>
      <c r="K342" s="9">
        <f>IF('Model inputs'!K40="","",'Model inputs'!K40)</f>
        <v>2000</v>
      </c>
      <c r="L342" s="9">
        <f>IF('Model inputs'!L40="","",'Model inputs'!L40)</f>
        <v>2000</v>
      </c>
      <c r="M342" s="9">
        <f>IF('Model inputs'!M40="","",'Model inputs'!M40)</f>
        <v>2000</v>
      </c>
      <c r="N342" s="9">
        <f>IF('Model inputs'!N40="","",'Model inputs'!N40)</f>
        <v>2000</v>
      </c>
      <c r="O342" s="9">
        <f>IF('Model inputs'!O40="","",'Model inputs'!O40)</f>
        <v>2000</v>
      </c>
      <c r="P342" s="9">
        <f>IF('Model inputs'!P40="","",'Model inputs'!P40)</f>
        <v>2000</v>
      </c>
      <c r="Q342" s="9">
        <f>IF('Model inputs'!Q40="","",'Model inputs'!Q40)</f>
        <v>2000</v>
      </c>
      <c r="R342" s="9">
        <f>IF('Model inputs'!R40="","",'Model inputs'!R40)</f>
        <v>2000</v>
      </c>
      <c r="S342" s="9">
        <f>IF('Model inputs'!S40="","",'Model inputs'!S40)</f>
        <v>2000</v>
      </c>
      <c r="T342" s="9">
        <f>IF('Model inputs'!T40="","",'Model inputs'!T40)</f>
        <v>2000</v>
      </c>
      <c r="U342" s="9">
        <f>IF('Model inputs'!U40="","",'Model inputs'!U40)</f>
        <v>2000</v>
      </c>
      <c r="V342" s="9">
        <f>IF('Model inputs'!V40="","",'Model inputs'!V40)</f>
        <v>2000</v>
      </c>
      <c r="W342" s="9">
        <f>'Model inputs'!B134*IF(IF(IF(IF(IFERROR('Model inputs'!B1166=FALSE,FALSE),FALSE,IF(IFERROR('Model inputs'!B1343=FALSE,FALSE),FALSE,IF(OR('Model inputs'!B1166="",'Model inputs'!B1343=""),"",AND('Model inputs'!B1166,'Model inputs'!B1343))))="",FALSE,IF(IFERROR('Model inputs'!B1166=FALSE,FALSE),FALSE,IF(IFERROR('Model inputs'!B1343=FALSE,FALSE),FALSE,IF(OR('Model inputs'!B1166="",'Model inputs'!B1343=""),"",AND('Model inputs'!B1166,'Model inputs'!B1343))))),IF('Model inputs'!B146="","",'Model inputs'!B146),0)="",0,IF(IF(IF(IFERROR('Model inputs'!B1166=FALSE,FALSE),FALSE,IF(IFERROR('Model inputs'!B1343=FALSE,FALSE),FALSE,IF(OR('Model inputs'!B1166="",'Model inputs'!B1343=""),"",AND('Model inputs'!B1166,'Model inputs'!B1343))))="",FALSE,IF(IFERROR('Model inputs'!B1166=FALSE,FALSE),FALSE,IF(IFERROR('Model inputs'!B1343=FALSE,FALSE),FALSE,IF(OR('Model inputs'!B1166="",'Model inputs'!B1343=""),"",AND('Model inputs'!B1166,'Model inputs'!B1343))))),IF('Model inputs'!B146="","",'Model inputs'!B146),0))</f>
        <v>0</v>
      </c>
      <c r="X342" s="9">
        <f>'Model inputs'!B134*IF(IF(IF(IF(IFERROR('Model inputs'!B1167=FALSE,FALSE),FALSE,IF(IFERROR('Model inputs'!B1345=FALSE,FALSE),FALSE,IF(OR('Model inputs'!B1167="",'Model inputs'!B1345=""),"",AND('Model inputs'!B1167,'Model inputs'!B1345))))="",FALSE,IF(IFERROR('Model inputs'!B1167=FALSE,FALSE),FALSE,IF(IFERROR('Model inputs'!B1345=FALSE,FALSE),FALSE,IF(OR('Model inputs'!B1167="",'Model inputs'!B1345=""),"",AND('Model inputs'!B1167,'Model inputs'!B1345))))),IF('Model inputs'!B146="","",'Model inputs'!B146),0)="",0,IF(IF(IF(IFERROR('Model inputs'!B1167=FALSE,FALSE),FALSE,IF(IFERROR('Model inputs'!B1345=FALSE,FALSE),FALSE,IF(OR('Model inputs'!B1167="",'Model inputs'!B1345=""),"",AND('Model inputs'!B1167,'Model inputs'!B1345))))="",FALSE,IF(IFERROR('Model inputs'!B1167=FALSE,FALSE),FALSE,IF(IFERROR('Model inputs'!B1345=FALSE,FALSE),FALSE,IF(OR('Model inputs'!B1167="",'Model inputs'!B1345=""),"",AND('Model inputs'!B1167,'Model inputs'!B1345))))),IF('Model inputs'!B146="","",'Model inputs'!B146),0))</f>
        <v>0</v>
      </c>
      <c r="Y342" s="9">
        <f>'Model inputs'!B134*IF(IF(IF(IF(IFERROR('Model inputs'!B1168=FALSE,FALSE),FALSE,IF(IFERROR('Model inputs'!B1347=FALSE,FALSE),FALSE,IF(OR('Model inputs'!B1168="",'Model inputs'!B1347=""),"",AND('Model inputs'!B1168,'Model inputs'!B1347))))="",FALSE,IF(IFERROR('Model inputs'!B1168=FALSE,FALSE),FALSE,IF(IFERROR('Model inputs'!B1347=FALSE,FALSE),FALSE,IF(OR('Model inputs'!B1168="",'Model inputs'!B1347=""),"",AND('Model inputs'!B1168,'Model inputs'!B1347))))),IF('Model inputs'!B146="","",'Model inputs'!B146),0)="",0,IF(IF(IF(IFERROR('Model inputs'!B1168=FALSE,FALSE),FALSE,IF(IFERROR('Model inputs'!B1347=FALSE,FALSE),FALSE,IF(OR('Model inputs'!B1168="",'Model inputs'!B1347=""),"",AND('Model inputs'!B1168,'Model inputs'!B1347))))="",FALSE,IF(IFERROR('Model inputs'!B1168=FALSE,FALSE),FALSE,IF(IFERROR('Model inputs'!B1347=FALSE,FALSE),FALSE,IF(OR('Model inputs'!B1168="",'Model inputs'!B1347=""),"",AND('Model inputs'!B1168,'Model inputs'!B1347))))),IF('Model inputs'!B146="","",'Model inputs'!B146),0))</f>
        <v>0</v>
      </c>
      <c r="Z342" s="9">
        <f>'Model inputs'!B134*IF(IF(IF(IF(IFERROR('Model inputs'!B1169=FALSE,FALSE),FALSE,IF(IFERROR('Model inputs'!B1349=FALSE,FALSE),FALSE,IF(OR('Model inputs'!B1169="",'Model inputs'!B1349=""),"",AND('Model inputs'!B1169,'Model inputs'!B1349))))="",FALSE,IF(IFERROR('Model inputs'!B1169=FALSE,FALSE),FALSE,IF(IFERROR('Model inputs'!B1349=FALSE,FALSE),FALSE,IF(OR('Model inputs'!B1169="",'Model inputs'!B1349=""),"",AND('Model inputs'!B1169,'Model inputs'!B1349))))),IF('Model inputs'!B146="","",'Model inputs'!B146),0)="",0,IF(IF(IF(IFERROR('Model inputs'!B1169=FALSE,FALSE),FALSE,IF(IFERROR('Model inputs'!B1349=FALSE,FALSE),FALSE,IF(OR('Model inputs'!B1169="",'Model inputs'!B1349=""),"",AND('Model inputs'!B1169,'Model inputs'!B1349))))="",FALSE,IF(IFERROR('Model inputs'!B1169=FALSE,FALSE),FALSE,IF(IFERROR('Model inputs'!B1349=FALSE,FALSE),FALSE,IF(OR('Model inputs'!B1169="",'Model inputs'!B1349=""),"",AND('Model inputs'!B1169,'Model inputs'!B1349))))),IF('Model inputs'!B146="","",'Model inputs'!B146),0))</f>
        <v>0</v>
      </c>
      <c r="AA342" s="9">
        <f>'Model inputs'!B134*IF(IF(IF(IF(IFERROR('Model inputs'!B1170=FALSE,FALSE),FALSE,IF(IFERROR('Model inputs'!B1351=FALSE,FALSE),FALSE,IF(OR('Model inputs'!B1170="",'Model inputs'!B1351=""),"",AND('Model inputs'!B1170,'Model inputs'!B1351))))="",FALSE,IF(IFERROR('Model inputs'!B1170=FALSE,FALSE),FALSE,IF(IFERROR('Model inputs'!B1351=FALSE,FALSE),FALSE,IF(OR('Model inputs'!B1170="",'Model inputs'!B1351=""),"",AND('Model inputs'!B1170,'Model inputs'!B1351))))),IF('Model inputs'!B146="","",'Model inputs'!B146),0)="",0,IF(IF(IF(IFERROR('Model inputs'!B1170=FALSE,FALSE),FALSE,IF(IFERROR('Model inputs'!B1351=FALSE,FALSE),FALSE,IF(OR('Model inputs'!B1170="",'Model inputs'!B1351=""),"",AND('Model inputs'!B1170,'Model inputs'!B1351))))="",FALSE,IF(IFERROR('Model inputs'!B1170=FALSE,FALSE),FALSE,IF(IFERROR('Model inputs'!B1351=FALSE,FALSE),FALSE,IF(OR('Model inputs'!B1170="",'Model inputs'!B1351=""),"",AND('Model inputs'!B1170,'Model inputs'!B1351))))),IF('Model inputs'!B146="","",'Model inputs'!B146),0))</f>
        <v>0</v>
      </c>
      <c r="AB342" s="9">
        <f>'Model inputs'!B134*IF(IF(IF(IF(IFERROR('Model inputs'!B1171=FALSE,FALSE),FALSE,IF(IFERROR('Model inputs'!B1353=FALSE,FALSE),FALSE,IF(OR('Model inputs'!B1171="",'Model inputs'!B1353=""),"",AND('Model inputs'!B1171,'Model inputs'!B1353))))="",FALSE,IF(IFERROR('Model inputs'!B1171=FALSE,FALSE),FALSE,IF(IFERROR('Model inputs'!B1353=FALSE,FALSE),FALSE,IF(OR('Model inputs'!B1171="",'Model inputs'!B1353=""),"",AND('Model inputs'!B1171,'Model inputs'!B1353))))),IF('Model inputs'!B146="","",'Model inputs'!B146),0)="",0,IF(IF(IF(IFERROR('Model inputs'!B1171=FALSE,FALSE),FALSE,IF(IFERROR('Model inputs'!B1353=FALSE,FALSE),FALSE,IF(OR('Model inputs'!B1171="",'Model inputs'!B1353=""),"",AND('Model inputs'!B1171,'Model inputs'!B1353))))="",FALSE,IF(IFERROR('Model inputs'!B1171=FALSE,FALSE),FALSE,IF(IFERROR('Model inputs'!B1353=FALSE,FALSE),FALSE,IF(OR('Model inputs'!B1171="",'Model inputs'!B1353=""),"",AND('Model inputs'!B1171,'Model inputs'!B1353))))),IF('Model inputs'!B146="","",'Model inputs'!B146),0))</f>
        <v>0</v>
      </c>
      <c r="AC342" s="9">
        <f>'Model inputs'!B134*IF(IF(IF(IF(IFERROR('Model inputs'!B1172=FALSE,FALSE),FALSE,IF(IFERROR('Model inputs'!B1355=FALSE,FALSE),FALSE,IF(OR('Model inputs'!B1172="",'Model inputs'!B1355=""),"",AND('Model inputs'!B1172,'Model inputs'!B1355))))="",FALSE,IF(IFERROR('Model inputs'!B1172=FALSE,FALSE),FALSE,IF(IFERROR('Model inputs'!B1355=FALSE,FALSE),FALSE,IF(OR('Model inputs'!B1172="",'Model inputs'!B1355=""),"",AND('Model inputs'!B1172,'Model inputs'!B1355))))),IF('Model inputs'!B146="","",'Model inputs'!B146),0)="",0,IF(IF(IF(IFERROR('Model inputs'!B1172=FALSE,FALSE),FALSE,IF(IFERROR('Model inputs'!B1355=FALSE,FALSE),FALSE,IF(OR('Model inputs'!B1172="",'Model inputs'!B1355=""),"",AND('Model inputs'!B1172,'Model inputs'!B1355))))="",FALSE,IF(IFERROR('Model inputs'!B1172=FALSE,FALSE),FALSE,IF(IFERROR('Model inputs'!B1355=FALSE,FALSE),FALSE,IF(OR('Model inputs'!B1172="",'Model inputs'!B1355=""),"",AND('Model inputs'!B1172,'Model inputs'!B1355))))),IF('Model inputs'!B146="","",'Model inputs'!B146),0))</f>
        <v>0</v>
      </c>
      <c r="AD342" s="9">
        <f>'Model inputs'!B134*IF(IF(IF(IF(IFERROR('Model inputs'!B1173=FALSE,FALSE),FALSE,IF(IFERROR('Model inputs'!B1357=FALSE,FALSE),FALSE,IF(OR('Model inputs'!B1173="",'Model inputs'!B1357=""),"",AND('Model inputs'!B1173,'Model inputs'!B1357))))="",FALSE,IF(IFERROR('Model inputs'!B1173=FALSE,FALSE),FALSE,IF(IFERROR('Model inputs'!B1357=FALSE,FALSE),FALSE,IF(OR('Model inputs'!B1173="",'Model inputs'!B1357=""),"",AND('Model inputs'!B1173,'Model inputs'!B1357))))),IF('Model inputs'!B146="","",'Model inputs'!B146),0)="",0,IF(IF(IF(IFERROR('Model inputs'!B1173=FALSE,FALSE),FALSE,IF(IFERROR('Model inputs'!B1357=FALSE,FALSE),FALSE,IF(OR('Model inputs'!B1173="",'Model inputs'!B1357=""),"",AND('Model inputs'!B1173,'Model inputs'!B1357))))="",FALSE,IF(IFERROR('Model inputs'!B1173=FALSE,FALSE),FALSE,IF(IFERROR('Model inputs'!B1357=FALSE,FALSE),FALSE,IF(OR('Model inputs'!B1173="",'Model inputs'!B1357=""),"",AND('Model inputs'!B1173,'Model inputs'!B1357))))),IF('Model inputs'!B146="","",'Model inputs'!B146),0))</f>
        <v>0</v>
      </c>
      <c r="AE342" s="9">
        <f>'Model inputs'!B134*IF(IF(IF(IF(IFERROR('Model inputs'!B1174=FALSE,FALSE),FALSE,IF(IFERROR('Model inputs'!B1359=FALSE,FALSE),FALSE,IF(OR('Model inputs'!B1174="",'Model inputs'!B1359=""),"",AND('Model inputs'!B1174,'Model inputs'!B1359))))="",FALSE,IF(IFERROR('Model inputs'!B1174=FALSE,FALSE),FALSE,IF(IFERROR('Model inputs'!B1359=FALSE,FALSE),FALSE,IF(OR('Model inputs'!B1174="",'Model inputs'!B1359=""),"",AND('Model inputs'!B1174,'Model inputs'!B1359))))),IF('Model inputs'!B146="","",'Model inputs'!B146),0)="",0,IF(IF(IF(IFERROR('Model inputs'!B1174=FALSE,FALSE),FALSE,IF(IFERROR('Model inputs'!B1359=FALSE,FALSE),FALSE,IF(OR('Model inputs'!B1174="",'Model inputs'!B1359=""),"",AND('Model inputs'!B1174,'Model inputs'!B1359))))="",FALSE,IF(IFERROR('Model inputs'!B1174=FALSE,FALSE),FALSE,IF(IFERROR('Model inputs'!B1359=FALSE,FALSE),FALSE,IF(OR('Model inputs'!B1174="",'Model inputs'!B1359=""),"",AND('Model inputs'!B1174,'Model inputs'!B1359))))),IF('Model inputs'!B146="","",'Model inputs'!B146),0))</f>
        <v>0</v>
      </c>
      <c r="AF342" s="9">
        <f>'Model inputs'!B134*IF(IF(IF(IF(IFERROR('Model inputs'!B1175=FALSE,FALSE),FALSE,IF(IFERROR('Model inputs'!B1361=FALSE,FALSE),FALSE,IF(OR('Model inputs'!B1175="",'Model inputs'!B1361=""),"",AND('Model inputs'!B1175,'Model inputs'!B1361))))="",FALSE,IF(IFERROR('Model inputs'!B1175=FALSE,FALSE),FALSE,IF(IFERROR('Model inputs'!B1361=FALSE,FALSE),FALSE,IF(OR('Model inputs'!B1175="",'Model inputs'!B1361=""),"",AND('Model inputs'!B1175,'Model inputs'!B1361))))),IF('Model inputs'!B146="","",'Model inputs'!B146),0)="",0,IF(IF(IF(IFERROR('Model inputs'!B1175=FALSE,FALSE),FALSE,IF(IFERROR('Model inputs'!B1361=FALSE,FALSE),FALSE,IF(OR('Model inputs'!B1175="",'Model inputs'!B1361=""),"",AND('Model inputs'!B1175,'Model inputs'!B1361))))="",FALSE,IF(IFERROR('Model inputs'!B1175=FALSE,FALSE),FALSE,IF(IFERROR('Model inputs'!B1361=FALSE,FALSE),FALSE,IF(OR('Model inputs'!B1175="",'Model inputs'!B1361=""),"",AND('Model inputs'!B1175,'Model inputs'!B1361))))),IF('Model inputs'!B146="","",'Model inputs'!B146),0))</f>
        <v>0</v>
      </c>
      <c r="AG342" s="9">
        <f>'Model inputs'!B134*IF(IF(IF(IF(IFERROR('Model inputs'!B1176=FALSE,FALSE),FALSE,IF(IFERROR('Model inputs'!B1363=FALSE,FALSE),FALSE,IF(OR('Model inputs'!B1176="",'Model inputs'!B1363=""),"",AND('Model inputs'!B1176,'Model inputs'!B1363))))="",FALSE,IF(IFERROR('Model inputs'!B1176=FALSE,FALSE),FALSE,IF(IFERROR('Model inputs'!B1363=FALSE,FALSE),FALSE,IF(OR('Model inputs'!B1176="",'Model inputs'!B1363=""),"",AND('Model inputs'!B1176,'Model inputs'!B1363))))),IF('Model inputs'!B146="","",'Model inputs'!B146),0)="",0,IF(IF(IF(IFERROR('Model inputs'!B1176=FALSE,FALSE),FALSE,IF(IFERROR('Model inputs'!B1363=FALSE,FALSE),FALSE,IF(OR('Model inputs'!B1176="",'Model inputs'!B1363=""),"",AND('Model inputs'!B1176,'Model inputs'!B1363))))="",FALSE,IF(IFERROR('Model inputs'!B1176=FALSE,FALSE),FALSE,IF(IFERROR('Model inputs'!B1363=FALSE,FALSE),FALSE,IF(OR('Model inputs'!B1176="",'Model inputs'!B1363=""),"",AND('Model inputs'!B1176,'Model inputs'!B1363))))),IF('Model inputs'!B146="","",'Model inputs'!B146),0))</f>
        <v>0</v>
      </c>
    </row>
    <row r="343" outlineLevel="1">
      <c r="A343" t="inlineStr" s="18">
        <is>
          <t xml:space="preserve">Opex &gt; Hosting (Vercel + storage)</t>
        </is>
      </c>
      <c r="C343" s="9">
        <f>IF('Model inputs'!C41="","",'Model inputs'!C41)</f>
        <v>0</v>
      </c>
      <c r="D343" s="9">
        <f>IF('Model inputs'!D41="","",'Model inputs'!D41)</f>
        <v>0</v>
      </c>
      <c r="E343" s="9">
        <f>IF('Model inputs'!E41="","",'Model inputs'!E41)</f>
        <v>80</v>
      </c>
      <c r="F343" s="9">
        <f>IF('Model inputs'!F41="","",'Model inputs'!F41)</f>
        <v>80</v>
      </c>
      <c r="G343" s="9">
        <f>IF('Model inputs'!G41="","",'Model inputs'!G41)</f>
        <v>80</v>
      </c>
      <c r="H343" s="9">
        <f>IF('Model inputs'!H41="","",'Model inputs'!H41)</f>
        <v>80</v>
      </c>
      <c r="I343" s="9">
        <f>IF('Model inputs'!I41="","",'Model inputs'!I41)</f>
        <v>80</v>
      </c>
      <c r="J343" s="9">
        <f>IF('Model inputs'!J41="","",'Model inputs'!J41)</f>
        <v>80</v>
      </c>
      <c r="K343" s="9">
        <f>IF('Model inputs'!K41="","",'Model inputs'!K41)</f>
        <v>80</v>
      </c>
      <c r="L343" s="9">
        <f>IF('Model inputs'!L41="","",'Model inputs'!L41)</f>
        <v>80</v>
      </c>
      <c r="M343" s="9">
        <f>IF('Model inputs'!M41="","",'Model inputs'!M41)</f>
        <v>80</v>
      </c>
      <c r="N343" s="9">
        <f>IF('Model inputs'!N41="","",'Model inputs'!N41)</f>
        <v>80</v>
      </c>
      <c r="O343" s="9">
        <f>IF('Model inputs'!O41="","",'Model inputs'!O41)</f>
        <v>80</v>
      </c>
      <c r="P343" s="9">
        <f>IF('Model inputs'!P41="","",'Model inputs'!P41)</f>
        <v>80</v>
      </c>
      <c r="Q343" s="9">
        <f>IF('Model inputs'!Q41="","",'Model inputs'!Q41)</f>
        <v>80</v>
      </c>
      <c r="R343" s="9">
        <f>IF('Model inputs'!R41="","",'Model inputs'!R41)</f>
        <v>80</v>
      </c>
      <c r="S343" s="9">
        <f>IF('Model inputs'!S41="","",'Model inputs'!S41)</f>
        <v>80</v>
      </c>
      <c r="T343" s="9">
        <f>IF('Model inputs'!T41="","",'Model inputs'!T41)</f>
        <v>80</v>
      </c>
      <c r="U343" s="9">
        <f>IF('Model inputs'!U41="","",'Model inputs'!U41)</f>
        <v>80</v>
      </c>
      <c r="V343" s="9">
        <f>IF('Model inputs'!V41="","",'Model inputs'!V41)</f>
        <v>80</v>
      </c>
      <c r="W343" s="9">
        <f>'Model inputs'!B135*IF(IF(IF(IF(IFERROR('Model inputs'!B1177=FALSE,FALSE),FALSE,IF(IFERROR('Model inputs'!B1365=FALSE,FALSE),FALSE,IF(OR('Model inputs'!B1177="",'Model inputs'!B1365=""),"",AND('Model inputs'!B1177,'Model inputs'!B1365))))="",FALSE,IF(IFERROR('Model inputs'!B1177=FALSE,FALSE),FALSE,IF(IFERROR('Model inputs'!B1365=FALSE,FALSE),FALSE,IF(OR('Model inputs'!B1177="",'Model inputs'!B1365=""),"",AND('Model inputs'!B1177,'Model inputs'!B1365))))),IF('Model inputs'!B147="","",'Model inputs'!B147),0)="",0,IF(IF(IF(IFERROR('Model inputs'!B1177=FALSE,FALSE),FALSE,IF(IFERROR('Model inputs'!B1365=FALSE,FALSE),FALSE,IF(OR('Model inputs'!B1177="",'Model inputs'!B1365=""),"",AND('Model inputs'!B1177,'Model inputs'!B1365))))="",FALSE,IF(IFERROR('Model inputs'!B1177=FALSE,FALSE),FALSE,IF(IFERROR('Model inputs'!B1365=FALSE,FALSE),FALSE,IF(OR('Model inputs'!B1177="",'Model inputs'!B1365=""),"",AND('Model inputs'!B1177,'Model inputs'!B1365))))),IF('Model inputs'!B147="","",'Model inputs'!B147),0))</f>
        <v>0</v>
      </c>
      <c r="X343" s="9">
        <f>'Model inputs'!B135*IF(IF(IF(IF(IFERROR('Model inputs'!B1178=FALSE,FALSE),FALSE,IF(IFERROR('Model inputs'!B1367=FALSE,FALSE),FALSE,IF(OR('Model inputs'!B1178="",'Model inputs'!B1367=""),"",AND('Model inputs'!B1178,'Model inputs'!B1367))))="",FALSE,IF(IFERROR('Model inputs'!B1178=FALSE,FALSE),FALSE,IF(IFERROR('Model inputs'!B1367=FALSE,FALSE),FALSE,IF(OR('Model inputs'!B1178="",'Model inputs'!B1367=""),"",AND('Model inputs'!B1178,'Model inputs'!B1367))))),IF('Model inputs'!B147="","",'Model inputs'!B147),0)="",0,IF(IF(IF(IFERROR('Model inputs'!B1178=FALSE,FALSE),FALSE,IF(IFERROR('Model inputs'!B1367=FALSE,FALSE),FALSE,IF(OR('Model inputs'!B1178="",'Model inputs'!B1367=""),"",AND('Model inputs'!B1178,'Model inputs'!B1367))))="",FALSE,IF(IFERROR('Model inputs'!B1178=FALSE,FALSE),FALSE,IF(IFERROR('Model inputs'!B1367=FALSE,FALSE),FALSE,IF(OR('Model inputs'!B1178="",'Model inputs'!B1367=""),"",AND('Model inputs'!B1178,'Model inputs'!B1367))))),IF('Model inputs'!B147="","",'Model inputs'!B147),0))</f>
        <v>0</v>
      </c>
      <c r="Y343" s="9">
        <f>'Model inputs'!B135*IF(IF(IF(IF(IFERROR('Model inputs'!B1179=FALSE,FALSE),FALSE,IF(IFERROR('Model inputs'!B1369=FALSE,FALSE),FALSE,IF(OR('Model inputs'!B1179="",'Model inputs'!B1369=""),"",AND('Model inputs'!B1179,'Model inputs'!B1369))))="",FALSE,IF(IFERROR('Model inputs'!B1179=FALSE,FALSE),FALSE,IF(IFERROR('Model inputs'!B1369=FALSE,FALSE),FALSE,IF(OR('Model inputs'!B1179="",'Model inputs'!B1369=""),"",AND('Model inputs'!B1179,'Model inputs'!B1369))))),IF('Model inputs'!B147="","",'Model inputs'!B147),0)="",0,IF(IF(IF(IFERROR('Model inputs'!B1179=FALSE,FALSE),FALSE,IF(IFERROR('Model inputs'!B1369=FALSE,FALSE),FALSE,IF(OR('Model inputs'!B1179="",'Model inputs'!B1369=""),"",AND('Model inputs'!B1179,'Model inputs'!B1369))))="",FALSE,IF(IFERROR('Model inputs'!B1179=FALSE,FALSE),FALSE,IF(IFERROR('Model inputs'!B1369=FALSE,FALSE),FALSE,IF(OR('Model inputs'!B1179="",'Model inputs'!B1369=""),"",AND('Model inputs'!B1179,'Model inputs'!B1369))))),IF('Model inputs'!B147="","",'Model inputs'!B147),0))</f>
        <v>0</v>
      </c>
      <c r="Z343" s="9">
        <f>'Model inputs'!B135*IF(IF(IF(IF(IFERROR('Model inputs'!B1180=FALSE,FALSE),FALSE,IF(IFERROR('Model inputs'!B1371=FALSE,FALSE),FALSE,IF(OR('Model inputs'!B1180="",'Model inputs'!B1371=""),"",AND('Model inputs'!B1180,'Model inputs'!B1371))))="",FALSE,IF(IFERROR('Model inputs'!B1180=FALSE,FALSE),FALSE,IF(IFERROR('Model inputs'!B1371=FALSE,FALSE),FALSE,IF(OR('Model inputs'!B1180="",'Model inputs'!B1371=""),"",AND('Model inputs'!B1180,'Model inputs'!B1371))))),IF('Model inputs'!B147="","",'Model inputs'!B147),0)="",0,IF(IF(IF(IFERROR('Model inputs'!B1180=FALSE,FALSE),FALSE,IF(IFERROR('Model inputs'!B1371=FALSE,FALSE),FALSE,IF(OR('Model inputs'!B1180="",'Model inputs'!B1371=""),"",AND('Model inputs'!B1180,'Model inputs'!B1371))))="",FALSE,IF(IFERROR('Model inputs'!B1180=FALSE,FALSE),FALSE,IF(IFERROR('Model inputs'!B1371=FALSE,FALSE),FALSE,IF(OR('Model inputs'!B1180="",'Model inputs'!B1371=""),"",AND('Model inputs'!B1180,'Model inputs'!B1371))))),IF('Model inputs'!B147="","",'Model inputs'!B147),0))</f>
        <v>0</v>
      </c>
      <c r="AA343" s="9">
        <f>'Model inputs'!B135*IF(IF(IF(IF(IFERROR('Model inputs'!B1181=FALSE,FALSE),FALSE,IF(IFERROR('Model inputs'!B1373=FALSE,FALSE),FALSE,IF(OR('Model inputs'!B1181="",'Model inputs'!B1373=""),"",AND('Model inputs'!B1181,'Model inputs'!B1373))))="",FALSE,IF(IFERROR('Model inputs'!B1181=FALSE,FALSE),FALSE,IF(IFERROR('Model inputs'!B1373=FALSE,FALSE),FALSE,IF(OR('Model inputs'!B1181="",'Model inputs'!B1373=""),"",AND('Model inputs'!B1181,'Model inputs'!B1373))))),IF('Model inputs'!B147="","",'Model inputs'!B147),0)="",0,IF(IF(IF(IFERROR('Model inputs'!B1181=FALSE,FALSE),FALSE,IF(IFERROR('Model inputs'!B1373=FALSE,FALSE),FALSE,IF(OR('Model inputs'!B1181="",'Model inputs'!B1373=""),"",AND('Model inputs'!B1181,'Model inputs'!B1373))))="",FALSE,IF(IFERROR('Model inputs'!B1181=FALSE,FALSE),FALSE,IF(IFERROR('Model inputs'!B1373=FALSE,FALSE),FALSE,IF(OR('Model inputs'!B1181="",'Model inputs'!B1373=""),"",AND('Model inputs'!B1181,'Model inputs'!B1373))))),IF('Model inputs'!B147="","",'Model inputs'!B147),0))</f>
        <v>0</v>
      </c>
      <c r="AB343" s="9">
        <f>'Model inputs'!B135*IF(IF(IF(IF(IFERROR('Model inputs'!B1182=FALSE,FALSE),FALSE,IF(IFERROR('Model inputs'!B1375=FALSE,FALSE),FALSE,IF(OR('Model inputs'!B1182="",'Model inputs'!B1375=""),"",AND('Model inputs'!B1182,'Model inputs'!B1375))))="",FALSE,IF(IFERROR('Model inputs'!B1182=FALSE,FALSE),FALSE,IF(IFERROR('Model inputs'!B1375=FALSE,FALSE),FALSE,IF(OR('Model inputs'!B1182="",'Model inputs'!B1375=""),"",AND('Model inputs'!B1182,'Model inputs'!B1375))))),IF('Model inputs'!B147="","",'Model inputs'!B147),0)="",0,IF(IF(IF(IFERROR('Model inputs'!B1182=FALSE,FALSE),FALSE,IF(IFERROR('Model inputs'!B1375=FALSE,FALSE),FALSE,IF(OR('Model inputs'!B1182="",'Model inputs'!B1375=""),"",AND('Model inputs'!B1182,'Model inputs'!B1375))))="",FALSE,IF(IFERROR('Model inputs'!B1182=FALSE,FALSE),FALSE,IF(IFERROR('Model inputs'!B1375=FALSE,FALSE),FALSE,IF(OR('Model inputs'!B1182="",'Model inputs'!B1375=""),"",AND('Model inputs'!B1182,'Model inputs'!B1375))))),IF('Model inputs'!B147="","",'Model inputs'!B147),0))</f>
        <v>0</v>
      </c>
      <c r="AC343" s="9">
        <f>'Model inputs'!B135*IF(IF(IF(IF(IFERROR('Model inputs'!B1183=FALSE,FALSE),FALSE,IF(IFERROR('Model inputs'!B1377=FALSE,FALSE),FALSE,IF(OR('Model inputs'!B1183="",'Model inputs'!B1377=""),"",AND('Model inputs'!B1183,'Model inputs'!B1377))))="",FALSE,IF(IFERROR('Model inputs'!B1183=FALSE,FALSE),FALSE,IF(IFERROR('Model inputs'!B1377=FALSE,FALSE),FALSE,IF(OR('Model inputs'!B1183="",'Model inputs'!B1377=""),"",AND('Model inputs'!B1183,'Model inputs'!B1377))))),IF('Model inputs'!B147="","",'Model inputs'!B147),0)="",0,IF(IF(IF(IFERROR('Model inputs'!B1183=FALSE,FALSE),FALSE,IF(IFERROR('Model inputs'!B1377=FALSE,FALSE),FALSE,IF(OR('Model inputs'!B1183="",'Model inputs'!B1377=""),"",AND('Model inputs'!B1183,'Model inputs'!B1377))))="",FALSE,IF(IFERROR('Model inputs'!B1183=FALSE,FALSE),FALSE,IF(IFERROR('Model inputs'!B1377=FALSE,FALSE),FALSE,IF(OR('Model inputs'!B1183="",'Model inputs'!B1377=""),"",AND('Model inputs'!B1183,'Model inputs'!B1377))))),IF('Model inputs'!B147="","",'Model inputs'!B147),0))</f>
        <v>0</v>
      </c>
      <c r="AD343" s="9">
        <f>'Model inputs'!B135*IF(IF(IF(IF(IFERROR('Model inputs'!B1184=FALSE,FALSE),FALSE,IF(IFERROR('Model inputs'!B1379=FALSE,FALSE),FALSE,IF(OR('Model inputs'!B1184="",'Model inputs'!B1379=""),"",AND('Model inputs'!B1184,'Model inputs'!B1379))))="",FALSE,IF(IFERROR('Model inputs'!B1184=FALSE,FALSE),FALSE,IF(IFERROR('Model inputs'!B1379=FALSE,FALSE),FALSE,IF(OR('Model inputs'!B1184="",'Model inputs'!B1379=""),"",AND('Model inputs'!B1184,'Model inputs'!B1379))))),IF('Model inputs'!B147="","",'Model inputs'!B147),0)="",0,IF(IF(IF(IFERROR('Model inputs'!B1184=FALSE,FALSE),FALSE,IF(IFERROR('Model inputs'!B1379=FALSE,FALSE),FALSE,IF(OR('Model inputs'!B1184="",'Model inputs'!B1379=""),"",AND('Model inputs'!B1184,'Model inputs'!B1379))))="",FALSE,IF(IFERROR('Model inputs'!B1184=FALSE,FALSE),FALSE,IF(IFERROR('Model inputs'!B1379=FALSE,FALSE),FALSE,IF(OR('Model inputs'!B1184="",'Model inputs'!B1379=""),"",AND('Model inputs'!B1184,'Model inputs'!B1379))))),IF('Model inputs'!B147="","",'Model inputs'!B147),0))</f>
        <v>0</v>
      </c>
      <c r="AE343" s="9">
        <f>'Model inputs'!B135*IF(IF(IF(IF(IFERROR('Model inputs'!B1185=FALSE,FALSE),FALSE,IF(IFERROR('Model inputs'!B1381=FALSE,FALSE),FALSE,IF(OR('Model inputs'!B1185="",'Model inputs'!B1381=""),"",AND('Model inputs'!B1185,'Model inputs'!B1381))))="",FALSE,IF(IFERROR('Model inputs'!B1185=FALSE,FALSE),FALSE,IF(IFERROR('Model inputs'!B1381=FALSE,FALSE),FALSE,IF(OR('Model inputs'!B1185="",'Model inputs'!B1381=""),"",AND('Model inputs'!B1185,'Model inputs'!B1381))))),IF('Model inputs'!B147="","",'Model inputs'!B147),0)="",0,IF(IF(IF(IFERROR('Model inputs'!B1185=FALSE,FALSE),FALSE,IF(IFERROR('Model inputs'!B1381=FALSE,FALSE),FALSE,IF(OR('Model inputs'!B1185="",'Model inputs'!B1381=""),"",AND('Model inputs'!B1185,'Model inputs'!B1381))))="",FALSE,IF(IFERROR('Model inputs'!B1185=FALSE,FALSE),FALSE,IF(IFERROR('Model inputs'!B1381=FALSE,FALSE),FALSE,IF(OR('Model inputs'!B1185="",'Model inputs'!B1381=""),"",AND('Model inputs'!B1185,'Model inputs'!B1381))))),IF('Model inputs'!B147="","",'Model inputs'!B147),0))</f>
        <v>0</v>
      </c>
      <c r="AF343" s="9">
        <f>'Model inputs'!B135*IF(IF(IF(IF(IFERROR('Model inputs'!B1186=FALSE,FALSE),FALSE,IF(IFERROR('Model inputs'!B1383=FALSE,FALSE),FALSE,IF(OR('Model inputs'!B1186="",'Model inputs'!B1383=""),"",AND('Model inputs'!B1186,'Model inputs'!B1383))))="",FALSE,IF(IFERROR('Model inputs'!B1186=FALSE,FALSE),FALSE,IF(IFERROR('Model inputs'!B1383=FALSE,FALSE),FALSE,IF(OR('Model inputs'!B1186="",'Model inputs'!B1383=""),"",AND('Model inputs'!B1186,'Model inputs'!B1383))))),IF('Model inputs'!B147="","",'Model inputs'!B147),0)="",0,IF(IF(IF(IFERROR('Model inputs'!B1186=FALSE,FALSE),FALSE,IF(IFERROR('Model inputs'!B1383=FALSE,FALSE),FALSE,IF(OR('Model inputs'!B1186="",'Model inputs'!B1383=""),"",AND('Model inputs'!B1186,'Model inputs'!B1383))))="",FALSE,IF(IFERROR('Model inputs'!B1186=FALSE,FALSE),FALSE,IF(IFERROR('Model inputs'!B1383=FALSE,FALSE),FALSE,IF(OR('Model inputs'!B1186="",'Model inputs'!B1383=""),"",AND('Model inputs'!B1186,'Model inputs'!B1383))))),IF('Model inputs'!B147="","",'Model inputs'!B147),0))</f>
        <v>0</v>
      </c>
      <c r="AG343" s="9">
        <f>'Model inputs'!B135*IF(IF(IF(IF(IFERROR('Model inputs'!B1187=FALSE,FALSE),FALSE,IF(IFERROR('Model inputs'!B1385=FALSE,FALSE),FALSE,IF(OR('Model inputs'!B1187="",'Model inputs'!B1385=""),"",AND('Model inputs'!B1187,'Model inputs'!B1385))))="",FALSE,IF(IFERROR('Model inputs'!B1187=FALSE,FALSE),FALSE,IF(IFERROR('Model inputs'!B1385=FALSE,FALSE),FALSE,IF(OR('Model inputs'!B1187="",'Model inputs'!B1385=""),"",AND('Model inputs'!B1187,'Model inputs'!B1385))))),IF('Model inputs'!B147="","",'Model inputs'!B147),0)="",0,IF(IF(IF(IFERROR('Model inputs'!B1187=FALSE,FALSE),FALSE,IF(IFERROR('Model inputs'!B1385=FALSE,FALSE),FALSE,IF(OR('Model inputs'!B1187="",'Model inputs'!B1385=""),"",AND('Model inputs'!B1187,'Model inputs'!B1385))))="",FALSE,IF(IFERROR('Model inputs'!B1187=FALSE,FALSE),FALSE,IF(IFERROR('Model inputs'!B1385=FALSE,FALSE),FALSE,IF(OR('Model inputs'!B1187="",'Model inputs'!B1385=""),"",AND('Model inputs'!B1187,'Model inputs'!B1385))))),IF('Model inputs'!B147="","",'Model inputs'!B147),0))</f>
        <v>0</v>
      </c>
    </row>
    <row r="344" outlineLevel="1">
      <c r="A344" t="inlineStr" s="18">
        <is>
          <t xml:space="preserve">Opex &gt; Marketing: always-on</t>
        </is>
      </c>
      <c r="C344" s="9">
        <f>IF('Model inputs'!C42="","",'Model inputs'!C42)</f>
        <v>0</v>
      </c>
      <c r="D344" s="9">
        <f>IF('Model inputs'!D42="","",'Model inputs'!D42)</f>
        <v>0</v>
      </c>
      <c r="E344" s="9">
        <f>IF('Model inputs'!E42="","",'Model inputs'!E42)</f>
        <v>250</v>
      </c>
      <c r="F344" s="9">
        <f>IF('Model inputs'!F42="","",'Model inputs'!F42)</f>
        <v>250</v>
      </c>
      <c r="G344" s="9">
        <f>IF('Model inputs'!G42="","",'Model inputs'!G42)</f>
        <v>250</v>
      </c>
      <c r="H344" s="9">
        <f>IF('Model inputs'!H42="","",'Model inputs'!H42)</f>
        <v>250</v>
      </c>
      <c r="I344" s="9">
        <f>IF('Model inputs'!I42="","",'Model inputs'!I42)</f>
        <v>250</v>
      </c>
      <c r="J344" s="9">
        <f>IF('Model inputs'!J42="","",'Model inputs'!J42)</f>
        <v>250</v>
      </c>
      <c r="K344" s="9">
        <f>IF('Model inputs'!K42="","",'Model inputs'!K42)</f>
        <v>250</v>
      </c>
      <c r="L344" s="9">
        <f>IF('Model inputs'!L42="","",'Model inputs'!L42)</f>
        <v>250</v>
      </c>
      <c r="M344" s="9">
        <f>IF('Model inputs'!M42="","",'Model inputs'!M42)</f>
        <v>250</v>
      </c>
      <c r="N344" s="9">
        <f>IF('Model inputs'!N42="","",'Model inputs'!N42)</f>
        <v>250</v>
      </c>
      <c r="O344" s="9">
        <f>IF('Model inputs'!O42="","",'Model inputs'!O42)</f>
        <v>250</v>
      </c>
      <c r="P344" s="9">
        <f>IF('Model inputs'!P42="","",'Model inputs'!P42)</f>
        <v>250</v>
      </c>
      <c r="Q344" s="9">
        <f>IF('Model inputs'!Q42="","",'Model inputs'!Q42)</f>
        <v>250</v>
      </c>
      <c r="R344" s="9">
        <f>IF('Model inputs'!R42="","",'Model inputs'!R42)</f>
        <v>250</v>
      </c>
      <c r="S344" s="9">
        <f>IF('Model inputs'!S42="","",'Model inputs'!S42)</f>
        <v>250</v>
      </c>
      <c r="T344" s="9">
        <f>IF('Model inputs'!T42="","",'Model inputs'!T42)</f>
        <v>250</v>
      </c>
      <c r="U344" s="9">
        <f>IF('Model inputs'!U42="","",'Model inputs'!U42)</f>
        <v>250</v>
      </c>
      <c r="V344" s="9">
        <f>IF('Model inputs'!V42="","",'Model inputs'!V42)</f>
        <v>250</v>
      </c>
      <c r="W344" s="9">
        <f>'Model inputs'!B136*IF(IF(IF(IF(IFERROR('Model inputs'!B1188=FALSE,FALSE),FALSE,IF(IFERROR('Model inputs'!B1387=FALSE,FALSE),FALSE,IF(OR('Model inputs'!B1188="",'Model inputs'!B1387=""),"",AND('Model inputs'!B1188,'Model inputs'!B1387))))="",FALSE,IF(IFERROR('Model inputs'!B1188=FALSE,FALSE),FALSE,IF(IFERROR('Model inputs'!B1387=FALSE,FALSE),FALSE,IF(OR('Model inputs'!B1188="",'Model inputs'!B1387=""),"",AND('Model inputs'!B1188,'Model inputs'!B1387))))),IF('Model inputs'!B148="","",'Model inputs'!B148),0)="",0,IF(IF(IF(IFERROR('Model inputs'!B1188=FALSE,FALSE),FALSE,IF(IFERROR('Model inputs'!B1387=FALSE,FALSE),FALSE,IF(OR('Model inputs'!B1188="",'Model inputs'!B1387=""),"",AND('Model inputs'!B1188,'Model inputs'!B1387))))="",FALSE,IF(IFERROR('Model inputs'!B1188=FALSE,FALSE),FALSE,IF(IFERROR('Model inputs'!B1387=FALSE,FALSE),FALSE,IF(OR('Model inputs'!B1188="",'Model inputs'!B1387=""),"",AND('Model inputs'!B1188,'Model inputs'!B1387))))),IF('Model inputs'!B148="","",'Model inputs'!B148),0))</f>
        <v>0</v>
      </c>
      <c r="X344" s="9">
        <f>'Model inputs'!B136*IF(IF(IF(IF(IFERROR('Model inputs'!B1189=FALSE,FALSE),FALSE,IF(IFERROR('Model inputs'!B1389=FALSE,FALSE),FALSE,IF(OR('Model inputs'!B1189="",'Model inputs'!B1389=""),"",AND('Model inputs'!B1189,'Model inputs'!B1389))))="",FALSE,IF(IFERROR('Model inputs'!B1189=FALSE,FALSE),FALSE,IF(IFERROR('Model inputs'!B1389=FALSE,FALSE),FALSE,IF(OR('Model inputs'!B1189="",'Model inputs'!B1389=""),"",AND('Model inputs'!B1189,'Model inputs'!B1389))))),IF('Model inputs'!B148="","",'Model inputs'!B148),0)="",0,IF(IF(IF(IFERROR('Model inputs'!B1189=FALSE,FALSE),FALSE,IF(IFERROR('Model inputs'!B1389=FALSE,FALSE),FALSE,IF(OR('Model inputs'!B1189="",'Model inputs'!B1389=""),"",AND('Model inputs'!B1189,'Model inputs'!B1389))))="",FALSE,IF(IFERROR('Model inputs'!B1189=FALSE,FALSE),FALSE,IF(IFERROR('Model inputs'!B1389=FALSE,FALSE),FALSE,IF(OR('Model inputs'!B1189="",'Model inputs'!B1389=""),"",AND('Model inputs'!B1189,'Model inputs'!B1389))))),IF('Model inputs'!B148="","",'Model inputs'!B148),0))</f>
        <v>0</v>
      </c>
      <c r="Y344" s="9">
        <f>'Model inputs'!B136*IF(IF(IF(IF(IFERROR('Model inputs'!B1190=FALSE,FALSE),FALSE,IF(IFERROR('Model inputs'!B1391=FALSE,FALSE),FALSE,IF(OR('Model inputs'!B1190="",'Model inputs'!B1391=""),"",AND('Model inputs'!B1190,'Model inputs'!B1391))))="",FALSE,IF(IFERROR('Model inputs'!B1190=FALSE,FALSE),FALSE,IF(IFERROR('Model inputs'!B1391=FALSE,FALSE),FALSE,IF(OR('Model inputs'!B1190="",'Model inputs'!B1391=""),"",AND('Model inputs'!B1190,'Model inputs'!B1391))))),IF('Model inputs'!B148="","",'Model inputs'!B148),0)="",0,IF(IF(IF(IFERROR('Model inputs'!B1190=FALSE,FALSE),FALSE,IF(IFERROR('Model inputs'!B1391=FALSE,FALSE),FALSE,IF(OR('Model inputs'!B1190="",'Model inputs'!B1391=""),"",AND('Model inputs'!B1190,'Model inputs'!B1391))))="",FALSE,IF(IFERROR('Model inputs'!B1190=FALSE,FALSE),FALSE,IF(IFERROR('Model inputs'!B1391=FALSE,FALSE),FALSE,IF(OR('Model inputs'!B1190="",'Model inputs'!B1391=""),"",AND('Model inputs'!B1190,'Model inputs'!B1391))))),IF('Model inputs'!B148="","",'Model inputs'!B148),0))</f>
        <v>0</v>
      </c>
      <c r="Z344" s="9">
        <f>'Model inputs'!B136*IF(IF(IF(IF(IFERROR('Model inputs'!B1191=FALSE,FALSE),FALSE,IF(IFERROR('Model inputs'!B1393=FALSE,FALSE),FALSE,IF(OR('Model inputs'!B1191="",'Model inputs'!B1393=""),"",AND('Model inputs'!B1191,'Model inputs'!B1393))))="",FALSE,IF(IFERROR('Model inputs'!B1191=FALSE,FALSE),FALSE,IF(IFERROR('Model inputs'!B1393=FALSE,FALSE),FALSE,IF(OR('Model inputs'!B1191="",'Model inputs'!B1393=""),"",AND('Model inputs'!B1191,'Model inputs'!B1393))))),IF('Model inputs'!B148="","",'Model inputs'!B148),0)="",0,IF(IF(IF(IFERROR('Model inputs'!B1191=FALSE,FALSE),FALSE,IF(IFERROR('Model inputs'!B1393=FALSE,FALSE),FALSE,IF(OR('Model inputs'!B1191="",'Model inputs'!B1393=""),"",AND('Model inputs'!B1191,'Model inputs'!B1393))))="",FALSE,IF(IFERROR('Model inputs'!B1191=FALSE,FALSE),FALSE,IF(IFERROR('Model inputs'!B1393=FALSE,FALSE),FALSE,IF(OR('Model inputs'!B1191="",'Model inputs'!B1393=""),"",AND('Model inputs'!B1191,'Model inputs'!B1393))))),IF('Model inputs'!B148="","",'Model inputs'!B148),0))</f>
        <v>0</v>
      </c>
      <c r="AA344" s="9">
        <f>'Model inputs'!B136*IF(IF(IF(IF(IFERROR('Model inputs'!B1192=FALSE,FALSE),FALSE,IF(IFERROR('Model inputs'!B1395=FALSE,FALSE),FALSE,IF(OR('Model inputs'!B1192="",'Model inputs'!B1395=""),"",AND('Model inputs'!B1192,'Model inputs'!B1395))))="",FALSE,IF(IFERROR('Model inputs'!B1192=FALSE,FALSE),FALSE,IF(IFERROR('Model inputs'!B1395=FALSE,FALSE),FALSE,IF(OR('Model inputs'!B1192="",'Model inputs'!B1395=""),"",AND('Model inputs'!B1192,'Model inputs'!B1395))))),IF('Model inputs'!B148="","",'Model inputs'!B148),0)="",0,IF(IF(IF(IFERROR('Model inputs'!B1192=FALSE,FALSE),FALSE,IF(IFERROR('Model inputs'!B1395=FALSE,FALSE),FALSE,IF(OR('Model inputs'!B1192="",'Model inputs'!B1395=""),"",AND('Model inputs'!B1192,'Model inputs'!B1395))))="",FALSE,IF(IFERROR('Model inputs'!B1192=FALSE,FALSE),FALSE,IF(IFERROR('Model inputs'!B1395=FALSE,FALSE),FALSE,IF(OR('Model inputs'!B1192="",'Model inputs'!B1395=""),"",AND('Model inputs'!B1192,'Model inputs'!B1395))))),IF('Model inputs'!B148="","",'Model inputs'!B148),0))</f>
        <v>0</v>
      </c>
      <c r="AB344" s="9">
        <f>'Model inputs'!B136*IF(IF(IF(IF(IFERROR('Model inputs'!B1193=FALSE,FALSE),FALSE,IF(IFERROR('Model inputs'!B1397=FALSE,FALSE),FALSE,IF(OR('Model inputs'!B1193="",'Model inputs'!B1397=""),"",AND('Model inputs'!B1193,'Model inputs'!B1397))))="",FALSE,IF(IFERROR('Model inputs'!B1193=FALSE,FALSE),FALSE,IF(IFERROR('Model inputs'!B1397=FALSE,FALSE),FALSE,IF(OR('Model inputs'!B1193="",'Model inputs'!B1397=""),"",AND('Model inputs'!B1193,'Model inputs'!B1397))))),IF('Model inputs'!B148="","",'Model inputs'!B148),0)="",0,IF(IF(IF(IFERROR('Model inputs'!B1193=FALSE,FALSE),FALSE,IF(IFERROR('Model inputs'!B1397=FALSE,FALSE),FALSE,IF(OR('Model inputs'!B1193="",'Model inputs'!B1397=""),"",AND('Model inputs'!B1193,'Model inputs'!B1397))))="",FALSE,IF(IFERROR('Model inputs'!B1193=FALSE,FALSE),FALSE,IF(IFERROR('Model inputs'!B1397=FALSE,FALSE),FALSE,IF(OR('Model inputs'!B1193="",'Model inputs'!B1397=""),"",AND('Model inputs'!B1193,'Model inputs'!B1397))))),IF('Model inputs'!B148="","",'Model inputs'!B148),0))</f>
        <v>0</v>
      </c>
      <c r="AC344" s="9">
        <f>'Model inputs'!B136*IF(IF(IF(IF(IFERROR('Model inputs'!B1194=FALSE,FALSE),FALSE,IF(IFERROR('Model inputs'!B1399=FALSE,FALSE),FALSE,IF(OR('Model inputs'!B1194="",'Model inputs'!B1399=""),"",AND('Model inputs'!B1194,'Model inputs'!B1399))))="",FALSE,IF(IFERROR('Model inputs'!B1194=FALSE,FALSE),FALSE,IF(IFERROR('Model inputs'!B1399=FALSE,FALSE),FALSE,IF(OR('Model inputs'!B1194="",'Model inputs'!B1399=""),"",AND('Model inputs'!B1194,'Model inputs'!B1399))))),IF('Model inputs'!B148="","",'Model inputs'!B148),0)="",0,IF(IF(IF(IFERROR('Model inputs'!B1194=FALSE,FALSE),FALSE,IF(IFERROR('Model inputs'!B1399=FALSE,FALSE),FALSE,IF(OR('Model inputs'!B1194="",'Model inputs'!B1399=""),"",AND('Model inputs'!B1194,'Model inputs'!B1399))))="",FALSE,IF(IFERROR('Model inputs'!B1194=FALSE,FALSE),FALSE,IF(IFERROR('Model inputs'!B1399=FALSE,FALSE),FALSE,IF(OR('Model inputs'!B1194="",'Model inputs'!B1399=""),"",AND('Model inputs'!B1194,'Model inputs'!B1399))))),IF('Model inputs'!B148="","",'Model inputs'!B148),0))</f>
        <v>0</v>
      </c>
      <c r="AD344" s="9">
        <f>'Model inputs'!B136*IF(IF(IF(IF(IFERROR('Model inputs'!B1195=FALSE,FALSE),FALSE,IF(IFERROR('Model inputs'!B1401=FALSE,FALSE),FALSE,IF(OR('Model inputs'!B1195="",'Model inputs'!B1401=""),"",AND('Model inputs'!B1195,'Model inputs'!B1401))))="",FALSE,IF(IFERROR('Model inputs'!B1195=FALSE,FALSE),FALSE,IF(IFERROR('Model inputs'!B1401=FALSE,FALSE),FALSE,IF(OR('Model inputs'!B1195="",'Model inputs'!B1401=""),"",AND('Model inputs'!B1195,'Model inputs'!B1401))))),IF('Model inputs'!B148="","",'Model inputs'!B148),0)="",0,IF(IF(IF(IFERROR('Model inputs'!B1195=FALSE,FALSE),FALSE,IF(IFERROR('Model inputs'!B1401=FALSE,FALSE),FALSE,IF(OR('Model inputs'!B1195="",'Model inputs'!B1401=""),"",AND('Model inputs'!B1195,'Model inputs'!B1401))))="",FALSE,IF(IFERROR('Model inputs'!B1195=FALSE,FALSE),FALSE,IF(IFERROR('Model inputs'!B1401=FALSE,FALSE),FALSE,IF(OR('Model inputs'!B1195="",'Model inputs'!B1401=""),"",AND('Model inputs'!B1195,'Model inputs'!B1401))))),IF('Model inputs'!B148="","",'Model inputs'!B148),0))</f>
        <v>0</v>
      </c>
      <c r="AE344" s="9">
        <f>'Model inputs'!B136*IF(IF(IF(IF(IFERROR('Model inputs'!B1196=FALSE,FALSE),FALSE,IF(IFERROR('Model inputs'!B1403=FALSE,FALSE),FALSE,IF(OR('Model inputs'!B1196="",'Model inputs'!B1403=""),"",AND('Model inputs'!B1196,'Model inputs'!B1403))))="",FALSE,IF(IFERROR('Model inputs'!B1196=FALSE,FALSE),FALSE,IF(IFERROR('Model inputs'!B1403=FALSE,FALSE),FALSE,IF(OR('Model inputs'!B1196="",'Model inputs'!B1403=""),"",AND('Model inputs'!B1196,'Model inputs'!B1403))))),IF('Model inputs'!B148="","",'Model inputs'!B148),0)="",0,IF(IF(IF(IFERROR('Model inputs'!B1196=FALSE,FALSE),FALSE,IF(IFERROR('Model inputs'!B1403=FALSE,FALSE),FALSE,IF(OR('Model inputs'!B1196="",'Model inputs'!B1403=""),"",AND('Model inputs'!B1196,'Model inputs'!B1403))))="",FALSE,IF(IFERROR('Model inputs'!B1196=FALSE,FALSE),FALSE,IF(IFERROR('Model inputs'!B1403=FALSE,FALSE),FALSE,IF(OR('Model inputs'!B1196="",'Model inputs'!B1403=""),"",AND('Model inputs'!B1196,'Model inputs'!B1403))))),IF('Model inputs'!B148="","",'Model inputs'!B148),0))</f>
        <v>0</v>
      </c>
      <c r="AF344" s="9">
        <f>'Model inputs'!B136*IF(IF(IF(IF(IFERROR('Model inputs'!B1197=FALSE,FALSE),FALSE,IF(IFERROR('Model inputs'!B1405=FALSE,FALSE),FALSE,IF(OR('Model inputs'!B1197="",'Model inputs'!B1405=""),"",AND('Model inputs'!B1197,'Model inputs'!B1405))))="",FALSE,IF(IFERROR('Model inputs'!B1197=FALSE,FALSE),FALSE,IF(IFERROR('Model inputs'!B1405=FALSE,FALSE),FALSE,IF(OR('Model inputs'!B1197="",'Model inputs'!B1405=""),"",AND('Model inputs'!B1197,'Model inputs'!B1405))))),IF('Model inputs'!B148="","",'Model inputs'!B148),0)="",0,IF(IF(IF(IFERROR('Model inputs'!B1197=FALSE,FALSE),FALSE,IF(IFERROR('Model inputs'!B1405=FALSE,FALSE),FALSE,IF(OR('Model inputs'!B1197="",'Model inputs'!B1405=""),"",AND('Model inputs'!B1197,'Model inputs'!B1405))))="",FALSE,IF(IFERROR('Model inputs'!B1197=FALSE,FALSE),FALSE,IF(IFERROR('Model inputs'!B1405=FALSE,FALSE),FALSE,IF(OR('Model inputs'!B1197="",'Model inputs'!B1405=""),"",AND('Model inputs'!B1197,'Model inputs'!B1405))))),IF('Model inputs'!B148="","",'Model inputs'!B148),0))</f>
        <v>0</v>
      </c>
      <c r="AG344" s="9">
        <f>'Model inputs'!B136*IF(IF(IF(IF(IFERROR('Model inputs'!B1198=FALSE,FALSE),FALSE,IF(IFERROR('Model inputs'!B1407=FALSE,FALSE),FALSE,IF(OR('Model inputs'!B1198="",'Model inputs'!B1407=""),"",AND('Model inputs'!B1198,'Model inputs'!B1407))))="",FALSE,IF(IFERROR('Model inputs'!B1198=FALSE,FALSE),FALSE,IF(IFERROR('Model inputs'!B1407=FALSE,FALSE),FALSE,IF(OR('Model inputs'!B1198="",'Model inputs'!B1407=""),"",AND('Model inputs'!B1198,'Model inputs'!B1407))))),IF('Model inputs'!B148="","",'Model inputs'!B148),0)="",0,IF(IF(IF(IFERROR('Model inputs'!B1198=FALSE,FALSE),FALSE,IF(IFERROR('Model inputs'!B1407=FALSE,FALSE),FALSE,IF(OR('Model inputs'!B1198="",'Model inputs'!B1407=""),"",AND('Model inputs'!B1198,'Model inputs'!B1407))))="",FALSE,IF(IFERROR('Model inputs'!B1198=FALSE,FALSE),FALSE,IF(IFERROR('Model inputs'!B1407=FALSE,FALSE),FALSE,IF(OR('Model inputs'!B1198="",'Model inputs'!B1407=""),"",AND('Model inputs'!B1198,'Model inputs'!B1407))))),IF('Model inputs'!B148="","",'Model inputs'!B148),0))</f>
        <v>0</v>
      </c>
    </row>
    <row r="345" outlineLevel="1">
      <c r="A345" t="inlineStr" s="18">
        <is>
          <t xml:space="preserve">Opex &gt; Marketing: launch push</t>
        </is>
      </c>
      <c r="C345" s="9">
        <f>IF('Model inputs'!C43="","",'Model inputs'!C43)</f>
        <v>0</v>
      </c>
      <c r="D345" s="9">
        <f>IF('Model inputs'!D43="","",'Model inputs'!D43)</f>
        <v>0</v>
      </c>
      <c r="E345" s="9">
        <f>IF('Model inputs'!E43="","",'Model inputs'!E43)</f>
        <v>0</v>
      </c>
      <c r="F345" s="9">
        <f>IF('Model inputs'!F43="","",'Model inputs'!F43)</f>
        <v>350</v>
      </c>
      <c r="G345" s="9">
        <f>IF('Model inputs'!G43="","",'Model inputs'!G43)</f>
        <v>350</v>
      </c>
      <c r="H345" s="9">
        <f>IF('Model inputs'!H43="","",'Model inputs'!H43)</f>
        <v>0</v>
      </c>
      <c r="I345" s="9">
        <f>IF('Model inputs'!I43="","",'Model inputs'!I43)</f>
        <v>0</v>
      </c>
      <c r="J345" s="9">
        <f>IF('Model inputs'!J43="","",'Model inputs'!J43)</f>
        <v>0</v>
      </c>
      <c r="K345" s="9">
        <f>IF('Model inputs'!K43="","",'Model inputs'!K43)</f>
        <v>0</v>
      </c>
      <c r="L345" s="9">
        <f>IF('Model inputs'!L43="","",'Model inputs'!L43)</f>
        <v>0</v>
      </c>
      <c r="M345" s="9">
        <f>IF('Model inputs'!M43="","",'Model inputs'!M43)</f>
        <v>0</v>
      </c>
      <c r="N345" s="9">
        <f>IF('Model inputs'!N43="","",'Model inputs'!N43)</f>
        <v>0</v>
      </c>
      <c r="O345" s="9">
        <f>IF('Model inputs'!O43="","",'Model inputs'!O43)</f>
        <v>0</v>
      </c>
      <c r="P345" s="9">
        <f>IF('Model inputs'!P43="","",'Model inputs'!P43)</f>
        <v>0</v>
      </c>
      <c r="Q345" s="9">
        <f>IF('Model inputs'!Q43="","",'Model inputs'!Q43)</f>
        <v>0</v>
      </c>
      <c r="R345" s="9">
        <f>IF('Model inputs'!R43="","",'Model inputs'!R43)</f>
        <v>0</v>
      </c>
      <c r="S345" s="9">
        <f>IF('Model inputs'!S43="","",'Model inputs'!S43)</f>
        <v>0</v>
      </c>
      <c r="T345" s="9">
        <f>IF('Model inputs'!T43="","",'Model inputs'!T43)</f>
        <v>0</v>
      </c>
      <c r="U345" s="9">
        <f>IF('Model inputs'!U43="","",'Model inputs'!U43)</f>
        <v>0</v>
      </c>
      <c r="V345" s="9">
        <f>IF('Model inputs'!V43="","",'Model inputs'!V43)</f>
        <v>0</v>
      </c>
      <c r="W345" s="9">
        <f>'Model inputs'!B137*IF(IF(IF(IF(IFERROR('Model inputs'!B1199=FALSE,FALSE),FALSE,IF(IFERROR('Model inputs'!B1409=FALSE,FALSE),FALSE,IF(OR('Model inputs'!B1199="",'Model inputs'!B1409=""),"",AND('Model inputs'!B1199,'Model inputs'!B1409))))="",FALSE,IF(IFERROR('Model inputs'!B1199=FALSE,FALSE),FALSE,IF(IFERROR('Model inputs'!B1409=FALSE,FALSE),FALSE,IF(OR('Model inputs'!B1199="",'Model inputs'!B1409=""),"",AND('Model inputs'!B1199,'Model inputs'!B1409))))),IF('Model inputs'!B149="","",'Model inputs'!B149),0)="",0,IF(IF(IF(IFERROR('Model inputs'!B1199=FALSE,FALSE),FALSE,IF(IFERROR('Model inputs'!B1409=FALSE,FALSE),FALSE,IF(OR('Model inputs'!B1199="",'Model inputs'!B1409=""),"",AND('Model inputs'!B1199,'Model inputs'!B1409))))="",FALSE,IF(IFERROR('Model inputs'!B1199=FALSE,FALSE),FALSE,IF(IFERROR('Model inputs'!B1409=FALSE,FALSE),FALSE,IF(OR('Model inputs'!B1199="",'Model inputs'!B1409=""),"",AND('Model inputs'!B1199,'Model inputs'!B1409))))),IF('Model inputs'!B149="","",'Model inputs'!B149),0))</f>
        <v>0</v>
      </c>
      <c r="X345" s="9">
        <f>'Model inputs'!B137*IF(IF(IF(IF(IFERROR('Model inputs'!B1200=FALSE,FALSE),FALSE,IF(IFERROR('Model inputs'!B1411=FALSE,FALSE),FALSE,IF(OR('Model inputs'!B1200="",'Model inputs'!B1411=""),"",AND('Model inputs'!B1200,'Model inputs'!B1411))))="",FALSE,IF(IFERROR('Model inputs'!B1200=FALSE,FALSE),FALSE,IF(IFERROR('Model inputs'!B1411=FALSE,FALSE),FALSE,IF(OR('Model inputs'!B1200="",'Model inputs'!B1411=""),"",AND('Model inputs'!B1200,'Model inputs'!B1411))))),IF('Model inputs'!B149="","",'Model inputs'!B149),0)="",0,IF(IF(IF(IFERROR('Model inputs'!B1200=FALSE,FALSE),FALSE,IF(IFERROR('Model inputs'!B1411=FALSE,FALSE),FALSE,IF(OR('Model inputs'!B1200="",'Model inputs'!B1411=""),"",AND('Model inputs'!B1200,'Model inputs'!B1411))))="",FALSE,IF(IFERROR('Model inputs'!B1200=FALSE,FALSE),FALSE,IF(IFERROR('Model inputs'!B1411=FALSE,FALSE),FALSE,IF(OR('Model inputs'!B1200="",'Model inputs'!B1411=""),"",AND('Model inputs'!B1200,'Model inputs'!B1411))))),IF('Model inputs'!B149="","",'Model inputs'!B149),0))</f>
        <v>0</v>
      </c>
      <c r="Y345" s="9">
        <f>'Model inputs'!B137*IF(IF(IF(IF(IFERROR('Model inputs'!B1201=FALSE,FALSE),FALSE,IF(IFERROR('Model inputs'!B1413=FALSE,FALSE),FALSE,IF(OR('Model inputs'!B1201="",'Model inputs'!B1413=""),"",AND('Model inputs'!B1201,'Model inputs'!B1413))))="",FALSE,IF(IFERROR('Model inputs'!B1201=FALSE,FALSE),FALSE,IF(IFERROR('Model inputs'!B1413=FALSE,FALSE),FALSE,IF(OR('Model inputs'!B1201="",'Model inputs'!B1413=""),"",AND('Model inputs'!B1201,'Model inputs'!B1413))))),IF('Model inputs'!B149="","",'Model inputs'!B149),0)="",0,IF(IF(IF(IFERROR('Model inputs'!B1201=FALSE,FALSE),FALSE,IF(IFERROR('Model inputs'!B1413=FALSE,FALSE),FALSE,IF(OR('Model inputs'!B1201="",'Model inputs'!B1413=""),"",AND('Model inputs'!B1201,'Model inputs'!B1413))))="",FALSE,IF(IFERROR('Model inputs'!B1201=FALSE,FALSE),FALSE,IF(IFERROR('Model inputs'!B1413=FALSE,FALSE),FALSE,IF(OR('Model inputs'!B1201="",'Model inputs'!B1413=""),"",AND('Model inputs'!B1201,'Model inputs'!B1413))))),IF('Model inputs'!B149="","",'Model inputs'!B149),0))</f>
        <v>0</v>
      </c>
      <c r="Z345" s="9">
        <f>'Model inputs'!B137*IF(IF(IF(IF(IFERROR('Model inputs'!B1202=FALSE,FALSE),FALSE,IF(IFERROR('Model inputs'!B1415=FALSE,FALSE),FALSE,IF(OR('Model inputs'!B1202="",'Model inputs'!B1415=""),"",AND('Model inputs'!B1202,'Model inputs'!B1415))))="",FALSE,IF(IFERROR('Model inputs'!B1202=FALSE,FALSE),FALSE,IF(IFERROR('Model inputs'!B1415=FALSE,FALSE),FALSE,IF(OR('Model inputs'!B1202="",'Model inputs'!B1415=""),"",AND('Model inputs'!B1202,'Model inputs'!B1415))))),IF('Model inputs'!B149="","",'Model inputs'!B149),0)="",0,IF(IF(IF(IFERROR('Model inputs'!B1202=FALSE,FALSE),FALSE,IF(IFERROR('Model inputs'!B1415=FALSE,FALSE),FALSE,IF(OR('Model inputs'!B1202="",'Model inputs'!B1415=""),"",AND('Model inputs'!B1202,'Model inputs'!B1415))))="",FALSE,IF(IFERROR('Model inputs'!B1202=FALSE,FALSE),FALSE,IF(IFERROR('Model inputs'!B1415=FALSE,FALSE),FALSE,IF(OR('Model inputs'!B1202="",'Model inputs'!B1415=""),"",AND('Model inputs'!B1202,'Model inputs'!B1415))))),IF('Model inputs'!B149="","",'Model inputs'!B149),0))</f>
        <v>0</v>
      </c>
      <c r="AA345" s="9">
        <f>'Model inputs'!B137*IF(IF(IF(IF(IFERROR('Model inputs'!B1203=FALSE,FALSE),FALSE,IF(IFERROR('Model inputs'!B1417=FALSE,FALSE),FALSE,IF(OR('Model inputs'!B1203="",'Model inputs'!B1417=""),"",AND('Model inputs'!B1203,'Model inputs'!B1417))))="",FALSE,IF(IFERROR('Model inputs'!B1203=FALSE,FALSE),FALSE,IF(IFERROR('Model inputs'!B1417=FALSE,FALSE),FALSE,IF(OR('Model inputs'!B1203="",'Model inputs'!B1417=""),"",AND('Model inputs'!B1203,'Model inputs'!B1417))))),IF('Model inputs'!B149="","",'Model inputs'!B149),0)="",0,IF(IF(IF(IFERROR('Model inputs'!B1203=FALSE,FALSE),FALSE,IF(IFERROR('Model inputs'!B1417=FALSE,FALSE),FALSE,IF(OR('Model inputs'!B1203="",'Model inputs'!B1417=""),"",AND('Model inputs'!B1203,'Model inputs'!B1417))))="",FALSE,IF(IFERROR('Model inputs'!B1203=FALSE,FALSE),FALSE,IF(IFERROR('Model inputs'!B1417=FALSE,FALSE),FALSE,IF(OR('Model inputs'!B1203="",'Model inputs'!B1417=""),"",AND('Model inputs'!B1203,'Model inputs'!B1417))))),IF('Model inputs'!B149="","",'Model inputs'!B149),0))</f>
        <v>0</v>
      </c>
      <c r="AB345" s="9">
        <f>'Model inputs'!B137*IF(IF(IF(IF(IFERROR('Model inputs'!B1204=FALSE,FALSE),FALSE,IF(IFERROR('Model inputs'!B1419=FALSE,FALSE),FALSE,IF(OR('Model inputs'!B1204="",'Model inputs'!B1419=""),"",AND('Model inputs'!B1204,'Model inputs'!B1419))))="",FALSE,IF(IFERROR('Model inputs'!B1204=FALSE,FALSE),FALSE,IF(IFERROR('Model inputs'!B1419=FALSE,FALSE),FALSE,IF(OR('Model inputs'!B1204="",'Model inputs'!B1419=""),"",AND('Model inputs'!B1204,'Model inputs'!B1419))))),IF('Model inputs'!B149="","",'Model inputs'!B149),0)="",0,IF(IF(IF(IFERROR('Model inputs'!B1204=FALSE,FALSE),FALSE,IF(IFERROR('Model inputs'!B1419=FALSE,FALSE),FALSE,IF(OR('Model inputs'!B1204="",'Model inputs'!B1419=""),"",AND('Model inputs'!B1204,'Model inputs'!B1419))))="",FALSE,IF(IFERROR('Model inputs'!B1204=FALSE,FALSE),FALSE,IF(IFERROR('Model inputs'!B1419=FALSE,FALSE),FALSE,IF(OR('Model inputs'!B1204="",'Model inputs'!B1419=""),"",AND('Model inputs'!B1204,'Model inputs'!B1419))))),IF('Model inputs'!B149="","",'Model inputs'!B149),0))</f>
        <v>0</v>
      </c>
      <c r="AC345" s="9">
        <f>'Model inputs'!B137*IF(IF(IF(IF(IFERROR('Model inputs'!B1205=FALSE,FALSE),FALSE,IF(IFERROR('Model inputs'!B1421=FALSE,FALSE),FALSE,IF(OR('Model inputs'!B1205="",'Model inputs'!B1421=""),"",AND('Model inputs'!B1205,'Model inputs'!B1421))))="",FALSE,IF(IFERROR('Model inputs'!B1205=FALSE,FALSE),FALSE,IF(IFERROR('Model inputs'!B1421=FALSE,FALSE),FALSE,IF(OR('Model inputs'!B1205="",'Model inputs'!B1421=""),"",AND('Model inputs'!B1205,'Model inputs'!B1421))))),IF('Model inputs'!B149="","",'Model inputs'!B149),0)="",0,IF(IF(IF(IFERROR('Model inputs'!B1205=FALSE,FALSE),FALSE,IF(IFERROR('Model inputs'!B1421=FALSE,FALSE),FALSE,IF(OR('Model inputs'!B1205="",'Model inputs'!B1421=""),"",AND('Model inputs'!B1205,'Model inputs'!B1421))))="",FALSE,IF(IFERROR('Model inputs'!B1205=FALSE,FALSE),FALSE,IF(IFERROR('Model inputs'!B1421=FALSE,FALSE),FALSE,IF(OR('Model inputs'!B1205="",'Model inputs'!B1421=""),"",AND('Model inputs'!B1205,'Model inputs'!B1421))))),IF('Model inputs'!B149="","",'Model inputs'!B149),0))</f>
        <v>0</v>
      </c>
      <c r="AD345" s="9">
        <f>'Model inputs'!B137*IF(IF(IF(IF(IFERROR('Model inputs'!B1206=FALSE,FALSE),FALSE,IF(IFERROR('Model inputs'!B1423=FALSE,FALSE),FALSE,IF(OR('Model inputs'!B1206="",'Model inputs'!B1423=""),"",AND('Model inputs'!B1206,'Model inputs'!B1423))))="",FALSE,IF(IFERROR('Model inputs'!B1206=FALSE,FALSE),FALSE,IF(IFERROR('Model inputs'!B1423=FALSE,FALSE),FALSE,IF(OR('Model inputs'!B1206="",'Model inputs'!B1423=""),"",AND('Model inputs'!B1206,'Model inputs'!B1423))))),IF('Model inputs'!B149="","",'Model inputs'!B149),0)="",0,IF(IF(IF(IFERROR('Model inputs'!B1206=FALSE,FALSE),FALSE,IF(IFERROR('Model inputs'!B1423=FALSE,FALSE),FALSE,IF(OR('Model inputs'!B1206="",'Model inputs'!B1423=""),"",AND('Model inputs'!B1206,'Model inputs'!B1423))))="",FALSE,IF(IFERROR('Model inputs'!B1206=FALSE,FALSE),FALSE,IF(IFERROR('Model inputs'!B1423=FALSE,FALSE),FALSE,IF(OR('Model inputs'!B1206="",'Model inputs'!B1423=""),"",AND('Model inputs'!B1206,'Model inputs'!B1423))))),IF('Model inputs'!B149="","",'Model inputs'!B149),0))</f>
        <v>0</v>
      </c>
      <c r="AE345" s="9">
        <f>'Model inputs'!B137*IF(IF(IF(IF(IFERROR('Model inputs'!B1207=FALSE,FALSE),FALSE,IF(IFERROR('Model inputs'!B1425=FALSE,FALSE),FALSE,IF(OR('Model inputs'!B1207="",'Model inputs'!B1425=""),"",AND('Model inputs'!B1207,'Model inputs'!B1425))))="",FALSE,IF(IFERROR('Model inputs'!B1207=FALSE,FALSE),FALSE,IF(IFERROR('Model inputs'!B1425=FALSE,FALSE),FALSE,IF(OR('Model inputs'!B1207="",'Model inputs'!B1425=""),"",AND('Model inputs'!B1207,'Model inputs'!B1425))))),IF('Model inputs'!B149="","",'Model inputs'!B149),0)="",0,IF(IF(IF(IFERROR('Model inputs'!B1207=FALSE,FALSE),FALSE,IF(IFERROR('Model inputs'!B1425=FALSE,FALSE),FALSE,IF(OR('Model inputs'!B1207="",'Model inputs'!B1425=""),"",AND('Model inputs'!B1207,'Model inputs'!B1425))))="",FALSE,IF(IFERROR('Model inputs'!B1207=FALSE,FALSE),FALSE,IF(IFERROR('Model inputs'!B1425=FALSE,FALSE),FALSE,IF(OR('Model inputs'!B1207="",'Model inputs'!B1425=""),"",AND('Model inputs'!B1207,'Model inputs'!B1425))))),IF('Model inputs'!B149="","",'Model inputs'!B149),0))</f>
        <v>0</v>
      </c>
      <c r="AF345" s="9">
        <f>'Model inputs'!B137*IF(IF(IF(IF(IFERROR('Model inputs'!B1208=FALSE,FALSE),FALSE,IF(IFERROR('Model inputs'!B1427=FALSE,FALSE),FALSE,IF(OR('Model inputs'!B1208="",'Model inputs'!B1427=""),"",AND('Model inputs'!B1208,'Model inputs'!B1427))))="",FALSE,IF(IFERROR('Model inputs'!B1208=FALSE,FALSE),FALSE,IF(IFERROR('Model inputs'!B1427=FALSE,FALSE),FALSE,IF(OR('Model inputs'!B1208="",'Model inputs'!B1427=""),"",AND('Model inputs'!B1208,'Model inputs'!B1427))))),IF('Model inputs'!B149="","",'Model inputs'!B149),0)="",0,IF(IF(IF(IFERROR('Model inputs'!B1208=FALSE,FALSE),FALSE,IF(IFERROR('Model inputs'!B1427=FALSE,FALSE),FALSE,IF(OR('Model inputs'!B1208="",'Model inputs'!B1427=""),"",AND('Model inputs'!B1208,'Model inputs'!B1427))))="",FALSE,IF(IFERROR('Model inputs'!B1208=FALSE,FALSE),FALSE,IF(IFERROR('Model inputs'!B1427=FALSE,FALSE),FALSE,IF(OR('Model inputs'!B1208="",'Model inputs'!B1427=""),"",AND('Model inputs'!B1208,'Model inputs'!B1427))))),IF('Model inputs'!B149="","",'Model inputs'!B149),0))</f>
        <v>0</v>
      </c>
      <c r="AG345" s="9">
        <f>'Model inputs'!B137*IF(IF(IF(IF(IFERROR('Model inputs'!B1209=FALSE,FALSE),FALSE,IF(IFERROR('Model inputs'!B1429=FALSE,FALSE),FALSE,IF(OR('Model inputs'!B1209="",'Model inputs'!B1429=""),"",AND('Model inputs'!B1209,'Model inputs'!B1429))))="",FALSE,IF(IFERROR('Model inputs'!B1209=FALSE,FALSE),FALSE,IF(IFERROR('Model inputs'!B1429=FALSE,FALSE),FALSE,IF(OR('Model inputs'!B1209="",'Model inputs'!B1429=""),"",AND('Model inputs'!B1209,'Model inputs'!B1429))))),IF('Model inputs'!B149="","",'Model inputs'!B149),0)="",0,IF(IF(IF(IFERROR('Model inputs'!B1209=FALSE,FALSE),FALSE,IF(IFERROR('Model inputs'!B1429=FALSE,FALSE),FALSE,IF(OR('Model inputs'!B1209="",'Model inputs'!B1429=""),"",AND('Model inputs'!B1209,'Model inputs'!B1429))))="",FALSE,IF(IFERROR('Model inputs'!B1209=FALSE,FALSE),FALSE,IF(IFERROR('Model inputs'!B1429=FALSE,FALSE),FALSE,IF(OR('Model inputs'!B1209="",'Model inputs'!B1429=""),"",AND('Model inputs'!B1209,'Model inputs'!B1429))))),IF('Model inputs'!B149="","",'Model inputs'!B149),0))</f>
        <v>0</v>
      </c>
    </row>
    <row r="346" outlineLevel="1">
      <c r="A346" t="inlineStr" s="18">
        <is>
          <t xml:space="preserve">Opex &gt; cfo.ai Startup</t>
        </is>
      </c>
      <c r="C346" s="9">
        <f>IF('Model inputs'!C44="","",'Model inputs'!C44)</f>
        <v>0</v>
      </c>
      <c r="D346" s="9">
        <f>IF('Model inputs'!D44="","",'Model inputs'!D44)</f>
        <v>0</v>
      </c>
      <c r="E346" s="9">
        <f>IF('Model inputs'!E44="","",'Model inputs'!E44)</f>
        <v>375</v>
      </c>
      <c r="F346" s="9">
        <f>IF('Model inputs'!F44="","",'Model inputs'!F44)</f>
        <v>375</v>
      </c>
      <c r="G346" s="9">
        <f>IF('Model inputs'!G44="","",'Model inputs'!G44)</f>
        <v>375</v>
      </c>
      <c r="H346" s="9">
        <f>IF('Model inputs'!H44="","",'Model inputs'!H44)</f>
        <v>375</v>
      </c>
      <c r="I346" s="9">
        <f>IF('Model inputs'!I44="","",'Model inputs'!I44)</f>
        <v>375</v>
      </c>
      <c r="J346" s="9">
        <f>IF('Model inputs'!J44="","",'Model inputs'!J44)</f>
        <v>375</v>
      </c>
      <c r="K346" s="9">
        <f>IF('Model inputs'!K44="","",'Model inputs'!K44)</f>
        <v>375</v>
      </c>
      <c r="L346" s="9">
        <f>IF('Model inputs'!L44="","",'Model inputs'!L44)</f>
        <v>375</v>
      </c>
      <c r="M346" s="9">
        <f>IF('Model inputs'!M44="","",'Model inputs'!M44)</f>
        <v>375</v>
      </c>
      <c r="N346" s="9">
        <f>IF('Model inputs'!N44="","",'Model inputs'!N44)</f>
        <v>375</v>
      </c>
      <c r="O346" s="9">
        <f>IF('Model inputs'!O44="","",'Model inputs'!O44)</f>
        <v>375</v>
      </c>
      <c r="P346" s="9">
        <f>IF('Model inputs'!P44="","",'Model inputs'!P44)</f>
        <v>375</v>
      </c>
      <c r="Q346" s="9">
        <f>IF('Model inputs'!Q44="","",'Model inputs'!Q44)</f>
        <v>375</v>
      </c>
      <c r="R346" s="9">
        <f>IF('Model inputs'!R44="","",'Model inputs'!R44)</f>
        <v>375</v>
      </c>
      <c r="S346" s="9">
        <f>IF('Model inputs'!S44="","",'Model inputs'!S44)</f>
        <v>375</v>
      </c>
      <c r="T346" s="9">
        <f>IF('Model inputs'!T44="","",'Model inputs'!T44)</f>
        <v>375</v>
      </c>
      <c r="U346" s="9">
        <f>IF('Model inputs'!U44="","",'Model inputs'!U44)</f>
        <v>375</v>
      </c>
      <c r="V346" s="9">
        <f>IF('Model inputs'!V44="","",'Model inputs'!V44)</f>
        <v>375</v>
      </c>
      <c r="W346" s="9">
        <f>'Model inputs'!B138*IF(IF(IF(IF(IFERROR('Model inputs'!B1210=FALSE,FALSE),FALSE,IF(IFERROR('Model inputs'!B1431=FALSE,FALSE),FALSE,IF(OR('Model inputs'!B1210="",'Model inputs'!B1431=""),"",AND('Model inputs'!B1210,'Model inputs'!B1431))))="",FALSE,IF(IFERROR('Model inputs'!B1210=FALSE,FALSE),FALSE,IF(IFERROR('Model inputs'!B1431=FALSE,FALSE),FALSE,IF(OR('Model inputs'!B1210="",'Model inputs'!B1431=""),"",AND('Model inputs'!B1210,'Model inputs'!B1431))))),IF('Model inputs'!B150="","",'Model inputs'!B150),0)="",0,IF(IF(IF(IFERROR('Model inputs'!B1210=FALSE,FALSE),FALSE,IF(IFERROR('Model inputs'!B1431=FALSE,FALSE),FALSE,IF(OR('Model inputs'!B1210="",'Model inputs'!B1431=""),"",AND('Model inputs'!B1210,'Model inputs'!B1431))))="",FALSE,IF(IFERROR('Model inputs'!B1210=FALSE,FALSE),FALSE,IF(IFERROR('Model inputs'!B1431=FALSE,FALSE),FALSE,IF(OR('Model inputs'!B1210="",'Model inputs'!B1431=""),"",AND('Model inputs'!B1210,'Model inputs'!B1431))))),IF('Model inputs'!B150="","",'Model inputs'!B150),0))</f>
        <v>0</v>
      </c>
      <c r="X346" s="9">
        <f>'Model inputs'!B138*IF(IF(IF(IF(IFERROR('Model inputs'!B1211=FALSE,FALSE),FALSE,IF(IFERROR('Model inputs'!B1433=FALSE,FALSE),FALSE,IF(OR('Model inputs'!B1211="",'Model inputs'!B1433=""),"",AND('Model inputs'!B1211,'Model inputs'!B1433))))="",FALSE,IF(IFERROR('Model inputs'!B1211=FALSE,FALSE),FALSE,IF(IFERROR('Model inputs'!B1433=FALSE,FALSE),FALSE,IF(OR('Model inputs'!B1211="",'Model inputs'!B1433=""),"",AND('Model inputs'!B1211,'Model inputs'!B1433))))),IF('Model inputs'!B150="","",'Model inputs'!B150),0)="",0,IF(IF(IF(IFERROR('Model inputs'!B1211=FALSE,FALSE),FALSE,IF(IFERROR('Model inputs'!B1433=FALSE,FALSE),FALSE,IF(OR('Model inputs'!B1211="",'Model inputs'!B1433=""),"",AND('Model inputs'!B1211,'Model inputs'!B1433))))="",FALSE,IF(IFERROR('Model inputs'!B1211=FALSE,FALSE),FALSE,IF(IFERROR('Model inputs'!B1433=FALSE,FALSE),FALSE,IF(OR('Model inputs'!B1211="",'Model inputs'!B1433=""),"",AND('Model inputs'!B1211,'Model inputs'!B1433))))),IF('Model inputs'!B150="","",'Model inputs'!B150),0))</f>
        <v>0</v>
      </c>
      <c r="Y346" s="9">
        <f>'Model inputs'!B138*IF(IF(IF(IF(IFERROR('Model inputs'!B1212=FALSE,FALSE),FALSE,IF(IFERROR('Model inputs'!B1435=FALSE,FALSE),FALSE,IF(OR('Model inputs'!B1212="",'Model inputs'!B1435=""),"",AND('Model inputs'!B1212,'Model inputs'!B1435))))="",FALSE,IF(IFERROR('Model inputs'!B1212=FALSE,FALSE),FALSE,IF(IFERROR('Model inputs'!B1435=FALSE,FALSE),FALSE,IF(OR('Model inputs'!B1212="",'Model inputs'!B1435=""),"",AND('Model inputs'!B1212,'Model inputs'!B1435))))),IF('Model inputs'!B150="","",'Model inputs'!B150),0)="",0,IF(IF(IF(IFERROR('Model inputs'!B1212=FALSE,FALSE),FALSE,IF(IFERROR('Model inputs'!B1435=FALSE,FALSE),FALSE,IF(OR('Model inputs'!B1212="",'Model inputs'!B1435=""),"",AND('Model inputs'!B1212,'Model inputs'!B1435))))="",FALSE,IF(IFERROR('Model inputs'!B1212=FALSE,FALSE),FALSE,IF(IFERROR('Model inputs'!B1435=FALSE,FALSE),FALSE,IF(OR('Model inputs'!B1212="",'Model inputs'!B1435=""),"",AND('Model inputs'!B1212,'Model inputs'!B1435))))),IF('Model inputs'!B150="","",'Model inputs'!B150),0))</f>
        <v>0</v>
      </c>
      <c r="Z346" s="9">
        <f>'Model inputs'!B138*IF(IF(IF(IF(IFERROR('Model inputs'!B1213=FALSE,FALSE),FALSE,IF(IFERROR('Model inputs'!B1437=FALSE,FALSE),FALSE,IF(OR('Model inputs'!B1213="",'Model inputs'!B1437=""),"",AND('Model inputs'!B1213,'Model inputs'!B1437))))="",FALSE,IF(IFERROR('Model inputs'!B1213=FALSE,FALSE),FALSE,IF(IFERROR('Model inputs'!B1437=FALSE,FALSE),FALSE,IF(OR('Model inputs'!B1213="",'Model inputs'!B1437=""),"",AND('Model inputs'!B1213,'Model inputs'!B1437))))),IF('Model inputs'!B150="","",'Model inputs'!B150),0)="",0,IF(IF(IF(IFERROR('Model inputs'!B1213=FALSE,FALSE),FALSE,IF(IFERROR('Model inputs'!B1437=FALSE,FALSE),FALSE,IF(OR('Model inputs'!B1213="",'Model inputs'!B1437=""),"",AND('Model inputs'!B1213,'Model inputs'!B1437))))="",FALSE,IF(IFERROR('Model inputs'!B1213=FALSE,FALSE),FALSE,IF(IFERROR('Model inputs'!B1437=FALSE,FALSE),FALSE,IF(OR('Model inputs'!B1213="",'Model inputs'!B1437=""),"",AND('Model inputs'!B1213,'Model inputs'!B1437))))),IF('Model inputs'!B150="","",'Model inputs'!B150),0))</f>
        <v>0</v>
      </c>
      <c r="AA346" s="9">
        <f>'Model inputs'!B138*IF(IF(IF(IF(IFERROR('Model inputs'!B1214=FALSE,FALSE),FALSE,IF(IFERROR('Model inputs'!B1439=FALSE,FALSE),FALSE,IF(OR('Model inputs'!B1214="",'Model inputs'!B1439=""),"",AND('Model inputs'!B1214,'Model inputs'!B1439))))="",FALSE,IF(IFERROR('Model inputs'!B1214=FALSE,FALSE),FALSE,IF(IFERROR('Model inputs'!B1439=FALSE,FALSE),FALSE,IF(OR('Model inputs'!B1214="",'Model inputs'!B1439=""),"",AND('Model inputs'!B1214,'Model inputs'!B1439))))),IF('Model inputs'!B150="","",'Model inputs'!B150),0)="",0,IF(IF(IF(IFERROR('Model inputs'!B1214=FALSE,FALSE),FALSE,IF(IFERROR('Model inputs'!B1439=FALSE,FALSE),FALSE,IF(OR('Model inputs'!B1214="",'Model inputs'!B1439=""),"",AND('Model inputs'!B1214,'Model inputs'!B1439))))="",FALSE,IF(IFERROR('Model inputs'!B1214=FALSE,FALSE),FALSE,IF(IFERROR('Model inputs'!B1439=FALSE,FALSE),FALSE,IF(OR('Model inputs'!B1214="",'Model inputs'!B1439=""),"",AND('Model inputs'!B1214,'Model inputs'!B1439))))),IF('Model inputs'!B150="","",'Model inputs'!B150),0))</f>
        <v>0</v>
      </c>
      <c r="AB346" s="9">
        <f>'Model inputs'!B138*IF(IF(IF(IF(IFERROR('Model inputs'!B1215=FALSE,FALSE),FALSE,IF(IFERROR('Model inputs'!B1441=FALSE,FALSE),FALSE,IF(OR('Model inputs'!B1215="",'Model inputs'!B1441=""),"",AND('Model inputs'!B1215,'Model inputs'!B1441))))="",FALSE,IF(IFERROR('Model inputs'!B1215=FALSE,FALSE),FALSE,IF(IFERROR('Model inputs'!B1441=FALSE,FALSE),FALSE,IF(OR('Model inputs'!B1215="",'Model inputs'!B1441=""),"",AND('Model inputs'!B1215,'Model inputs'!B1441))))),IF('Model inputs'!B150="","",'Model inputs'!B150),0)="",0,IF(IF(IF(IFERROR('Model inputs'!B1215=FALSE,FALSE),FALSE,IF(IFERROR('Model inputs'!B1441=FALSE,FALSE),FALSE,IF(OR('Model inputs'!B1215="",'Model inputs'!B1441=""),"",AND('Model inputs'!B1215,'Model inputs'!B1441))))="",FALSE,IF(IFERROR('Model inputs'!B1215=FALSE,FALSE),FALSE,IF(IFERROR('Model inputs'!B1441=FALSE,FALSE),FALSE,IF(OR('Model inputs'!B1215="",'Model inputs'!B1441=""),"",AND('Model inputs'!B1215,'Model inputs'!B1441))))),IF('Model inputs'!B150="","",'Model inputs'!B150),0))</f>
        <v>0</v>
      </c>
      <c r="AC346" s="9">
        <f>'Model inputs'!B138*IF(IF(IF(IF(IFERROR('Model inputs'!B1216=FALSE,FALSE),FALSE,IF(IFERROR('Model inputs'!B1443=FALSE,FALSE),FALSE,IF(OR('Model inputs'!B1216="",'Model inputs'!B1443=""),"",AND('Model inputs'!B1216,'Model inputs'!B1443))))="",FALSE,IF(IFERROR('Model inputs'!B1216=FALSE,FALSE),FALSE,IF(IFERROR('Model inputs'!B1443=FALSE,FALSE),FALSE,IF(OR('Model inputs'!B1216="",'Model inputs'!B1443=""),"",AND('Model inputs'!B1216,'Model inputs'!B1443))))),IF('Model inputs'!B150="","",'Model inputs'!B150),0)="",0,IF(IF(IF(IFERROR('Model inputs'!B1216=FALSE,FALSE),FALSE,IF(IFERROR('Model inputs'!B1443=FALSE,FALSE),FALSE,IF(OR('Model inputs'!B1216="",'Model inputs'!B1443=""),"",AND('Model inputs'!B1216,'Model inputs'!B1443))))="",FALSE,IF(IFERROR('Model inputs'!B1216=FALSE,FALSE),FALSE,IF(IFERROR('Model inputs'!B1443=FALSE,FALSE),FALSE,IF(OR('Model inputs'!B1216="",'Model inputs'!B1443=""),"",AND('Model inputs'!B1216,'Model inputs'!B1443))))),IF('Model inputs'!B150="","",'Model inputs'!B150),0))</f>
        <v>0</v>
      </c>
      <c r="AD346" s="9">
        <f>'Model inputs'!B138*IF(IF(IF(IF(IFERROR('Model inputs'!B1217=FALSE,FALSE),FALSE,IF(IFERROR('Model inputs'!B1445=FALSE,FALSE),FALSE,IF(OR('Model inputs'!B1217="",'Model inputs'!B1445=""),"",AND('Model inputs'!B1217,'Model inputs'!B1445))))="",FALSE,IF(IFERROR('Model inputs'!B1217=FALSE,FALSE),FALSE,IF(IFERROR('Model inputs'!B1445=FALSE,FALSE),FALSE,IF(OR('Model inputs'!B1217="",'Model inputs'!B1445=""),"",AND('Model inputs'!B1217,'Model inputs'!B1445))))),IF('Model inputs'!B150="","",'Model inputs'!B150),0)="",0,IF(IF(IF(IFERROR('Model inputs'!B1217=FALSE,FALSE),FALSE,IF(IFERROR('Model inputs'!B1445=FALSE,FALSE),FALSE,IF(OR('Model inputs'!B1217="",'Model inputs'!B1445=""),"",AND('Model inputs'!B1217,'Model inputs'!B1445))))="",FALSE,IF(IFERROR('Model inputs'!B1217=FALSE,FALSE),FALSE,IF(IFERROR('Model inputs'!B1445=FALSE,FALSE),FALSE,IF(OR('Model inputs'!B1217="",'Model inputs'!B1445=""),"",AND('Model inputs'!B1217,'Model inputs'!B1445))))),IF('Model inputs'!B150="","",'Model inputs'!B150),0))</f>
        <v>0</v>
      </c>
      <c r="AE346" s="9">
        <f>'Model inputs'!B138*IF(IF(IF(IF(IFERROR('Model inputs'!B1218=FALSE,FALSE),FALSE,IF(IFERROR('Model inputs'!B1447=FALSE,FALSE),FALSE,IF(OR('Model inputs'!B1218="",'Model inputs'!B1447=""),"",AND('Model inputs'!B1218,'Model inputs'!B1447))))="",FALSE,IF(IFERROR('Model inputs'!B1218=FALSE,FALSE),FALSE,IF(IFERROR('Model inputs'!B1447=FALSE,FALSE),FALSE,IF(OR('Model inputs'!B1218="",'Model inputs'!B1447=""),"",AND('Model inputs'!B1218,'Model inputs'!B1447))))),IF('Model inputs'!B150="","",'Model inputs'!B150),0)="",0,IF(IF(IF(IFERROR('Model inputs'!B1218=FALSE,FALSE),FALSE,IF(IFERROR('Model inputs'!B1447=FALSE,FALSE),FALSE,IF(OR('Model inputs'!B1218="",'Model inputs'!B1447=""),"",AND('Model inputs'!B1218,'Model inputs'!B1447))))="",FALSE,IF(IFERROR('Model inputs'!B1218=FALSE,FALSE),FALSE,IF(IFERROR('Model inputs'!B1447=FALSE,FALSE),FALSE,IF(OR('Model inputs'!B1218="",'Model inputs'!B1447=""),"",AND('Model inputs'!B1218,'Model inputs'!B1447))))),IF('Model inputs'!B150="","",'Model inputs'!B150),0))</f>
        <v>0</v>
      </c>
      <c r="AF346" s="9">
        <f>'Model inputs'!B138*IF(IF(IF(IF(IFERROR('Model inputs'!B1219=FALSE,FALSE),FALSE,IF(IFERROR('Model inputs'!B1449=FALSE,FALSE),FALSE,IF(OR('Model inputs'!B1219="",'Model inputs'!B1449=""),"",AND('Model inputs'!B1219,'Model inputs'!B1449))))="",FALSE,IF(IFERROR('Model inputs'!B1219=FALSE,FALSE),FALSE,IF(IFERROR('Model inputs'!B1449=FALSE,FALSE),FALSE,IF(OR('Model inputs'!B1219="",'Model inputs'!B1449=""),"",AND('Model inputs'!B1219,'Model inputs'!B1449))))),IF('Model inputs'!B150="","",'Model inputs'!B150),0)="",0,IF(IF(IF(IFERROR('Model inputs'!B1219=FALSE,FALSE),FALSE,IF(IFERROR('Model inputs'!B1449=FALSE,FALSE),FALSE,IF(OR('Model inputs'!B1219="",'Model inputs'!B1449=""),"",AND('Model inputs'!B1219,'Model inputs'!B1449))))="",FALSE,IF(IFERROR('Model inputs'!B1219=FALSE,FALSE),FALSE,IF(IFERROR('Model inputs'!B1449=FALSE,FALSE),FALSE,IF(OR('Model inputs'!B1219="",'Model inputs'!B1449=""),"",AND('Model inputs'!B1219,'Model inputs'!B1449))))),IF('Model inputs'!B150="","",'Model inputs'!B150),0))</f>
        <v>0</v>
      </c>
      <c r="AG346" s="9">
        <f>'Model inputs'!B138*IF(IF(IF(IF(IFERROR('Model inputs'!B1220=FALSE,FALSE),FALSE,IF(IFERROR('Model inputs'!B1451=FALSE,FALSE),FALSE,IF(OR('Model inputs'!B1220="",'Model inputs'!B1451=""),"",AND('Model inputs'!B1220,'Model inputs'!B1451))))="",FALSE,IF(IFERROR('Model inputs'!B1220=FALSE,FALSE),FALSE,IF(IFERROR('Model inputs'!B1451=FALSE,FALSE),FALSE,IF(OR('Model inputs'!B1220="",'Model inputs'!B1451=""),"",AND('Model inputs'!B1220,'Model inputs'!B1451))))),IF('Model inputs'!B150="","",'Model inputs'!B150),0)="",0,IF(IF(IF(IFERROR('Model inputs'!B1220=FALSE,FALSE),FALSE,IF(IFERROR('Model inputs'!B1451=FALSE,FALSE),FALSE,IF(OR('Model inputs'!B1220="",'Model inputs'!B1451=""),"",AND('Model inputs'!B1220,'Model inputs'!B1451))))="",FALSE,IF(IFERROR('Model inputs'!B1220=FALSE,FALSE),FALSE,IF(IFERROR('Model inputs'!B1451=FALSE,FALSE),FALSE,IF(OR('Model inputs'!B1220="",'Model inputs'!B1451=""),"",AND('Model inputs'!B1220,'Model inputs'!B1451))))),IF('Model inputs'!B150="","",'Model inputs'!B150),0))</f>
        <v>0</v>
      </c>
    </row>
    <row r="347" outlineLevel="1">
      <c r="A347" t="inlineStr" s="18">
        <is>
          <t xml:space="preserve">Opex &gt; neatlogs Pro</t>
        </is>
      </c>
      <c r="C347" s="9">
        <f>IF('Model inputs'!C45="","",'Model inputs'!C45)</f>
        <v>0</v>
      </c>
      <c r="D347" s="9">
        <f>IF('Model inputs'!D45="","",'Model inputs'!D45)</f>
        <v>0</v>
      </c>
      <c r="E347" s="9">
        <f>IF('Model inputs'!E45="","",'Model inputs'!E45)</f>
        <v>500</v>
      </c>
      <c r="F347" s="9">
        <f>IF('Model inputs'!F45="","",'Model inputs'!F45)</f>
        <v>500</v>
      </c>
      <c r="G347" s="9">
        <f>IF('Model inputs'!G45="","",'Model inputs'!G45)</f>
        <v>500</v>
      </c>
      <c r="H347" s="9">
        <f>IF('Model inputs'!H45="","",'Model inputs'!H45)</f>
        <v>500</v>
      </c>
      <c r="I347" s="9">
        <f>IF('Model inputs'!I45="","",'Model inputs'!I45)</f>
        <v>500</v>
      </c>
      <c r="J347" s="9">
        <f>IF('Model inputs'!J45="","",'Model inputs'!J45)</f>
        <v>500</v>
      </c>
      <c r="K347" s="9">
        <f>IF('Model inputs'!K45="","",'Model inputs'!K45)</f>
        <v>500</v>
      </c>
      <c r="L347" s="9">
        <f>IF('Model inputs'!L45="","",'Model inputs'!L45)</f>
        <v>500</v>
      </c>
      <c r="M347" s="9">
        <f>IF('Model inputs'!M45="","",'Model inputs'!M45)</f>
        <v>500</v>
      </c>
      <c r="N347" s="9">
        <f>IF('Model inputs'!N45="","",'Model inputs'!N45)</f>
        <v>500</v>
      </c>
      <c r="O347" s="9">
        <f>IF('Model inputs'!O45="","",'Model inputs'!O45)</f>
        <v>500</v>
      </c>
      <c r="P347" s="9">
        <f>IF('Model inputs'!P45="","",'Model inputs'!P45)</f>
        <v>500</v>
      </c>
      <c r="Q347" s="9">
        <f>IF('Model inputs'!Q45="","",'Model inputs'!Q45)</f>
        <v>500</v>
      </c>
      <c r="R347" s="9">
        <f>IF('Model inputs'!R45="","",'Model inputs'!R45)</f>
        <v>500</v>
      </c>
      <c r="S347" s="9">
        <f>IF('Model inputs'!S45="","",'Model inputs'!S45)</f>
        <v>500</v>
      </c>
      <c r="T347" s="9">
        <f>IF('Model inputs'!T45="","",'Model inputs'!T45)</f>
        <v>500</v>
      </c>
      <c r="U347" s="9">
        <f>IF('Model inputs'!U45="","",'Model inputs'!U45)</f>
        <v>500</v>
      </c>
      <c r="V347" s="9">
        <f>IF('Model inputs'!V45="","",'Model inputs'!V45)</f>
        <v>500</v>
      </c>
      <c r="W347" s="9">
        <f>'Model inputs'!B139*IF(IF(IF(IF(IFERROR('Model inputs'!B1221=FALSE,FALSE),FALSE,IF(IFERROR('Model inputs'!B1453=FALSE,FALSE),FALSE,IF(OR('Model inputs'!B1221="",'Model inputs'!B1453=""),"",AND('Model inputs'!B1221,'Model inputs'!B1453))))="",FALSE,IF(IFERROR('Model inputs'!B1221=FALSE,FALSE),FALSE,IF(IFERROR('Model inputs'!B1453=FALSE,FALSE),FALSE,IF(OR('Model inputs'!B1221="",'Model inputs'!B1453=""),"",AND('Model inputs'!B1221,'Model inputs'!B1453))))),IF('Model inputs'!B151="","",'Model inputs'!B151),0)="",0,IF(IF(IF(IFERROR('Model inputs'!B1221=FALSE,FALSE),FALSE,IF(IFERROR('Model inputs'!B1453=FALSE,FALSE),FALSE,IF(OR('Model inputs'!B1221="",'Model inputs'!B1453=""),"",AND('Model inputs'!B1221,'Model inputs'!B1453))))="",FALSE,IF(IFERROR('Model inputs'!B1221=FALSE,FALSE),FALSE,IF(IFERROR('Model inputs'!B1453=FALSE,FALSE),FALSE,IF(OR('Model inputs'!B1221="",'Model inputs'!B1453=""),"",AND('Model inputs'!B1221,'Model inputs'!B1453))))),IF('Model inputs'!B151="","",'Model inputs'!B151),0))</f>
        <v>0</v>
      </c>
      <c r="X347" s="9">
        <f>'Model inputs'!B139*IF(IF(IF(IF(IFERROR('Model inputs'!B1222=FALSE,FALSE),FALSE,IF(IFERROR('Model inputs'!B1455=FALSE,FALSE),FALSE,IF(OR('Model inputs'!B1222="",'Model inputs'!B1455=""),"",AND('Model inputs'!B1222,'Model inputs'!B1455))))="",FALSE,IF(IFERROR('Model inputs'!B1222=FALSE,FALSE),FALSE,IF(IFERROR('Model inputs'!B1455=FALSE,FALSE),FALSE,IF(OR('Model inputs'!B1222="",'Model inputs'!B1455=""),"",AND('Model inputs'!B1222,'Model inputs'!B1455))))),IF('Model inputs'!B151="","",'Model inputs'!B151),0)="",0,IF(IF(IF(IFERROR('Model inputs'!B1222=FALSE,FALSE),FALSE,IF(IFERROR('Model inputs'!B1455=FALSE,FALSE),FALSE,IF(OR('Model inputs'!B1222="",'Model inputs'!B1455=""),"",AND('Model inputs'!B1222,'Model inputs'!B1455))))="",FALSE,IF(IFERROR('Model inputs'!B1222=FALSE,FALSE),FALSE,IF(IFERROR('Model inputs'!B1455=FALSE,FALSE),FALSE,IF(OR('Model inputs'!B1222="",'Model inputs'!B1455=""),"",AND('Model inputs'!B1222,'Model inputs'!B1455))))),IF('Model inputs'!B151="","",'Model inputs'!B151),0))</f>
        <v>0</v>
      </c>
      <c r="Y347" s="9">
        <f>'Model inputs'!B139*IF(IF(IF(IF(IFERROR('Model inputs'!B1223=FALSE,FALSE),FALSE,IF(IFERROR('Model inputs'!B1457=FALSE,FALSE),FALSE,IF(OR('Model inputs'!B1223="",'Model inputs'!B1457=""),"",AND('Model inputs'!B1223,'Model inputs'!B1457))))="",FALSE,IF(IFERROR('Model inputs'!B1223=FALSE,FALSE),FALSE,IF(IFERROR('Model inputs'!B1457=FALSE,FALSE),FALSE,IF(OR('Model inputs'!B1223="",'Model inputs'!B1457=""),"",AND('Model inputs'!B1223,'Model inputs'!B1457))))),IF('Model inputs'!B151="","",'Model inputs'!B151),0)="",0,IF(IF(IF(IFERROR('Model inputs'!B1223=FALSE,FALSE),FALSE,IF(IFERROR('Model inputs'!B1457=FALSE,FALSE),FALSE,IF(OR('Model inputs'!B1223="",'Model inputs'!B1457=""),"",AND('Model inputs'!B1223,'Model inputs'!B1457))))="",FALSE,IF(IFERROR('Model inputs'!B1223=FALSE,FALSE),FALSE,IF(IFERROR('Model inputs'!B1457=FALSE,FALSE),FALSE,IF(OR('Model inputs'!B1223="",'Model inputs'!B1457=""),"",AND('Model inputs'!B1223,'Model inputs'!B1457))))),IF('Model inputs'!B151="","",'Model inputs'!B151),0))</f>
        <v>0</v>
      </c>
      <c r="Z347" s="9">
        <f>'Model inputs'!B139*IF(IF(IF(IF(IFERROR('Model inputs'!B1224=FALSE,FALSE),FALSE,IF(IFERROR('Model inputs'!B1459=FALSE,FALSE),FALSE,IF(OR('Model inputs'!B1224="",'Model inputs'!B1459=""),"",AND('Model inputs'!B1224,'Model inputs'!B1459))))="",FALSE,IF(IFERROR('Model inputs'!B1224=FALSE,FALSE),FALSE,IF(IFERROR('Model inputs'!B1459=FALSE,FALSE),FALSE,IF(OR('Model inputs'!B1224="",'Model inputs'!B1459=""),"",AND('Model inputs'!B1224,'Model inputs'!B1459))))),IF('Model inputs'!B151="","",'Model inputs'!B151),0)="",0,IF(IF(IF(IFERROR('Model inputs'!B1224=FALSE,FALSE),FALSE,IF(IFERROR('Model inputs'!B1459=FALSE,FALSE),FALSE,IF(OR('Model inputs'!B1224="",'Model inputs'!B1459=""),"",AND('Model inputs'!B1224,'Model inputs'!B1459))))="",FALSE,IF(IFERROR('Model inputs'!B1224=FALSE,FALSE),FALSE,IF(IFERROR('Model inputs'!B1459=FALSE,FALSE),FALSE,IF(OR('Model inputs'!B1224="",'Model inputs'!B1459=""),"",AND('Model inputs'!B1224,'Model inputs'!B1459))))),IF('Model inputs'!B151="","",'Model inputs'!B151),0))</f>
        <v>0</v>
      </c>
      <c r="AA347" s="9">
        <f>'Model inputs'!B139*IF(IF(IF(IF(IFERROR('Model inputs'!B1225=FALSE,FALSE),FALSE,IF(IFERROR('Model inputs'!B1461=FALSE,FALSE),FALSE,IF(OR('Model inputs'!B1225="",'Model inputs'!B1461=""),"",AND('Model inputs'!B1225,'Model inputs'!B1461))))="",FALSE,IF(IFERROR('Model inputs'!B1225=FALSE,FALSE),FALSE,IF(IFERROR('Model inputs'!B1461=FALSE,FALSE),FALSE,IF(OR('Model inputs'!B1225="",'Model inputs'!B1461=""),"",AND('Model inputs'!B1225,'Model inputs'!B1461))))),IF('Model inputs'!B151="","",'Model inputs'!B151),0)="",0,IF(IF(IF(IFERROR('Model inputs'!B1225=FALSE,FALSE),FALSE,IF(IFERROR('Model inputs'!B1461=FALSE,FALSE),FALSE,IF(OR('Model inputs'!B1225="",'Model inputs'!B1461=""),"",AND('Model inputs'!B1225,'Model inputs'!B1461))))="",FALSE,IF(IFERROR('Model inputs'!B1225=FALSE,FALSE),FALSE,IF(IFERROR('Model inputs'!B1461=FALSE,FALSE),FALSE,IF(OR('Model inputs'!B1225="",'Model inputs'!B1461=""),"",AND('Model inputs'!B1225,'Model inputs'!B1461))))),IF('Model inputs'!B151="","",'Model inputs'!B151),0))</f>
        <v>0</v>
      </c>
      <c r="AB347" s="9">
        <f>'Model inputs'!B139*IF(IF(IF(IF(IFERROR('Model inputs'!B1226=FALSE,FALSE),FALSE,IF(IFERROR('Model inputs'!B1463=FALSE,FALSE),FALSE,IF(OR('Model inputs'!B1226="",'Model inputs'!B1463=""),"",AND('Model inputs'!B1226,'Model inputs'!B1463))))="",FALSE,IF(IFERROR('Model inputs'!B1226=FALSE,FALSE),FALSE,IF(IFERROR('Model inputs'!B1463=FALSE,FALSE),FALSE,IF(OR('Model inputs'!B1226="",'Model inputs'!B1463=""),"",AND('Model inputs'!B1226,'Model inputs'!B1463))))),IF('Model inputs'!B151="","",'Model inputs'!B151),0)="",0,IF(IF(IF(IFERROR('Model inputs'!B1226=FALSE,FALSE),FALSE,IF(IFERROR('Model inputs'!B1463=FALSE,FALSE),FALSE,IF(OR('Model inputs'!B1226="",'Model inputs'!B1463=""),"",AND('Model inputs'!B1226,'Model inputs'!B1463))))="",FALSE,IF(IFERROR('Model inputs'!B1226=FALSE,FALSE),FALSE,IF(IFERROR('Model inputs'!B1463=FALSE,FALSE),FALSE,IF(OR('Model inputs'!B1226="",'Model inputs'!B1463=""),"",AND('Model inputs'!B1226,'Model inputs'!B1463))))),IF('Model inputs'!B151="","",'Model inputs'!B151),0))</f>
        <v>0</v>
      </c>
      <c r="AC347" s="9">
        <f>'Model inputs'!B139*IF(IF(IF(IF(IFERROR('Model inputs'!B1227=FALSE,FALSE),FALSE,IF(IFERROR('Model inputs'!B1465=FALSE,FALSE),FALSE,IF(OR('Model inputs'!B1227="",'Model inputs'!B1465=""),"",AND('Model inputs'!B1227,'Model inputs'!B1465))))="",FALSE,IF(IFERROR('Model inputs'!B1227=FALSE,FALSE),FALSE,IF(IFERROR('Model inputs'!B1465=FALSE,FALSE),FALSE,IF(OR('Model inputs'!B1227="",'Model inputs'!B1465=""),"",AND('Model inputs'!B1227,'Model inputs'!B1465))))),IF('Model inputs'!B151="","",'Model inputs'!B151),0)="",0,IF(IF(IF(IFERROR('Model inputs'!B1227=FALSE,FALSE),FALSE,IF(IFERROR('Model inputs'!B1465=FALSE,FALSE),FALSE,IF(OR('Model inputs'!B1227="",'Model inputs'!B1465=""),"",AND('Model inputs'!B1227,'Model inputs'!B1465))))="",FALSE,IF(IFERROR('Model inputs'!B1227=FALSE,FALSE),FALSE,IF(IFERROR('Model inputs'!B1465=FALSE,FALSE),FALSE,IF(OR('Model inputs'!B1227="",'Model inputs'!B1465=""),"",AND('Model inputs'!B1227,'Model inputs'!B1465))))),IF('Model inputs'!B151="","",'Model inputs'!B151),0))</f>
        <v>0</v>
      </c>
      <c r="AD347" s="9">
        <f>'Model inputs'!B139*IF(IF(IF(IF(IFERROR('Model inputs'!B1228=FALSE,FALSE),FALSE,IF(IFERROR('Model inputs'!B1467=FALSE,FALSE),FALSE,IF(OR('Model inputs'!B1228="",'Model inputs'!B1467=""),"",AND('Model inputs'!B1228,'Model inputs'!B1467))))="",FALSE,IF(IFERROR('Model inputs'!B1228=FALSE,FALSE),FALSE,IF(IFERROR('Model inputs'!B1467=FALSE,FALSE),FALSE,IF(OR('Model inputs'!B1228="",'Model inputs'!B1467=""),"",AND('Model inputs'!B1228,'Model inputs'!B1467))))),IF('Model inputs'!B151="","",'Model inputs'!B151),0)="",0,IF(IF(IF(IFERROR('Model inputs'!B1228=FALSE,FALSE),FALSE,IF(IFERROR('Model inputs'!B1467=FALSE,FALSE),FALSE,IF(OR('Model inputs'!B1228="",'Model inputs'!B1467=""),"",AND('Model inputs'!B1228,'Model inputs'!B1467))))="",FALSE,IF(IFERROR('Model inputs'!B1228=FALSE,FALSE),FALSE,IF(IFERROR('Model inputs'!B1467=FALSE,FALSE),FALSE,IF(OR('Model inputs'!B1228="",'Model inputs'!B1467=""),"",AND('Model inputs'!B1228,'Model inputs'!B1467))))),IF('Model inputs'!B151="","",'Model inputs'!B151),0))</f>
        <v>0</v>
      </c>
      <c r="AE347" s="9">
        <f>'Model inputs'!B139*IF(IF(IF(IF(IFERROR('Model inputs'!B1229=FALSE,FALSE),FALSE,IF(IFERROR('Model inputs'!B1469=FALSE,FALSE),FALSE,IF(OR('Model inputs'!B1229="",'Model inputs'!B1469=""),"",AND('Model inputs'!B1229,'Model inputs'!B1469))))="",FALSE,IF(IFERROR('Model inputs'!B1229=FALSE,FALSE),FALSE,IF(IFERROR('Model inputs'!B1469=FALSE,FALSE),FALSE,IF(OR('Model inputs'!B1229="",'Model inputs'!B1469=""),"",AND('Model inputs'!B1229,'Model inputs'!B1469))))),IF('Model inputs'!B151="","",'Model inputs'!B151),0)="",0,IF(IF(IF(IFERROR('Model inputs'!B1229=FALSE,FALSE),FALSE,IF(IFERROR('Model inputs'!B1469=FALSE,FALSE),FALSE,IF(OR('Model inputs'!B1229="",'Model inputs'!B1469=""),"",AND('Model inputs'!B1229,'Model inputs'!B1469))))="",FALSE,IF(IFERROR('Model inputs'!B1229=FALSE,FALSE),FALSE,IF(IFERROR('Model inputs'!B1469=FALSE,FALSE),FALSE,IF(OR('Model inputs'!B1229="",'Model inputs'!B1469=""),"",AND('Model inputs'!B1229,'Model inputs'!B1469))))),IF('Model inputs'!B151="","",'Model inputs'!B151),0))</f>
        <v>0</v>
      </c>
      <c r="AF347" s="9">
        <f>'Model inputs'!B139*IF(IF(IF(IF(IFERROR('Model inputs'!B1230=FALSE,FALSE),FALSE,IF(IFERROR('Model inputs'!B1471=FALSE,FALSE),FALSE,IF(OR('Model inputs'!B1230="",'Model inputs'!B1471=""),"",AND('Model inputs'!B1230,'Model inputs'!B1471))))="",FALSE,IF(IFERROR('Model inputs'!B1230=FALSE,FALSE),FALSE,IF(IFERROR('Model inputs'!B1471=FALSE,FALSE),FALSE,IF(OR('Model inputs'!B1230="",'Model inputs'!B1471=""),"",AND('Model inputs'!B1230,'Model inputs'!B1471))))),IF('Model inputs'!B151="","",'Model inputs'!B151),0)="",0,IF(IF(IF(IFERROR('Model inputs'!B1230=FALSE,FALSE),FALSE,IF(IFERROR('Model inputs'!B1471=FALSE,FALSE),FALSE,IF(OR('Model inputs'!B1230="",'Model inputs'!B1471=""),"",AND('Model inputs'!B1230,'Model inputs'!B1471))))="",FALSE,IF(IFERROR('Model inputs'!B1230=FALSE,FALSE),FALSE,IF(IFERROR('Model inputs'!B1471=FALSE,FALSE),FALSE,IF(OR('Model inputs'!B1230="",'Model inputs'!B1471=""),"",AND('Model inputs'!B1230,'Model inputs'!B1471))))),IF('Model inputs'!B151="","",'Model inputs'!B151),0))</f>
        <v>0</v>
      </c>
      <c r="AG347" s="9">
        <f>'Model inputs'!B139*IF(IF(IF(IF(IFERROR('Model inputs'!B1231=FALSE,FALSE),FALSE,IF(IFERROR('Model inputs'!B1473=FALSE,FALSE),FALSE,IF(OR('Model inputs'!B1231="",'Model inputs'!B1473=""),"",AND('Model inputs'!B1231,'Model inputs'!B1473))))="",FALSE,IF(IFERROR('Model inputs'!B1231=FALSE,FALSE),FALSE,IF(IFERROR('Model inputs'!B1473=FALSE,FALSE),FALSE,IF(OR('Model inputs'!B1231="",'Model inputs'!B1473=""),"",AND('Model inputs'!B1231,'Model inputs'!B1473))))),IF('Model inputs'!B151="","",'Model inputs'!B151),0)="",0,IF(IF(IF(IFERROR('Model inputs'!B1231=FALSE,FALSE),FALSE,IF(IFERROR('Model inputs'!B1473=FALSE,FALSE),FALSE,IF(OR('Model inputs'!B1231="",'Model inputs'!B1473=""),"",AND('Model inputs'!B1231,'Model inputs'!B1473))))="",FALSE,IF(IFERROR('Model inputs'!B1231=FALSE,FALSE),FALSE,IF(IFERROR('Model inputs'!B1473=FALSE,FALSE),FALSE,IF(OR('Model inputs'!B1231="",'Model inputs'!B1473=""),"",AND('Model inputs'!B1231,'Model inputs'!B1473))))),IF('Model inputs'!B151="","",'Model inputs'!B151),0))</f>
        <v>0</v>
      </c>
    </row>
    <row r="348">
      <c r="A348" t="inlineStr" s="16">
        <is>
          <t xml:space="preserve">Overage revenue</t>
        </is>
      </c>
      <c r="C348" s="7">
        <f>IF('Model inputs'!C58="","",'Model inputs'!C58)</f>
        <v>0</v>
      </c>
      <c r="D348" s="7">
        <f>IF('Model inputs'!D58="","",'Model inputs'!D58)</f>
        <v>0</v>
      </c>
      <c r="E348" s="7">
        <f>IF('Model inputs'!E58="","",'Model inputs'!E58)</f>
        <v>95</v>
      </c>
      <c r="F348" s="7">
        <f>IF('Model inputs'!F58="","",'Model inputs'!F58)</f>
        <v>160.875</v>
      </c>
      <c r="G348" s="7">
        <f>IF('Model inputs'!G58="","",'Model inputs'!G58)</f>
        <v>213.58690277777777</v>
      </c>
      <c r="H348" s="7">
        <f>IF('Model inputs'!H58="","",'Model inputs'!H58)</f>
        <v>269.05303983796296</v>
      </c>
      <c r="I348" s="7">
        <f>IF('Model inputs'!I58="","",'Model inputs'!I58)</f>
        <v>327.5795949349537</v>
      </c>
      <c r="J348" s="7">
        <f>IF('Model inputs'!J58="","",'Model inputs'!J58)</f>
        <v>389.4971314852568</v>
      </c>
      <c r="K348" s="7">
        <f>IF('Model inputs'!K58="","",'Model inputs'!K58)</f>
        <v>455.1629821154749</v>
      </c>
      <c r="L348" s="7">
        <f>IF('Model inputs'!L58="","",'Model inputs'!L58)</f>
        <v>524.9638461310163</v>
      </c>
      <c r="M348" s="7">
        <f>IF('Model inputs'!M58="","",'Model inputs'!M58)</f>
        <v>599.3186149500129</v>
      </c>
      <c r="N348" s="7">
        <f>IF('Model inputs'!N58="","",'Model inputs'!N58)</f>
        <v>674.7853216521627</v>
      </c>
      <c r="O348" s="7">
        <f>IF('Model inputs'!O58="","",'Model inputs'!O58)</f>
        <v>751.4778206320123</v>
      </c>
      <c r="P348" s="7">
        <f>IF('Model inputs'!P58="","",'Model inputs'!P58)</f>
        <v>829.5110364230375</v>
      </c>
      <c r="Q348" s="7">
        <f>IF('Model inputs'!Q58="","",'Model inputs'!Q58)</f>
        <v>909.001210740131</v>
      </c>
      <c r="R348" s="7">
        <f>IF('Model inputs'!R58="","",'Model inputs'!R58)</f>
        <v>990.0661465814385</v>
      </c>
      <c r="S348" s="7">
        <f>IF('Model inputs'!S58="","",'Model inputs'!S58)</f>
        <v>1072.82545010209</v>
      </c>
      <c r="T348" s="7">
        <f>IF('Model inputs'!T58="","",'Model inputs'!T58)</f>
        <v>1157.400770946348</v>
      </c>
      <c r="U348" s="7">
        <f>IF('Model inputs'!U58="","",'Model inputs'!U58)</f>
        <v>1243.916041701213</v>
      </c>
      <c r="V348" s="7">
        <f>IF('Model inputs'!V58="","",'Model inputs'!V58)</f>
        <v>1332.497717113488</v>
      </c>
      <c r="W348" s="7">
        <f>SUM('Model inputs'!W349,'Model inputs'!W350,'Model inputs'!W351)</f>
        <v>0</v>
      </c>
      <c r="X348" s="7">
        <f>SUM('Model inputs'!X349,'Model inputs'!X350,'Model inputs'!X351)</f>
        <v>0</v>
      </c>
      <c r="Y348" s="7">
        <f>SUM('Model inputs'!Y349,'Model inputs'!Y350,'Model inputs'!Y351)</f>
        <v>0</v>
      </c>
      <c r="Z348" s="7">
        <f>SUM('Model inputs'!Z349,'Model inputs'!Z350,'Model inputs'!Z351)</f>
        <v>0</v>
      </c>
      <c r="AA348" s="7">
        <f>SUM('Model inputs'!AA349,'Model inputs'!AA350,'Model inputs'!AA351)</f>
        <v>0</v>
      </c>
      <c r="AB348" s="7">
        <f>SUM('Model inputs'!AB349,'Model inputs'!AB350,'Model inputs'!AB351)</f>
        <v>0</v>
      </c>
      <c r="AC348" s="7">
        <f>SUM('Model inputs'!AC349,'Model inputs'!AC350,'Model inputs'!AC351)</f>
        <v>0</v>
      </c>
      <c r="AD348" s="7">
        <f>SUM('Model inputs'!AD349,'Model inputs'!AD350,'Model inputs'!AD351)</f>
        <v>0</v>
      </c>
      <c r="AE348" s="7">
        <f>SUM('Model inputs'!AE349,'Model inputs'!AE350,'Model inputs'!AE351)</f>
        <v>0</v>
      </c>
      <c r="AF348" s="7">
        <f>SUM('Model inputs'!AF349,'Model inputs'!AF350,'Model inputs'!AF351)</f>
        <v>0</v>
      </c>
      <c r="AG348" s="7">
        <f>SUM('Model inputs'!AG349,'Model inputs'!AG350,'Model inputs'!AG351)</f>
        <v>0</v>
      </c>
    </row>
    <row r="349" outlineLevel="1">
      <c r="A349" t="inlineStr" s="18">
        <is>
          <t xml:space="preserve">Overage revenue &gt; Indie</t>
        </is>
      </c>
      <c r="C349" s="9">
        <f>IF('Model inputs'!C59="","",'Model inputs'!C59)</f>
        <v>0</v>
      </c>
      <c r="D349" s="9">
        <f>IF('Model inputs'!D59="","",'Model inputs'!D59)</f>
        <v>0</v>
      </c>
      <c r="E349" s="9">
        <f>IF('Model inputs'!E59="","",'Model inputs'!E59)</f>
        <v>50</v>
      </c>
      <c r="F349" s="9">
        <f>IF('Model inputs'!F59="","",'Model inputs'!F59)</f>
        <v>92.91666666666666</v>
      </c>
      <c r="G349" s="9">
        <f>IF('Model inputs'!G59="","",'Model inputs'!G59)</f>
        <v>120.47222222222223</v>
      </c>
      <c r="H349" s="9">
        <f>IF('Model inputs'!H59="","",'Model inputs'!H59)</f>
        <v>148.89074074074077</v>
      </c>
      <c r="I349" s="9">
        <f>IF('Model inputs'!I59="","",'Model inputs'!I59)</f>
        <v>178.33069135802472</v>
      </c>
      <c r="J349" s="9">
        <f>IF('Model inputs'!J59="","",'Model inputs'!J59)</f>
        <v>208.95725860082308</v>
      </c>
      <c r="K349" s="9">
        <f>IF('Model inputs'!K59="","",'Model inputs'!K59)</f>
        <v>240.94327709410155</v>
      </c>
      <c r="L349" s="9">
        <f>IF('Model inputs'!L59="","",'Model inputs'!L59)</f>
        <v>274.4702145464948</v>
      </c>
      <c r="M349" s="9">
        <f>IF('Model inputs'!M59="","",'Model inputs'!M59)</f>
        <v>309.72920864275517</v>
      </c>
      <c r="N349" s="9">
        <f>IF('Model inputs'!N59="","",'Model inputs'!N59)</f>
        <v>344.7798834685726</v>
      </c>
      <c r="O349" s="9">
        <f>IF('Model inputs'!O59="","",'Model inputs'!O59)</f>
        <v>379.72181818874895</v>
      </c>
      <c r="P349" s="9">
        <f>IF('Model inputs'!P59="","",'Model inputs'!P59)</f>
        <v>414.6513810056368</v>
      </c>
      <c r="Q349" s="9">
        <f>IF('Model inputs'!Q59="","",'Model inputs'!Q59)</f>
        <v>449.6620803292442</v>
      </c>
      <c r="R349" s="9">
        <f>IF('Model inputs'!R59="","",'Model inputs'!R59)</f>
        <v>484.84489802023717</v>
      </c>
      <c r="S349" s="9">
        <f>IF('Model inputs'!S59="","",'Model inputs'!S59)</f>
        <v>520.2886061203483</v>
      </c>
      <c r="T349" s="9">
        <f>IF('Model inputs'!T59="","",'Model inputs'!T59)</f>
        <v>556.0800683991771</v>
      </c>
      <c r="U349" s="9">
        <f>IF('Model inputs'!U59="","",'Model inputs'!U59)</f>
        <v>592.3045279668916</v>
      </c>
      <c r="V349" s="9">
        <f>IF('Model inputs'!V59="","",'Model inputs'!V59)</f>
        <v>629.0458821285312</v>
      </c>
      <c r="W349" s="9">
        <f>'Model inputs'!W214*'Model inputs'!B187*'Model inputs'!B190</f>
        <v>0</v>
      </c>
      <c r="X349" s="9">
        <f>'Model inputs'!X214*'Model inputs'!B187*'Model inputs'!B190</f>
        <v>0</v>
      </c>
      <c r="Y349" s="9">
        <f>'Model inputs'!Y214*'Model inputs'!B187*'Model inputs'!B190</f>
        <v>0</v>
      </c>
      <c r="Z349" s="9">
        <f>'Model inputs'!Z214*'Model inputs'!B187*'Model inputs'!B190</f>
        <v>0</v>
      </c>
      <c r="AA349" s="9">
        <f>'Model inputs'!AA214*'Model inputs'!B187*'Model inputs'!B190</f>
        <v>0</v>
      </c>
      <c r="AB349" s="9">
        <f>'Model inputs'!AB214*'Model inputs'!B187*'Model inputs'!B190</f>
        <v>0</v>
      </c>
      <c r="AC349" s="9">
        <f>'Model inputs'!AC214*'Model inputs'!B187*'Model inputs'!B190</f>
        <v>0</v>
      </c>
      <c r="AD349" s="9">
        <f>'Model inputs'!AD214*'Model inputs'!B187*'Model inputs'!B190</f>
        <v>0</v>
      </c>
      <c r="AE349" s="9">
        <f>'Model inputs'!AE214*'Model inputs'!B187*'Model inputs'!B190</f>
        <v>0</v>
      </c>
      <c r="AF349" s="9">
        <f>'Model inputs'!AF214*'Model inputs'!B187*'Model inputs'!B190</f>
        <v>0</v>
      </c>
      <c r="AG349" s="9">
        <f>'Model inputs'!AG214*'Model inputs'!B187*'Model inputs'!B190</f>
        <v>0</v>
      </c>
    </row>
    <row r="350" outlineLevel="1">
      <c r="A350" t="inlineStr" s="18">
        <is>
          <t xml:space="preserve">Overage revenue &gt; Launch</t>
        </is>
      </c>
      <c r="C350" s="9">
        <f>IF('Model inputs'!C60="","",'Model inputs'!C60)</f>
        <v>0</v>
      </c>
      <c r="D350" s="9">
        <f>IF('Model inputs'!D60="","",'Model inputs'!D60)</f>
        <v>0</v>
      </c>
      <c r="E350" s="9">
        <f>IF('Model inputs'!E60="","",'Model inputs'!E60)</f>
        <v>15</v>
      </c>
      <c r="F350" s="9">
        <f>IF('Model inputs'!F60="","",'Model inputs'!F60)</f>
        <v>22.650000000000002</v>
      </c>
      <c r="G350" s="9">
        <f>IF('Model inputs'!G60="","",'Model inputs'!G60)</f>
        <v>30.376604166666663</v>
      </c>
      <c r="H350" s="9">
        <f>IF('Model inputs'!H60="","",'Model inputs'!H60)</f>
        <v>38.205181059027765</v>
      </c>
      <c r="I350" s="9">
        <f>IF('Model inputs'!I60="","",'Model inputs'!I60)</f>
        <v>46.156567318619786</v>
      </c>
      <c r="J350" s="9">
        <f>IF('Model inputs'!J60="","",'Model inputs'!J60)</f>
        <v>54.25287301206935</v>
      </c>
      <c r="K350" s="9">
        <f>IF('Model inputs'!K60="","",'Model inputs'!K60)</f>
        <v>62.51766741529286</v>
      </c>
      <c r="L350" s="9">
        <f>IF('Model inputs'!L60="","",'Model inputs'!L60)</f>
        <v>70.97617787413947</v>
      </c>
      <c r="M350" s="9">
        <f>IF('Model inputs'!M60="","",'Model inputs'!M60)</f>
        <v>79.65550337740716</v>
      </c>
      <c r="N350" s="9">
        <f>IF('Model inputs'!N60="","",'Model inputs'!N60)</f>
        <v>88.58484461336917</v>
      </c>
      <c r="O350" s="9">
        <f>IF('Model inputs'!O60="","",'Model inputs'!O60)</f>
        <v>97.7738293637964</v>
      </c>
      <c r="P350" s="9">
        <f>IF('Model inputs'!P60="","",'Model inputs'!P60)</f>
        <v>107.23199908683281</v>
      </c>
      <c r="Q350" s="9">
        <f>IF('Model inputs'!Q60="","",'Model inputs'!Q60)</f>
        <v>116.96886480466242</v>
      </c>
      <c r="R350" s="9">
        <f>IF('Model inputs'!R60="","",'Model inputs'!R60)</f>
        <v>126.99396015267028</v>
      </c>
      <c r="S350" s="9">
        <f>IF('Model inputs'!S60="","",'Model inputs'!S60)</f>
        <v>137.31689185548686</v>
      </c>
      <c r="T350" s="9">
        <f>IF('Model inputs'!T60="","",'Model inputs'!T60)</f>
        <v>147.94738787923274</v>
      </c>
      <c r="U350" s="9">
        <f>IF('Model inputs'!U60="","",'Model inputs'!U60)</f>
        <v>158.89534349439347</v>
      </c>
      <c r="V350" s="9">
        <f>IF('Model inputs'!V60="","",'Model inputs'!V60)</f>
        <v>170.17086546997666</v>
      </c>
      <c r="W350" s="9">
        <f>'Model inputs'!W215*'Model inputs'!B188*'Model inputs'!B190</f>
        <v>0</v>
      </c>
      <c r="X350" s="9">
        <f>'Model inputs'!X215*'Model inputs'!B188*'Model inputs'!B190</f>
        <v>0</v>
      </c>
      <c r="Y350" s="9">
        <f>'Model inputs'!Y215*'Model inputs'!B188*'Model inputs'!B190</f>
        <v>0</v>
      </c>
      <c r="Z350" s="9">
        <f>'Model inputs'!Z215*'Model inputs'!B188*'Model inputs'!B190</f>
        <v>0</v>
      </c>
      <c r="AA350" s="9">
        <f>'Model inputs'!AA215*'Model inputs'!B188*'Model inputs'!B190</f>
        <v>0</v>
      </c>
      <c r="AB350" s="9">
        <f>'Model inputs'!AB215*'Model inputs'!B188*'Model inputs'!B190</f>
        <v>0</v>
      </c>
      <c r="AC350" s="9">
        <f>'Model inputs'!AC215*'Model inputs'!B188*'Model inputs'!B190</f>
        <v>0</v>
      </c>
      <c r="AD350" s="9">
        <f>'Model inputs'!AD215*'Model inputs'!B188*'Model inputs'!B190</f>
        <v>0</v>
      </c>
      <c r="AE350" s="9">
        <f>'Model inputs'!AE215*'Model inputs'!B188*'Model inputs'!B190</f>
        <v>0</v>
      </c>
      <c r="AF350" s="9">
        <f>'Model inputs'!AF215*'Model inputs'!B188*'Model inputs'!B190</f>
        <v>0</v>
      </c>
      <c r="AG350" s="9">
        <f>'Model inputs'!AG215*'Model inputs'!B188*'Model inputs'!B190</f>
        <v>0</v>
      </c>
    </row>
    <row r="351" outlineLevel="1">
      <c r="A351" t="inlineStr" s="18">
        <is>
          <t xml:space="preserve">Overage revenue &gt; Team</t>
        </is>
      </c>
      <c r="C351" s="9">
        <f>IF('Model inputs'!C61="","",'Model inputs'!C61)</f>
        <v>0</v>
      </c>
      <c r="D351" s="9">
        <f>IF('Model inputs'!D61="","",'Model inputs'!D61)</f>
        <v>0</v>
      </c>
      <c r="E351" s="9">
        <f>IF('Model inputs'!E61="","",'Model inputs'!E61)</f>
        <v>30</v>
      </c>
      <c r="F351" s="9">
        <f>IF('Model inputs'!F61="","",'Model inputs'!F61)</f>
        <v>45.30833333333334</v>
      </c>
      <c r="G351" s="9">
        <f>IF('Model inputs'!G61="","",'Model inputs'!G61)</f>
        <v>62.73807638888889</v>
      </c>
      <c r="H351" s="9">
        <f>IF('Model inputs'!H61="","",'Model inputs'!H61)</f>
        <v>81.95711803819444</v>
      </c>
      <c r="I351" s="9">
        <f>IF('Model inputs'!I61="","",'Model inputs'!I61)</f>
        <v>103.09233625830922</v>
      </c>
      <c r="J351" s="9">
        <f>IF('Model inputs'!J61="","",'Model inputs'!J61)</f>
        <v>126.28699987236432</v>
      </c>
      <c r="K351" s="9">
        <f>IF('Model inputs'!K61="","",'Model inputs'!K61)</f>
        <v>151.7020376060805</v>
      </c>
      <c r="L351" s="9">
        <f>IF('Model inputs'!L61="","",'Model inputs'!L61)</f>
        <v>179.5174537103821</v>
      </c>
      <c r="M351" s="9">
        <f>IF('Model inputs'!M61="","",'Model inputs'!M61)</f>
        <v>209.93390292985057</v>
      </c>
      <c r="N351" s="9">
        <f>IF('Model inputs'!N61="","",'Model inputs'!N61)</f>
        <v>241.4205935702209</v>
      </c>
      <c r="O351" s="9">
        <f>IF('Model inputs'!O61="","",'Model inputs'!O61)</f>
        <v>273.982173079467</v>
      </c>
      <c r="P351" s="9">
        <f>IF('Model inputs'!P61="","",'Model inputs'!P61)</f>
        <v>307.62765633056785</v>
      </c>
      <c r="Q351" s="9">
        <f>IF('Model inputs'!Q61="","",'Model inputs'!Q61)</f>
        <v>342.37026560622445</v>
      </c>
      <c r="R351" s="9">
        <f>IF('Model inputs'!R61="","",'Model inputs'!R61)</f>
        <v>378.22728840853097</v>
      </c>
      <c r="S351" s="9">
        <f>IF('Model inputs'!S61="","",'Model inputs'!S61)</f>
        <v>415.2199521262547</v>
      </c>
      <c r="T351" s="9">
        <f>IF('Model inputs'!T61="","",'Model inputs'!T61)</f>
        <v>453.3733146679382</v>
      </c>
      <c r="U351" s="9">
        <f>IF('Model inputs'!U61="","",'Model inputs'!U61)</f>
        <v>492.7161702399279</v>
      </c>
      <c r="V351" s="9">
        <f>IF('Model inputs'!V61="","",'Model inputs'!V61)</f>
        <v>533.2809695149803</v>
      </c>
      <c r="W351" s="9">
        <f>'Model inputs'!W216*'Model inputs'!B189*'Model inputs'!B190</f>
        <v>0</v>
      </c>
      <c r="X351" s="9">
        <f>'Model inputs'!X216*'Model inputs'!B189*'Model inputs'!B190</f>
        <v>0</v>
      </c>
      <c r="Y351" s="9">
        <f>'Model inputs'!Y216*'Model inputs'!B189*'Model inputs'!B190</f>
        <v>0</v>
      </c>
      <c r="Z351" s="9">
        <f>'Model inputs'!Z216*'Model inputs'!B189*'Model inputs'!B190</f>
        <v>0</v>
      </c>
      <c r="AA351" s="9">
        <f>'Model inputs'!AA216*'Model inputs'!B189*'Model inputs'!B190</f>
        <v>0</v>
      </c>
      <c r="AB351" s="9">
        <f>'Model inputs'!AB216*'Model inputs'!B189*'Model inputs'!B190</f>
        <v>0</v>
      </c>
      <c r="AC351" s="9">
        <f>'Model inputs'!AC216*'Model inputs'!B189*'Model inputs'!B190</f>
        <v>0</v>
      </c>
      <c r="AD351" s="9">
        <f>'Model inputs'!AD216*'Model inputs'!B189*'Model inputs'!B190</f>
        <v>0</v>
      </c>
      <c r="AE351" s="9">
        <f>'Model inputs'!AE216*'Model inputs'!B189*'Model inputs'!B190</f>
        <v>0</v>
      </c>
      <c r="AF351" s="9">
        <f>'Model inputs'!AF216*'Model inputs'!B189*'Model inputs'!B190</f>
        <v>0</v>
      </c>
      <c r="AG351" s="9">
        <f>'Model inputs'!AG216*'Model inputs'!B189*'Model inputs'!B190</f>
        <v>0</v>
      </c>
    </row>
    <row r="353">
      <c r="A353" t="inlineStr" s="15">
        <is>
          <t xml:space="preserve">Dimensions</t>
        </is>
      </c>
    </row>
    <row r="354">
      <c r="A354" t="inlineStr" s="16">
        <is>
          <t xml:space="preserve">Expense line</t>
        </is>
      </c>
      <c r="B354" t="inlineStr" s="24">
        <is>
          <t xml:space="preserve">Domain, email, extras</t>
        </is>
      </c>
      <c r="C354" t="inlineStr" s="24">
        <is>
          <t xml:space="preserve">Entire cloud workspace</t>
        </is>
      </c>
      <c r="D354" t="inlineStr" s="24">
        <is>
          <t xml:space="preserve">First engineer (loaded)</t>
        </is>
      </c>
      <c r="E354" t="inlineStr" s="24">
        <is>
          <t xml:space="preserve">Founder full-time step-up</t>
        </is>
      </c>
      <c r="F354" t="inlineStr" s="24">
        <is>
          <t xml:space="preserve">Founder salary (0.5 FTE)</t>
        </is>
      </c>
      <c r="G354" t="inlineStr" s="24">
        <is>
          <t xml:space="preserve">Frontend contractor (0.25 FTE)</t>
        </is>
      </c>
      <c r="H354" t="inlineStr" s="24">
        <is>
          <t xml:space="preserve">Hosting (Vercel + storage)</t>
        </is>
      </c>
      <c r="I354" t="inlineStr" s="24">
        <is>
          <t xml:space="preserve">Marketing: always-on</t>
        </is>
      </c>
      <c r="J354" t="inlineStr" s="24">
        <is>
          <t xml:space="preserve">Marketing: launch push</t>
        </is>
      </c>
      <c r="K354" t="inlineStr" s="24">
        <is>
          <t xml:space="preserve">cfo.ai Startup</t>
        </is>
      </c>
      <c r="L354" t="inlineStr" s="24">
        <is>
          <t xml:space="preserve">neatlogs Pro</t>
        </is>
      </c>
    </row>
    <row r="355">
      <c r="A355" t="inlineStr" s="16">
        <is>
          <t xml:space="preserve">Subscription plan</t>
        </is>
      </c>
      <c r="B355" t="inlineStr" s="24">
        <is>
          <t xml:space="preserve">Indie</t>
        </is>
      </c>
      <c r="C355" t="inlineStr" s="24">
        <is>
          <t xml:space="preserve">Launch</t>
        </is>
      </c>
      <c r="D355" t="inlineStr" s="24">
        <is>
          <t xml:space="preserve">Team</t>
        </is>
      </c>
    </row>
    <row r="357">
      <c r="A357" t="inlineStr" s="15">
        <is>
          <t xml:space="preserve">Supporting calculations</t>
        </is>
      </c>
    </row>
    <row r="358">
      <c r="A358" t="inlineStr" s="16">
        <is>
          <t xml:space="preserve">Calculation</t>
        </is>
      </c>
      <c r="B358">
        <f>IF(ISERROR('Model inputs'!E32='Model inputs'!B7),'Model inputs'!E32='Model inputs'!B7,IF(OR('Model inputs'!E32="",'Model inputs'!B7=""),"",'Model inputs'!E32='Model inputs'!B7))</f>
      </c>
    </row>
    <row r="359">
      <c r="A359" t="inlineStr" s="16">
        <is>
          <t xml:space="preserve">Calculation</t>
        </is>
      </c>
      <c r="B359">
        <f>IF(ISERROR('Model inputs'!E22&gt;'Model inputs'!B66),'Model inputs'!E22&gt;'Model inputs'!B66,IF(OR('Model inputs'!E22="",'Model inputs'!B66=""),"",'Model inputs'!E22&gt;'Model inputs'!B66))</f>
      </c>
    </row>
    <row r="360">
      <c r="A360" t="inlineStr" s="16">
        <is>
          <t xml:space="preserve">Calculation</t>
        </is>
      </c>
      <c r="B360">
        <f>IF(ISERROR('Model inputs'!F32='Model inputs'!B7),'Model inputs'!F32='Model inputs'!B7,IF(OR('Model inputs'!F32="",'Model inputs'!B7=""),"",'Model inputs'!F32='Model inputs'!B7))</f>
      </c>
    </row>
    <row r="361">
      <c r="A361" t="inlineStr" s="16">
        <is>
          <t xml:space="preserve">Calculation</t>
        </is>
      </c>
      <c r="B361">
        <f>IF(ISERROR('Model inputs'!F22&gt;'Model inputs'!B66),'Model inputs'!F22&gt;'Model inputs'!B66,IF(OR('Model inputs'!F22="",'Model inputs'!B66=""),"",'Model inputs'!F22&gt;'Model inputs'!B66))</f>
      </c>
    </row>
    <row r="362">
      <c r="A362" t="inlineStr" s="16">
        <is>
          <t xml:space="preserve">Calculation</t>
        </is>
      </c>
      <c r="B362">
        <f>IF(ISERROR('Model inputs'!G32='Model inputs'!B7),'Model inputs'!G32='Model inputs'!B7,IF(OR('Model inputs'!G32="",'Model inputs'!B7=""),"",'Model inputs'!G32='Model inputs'!B7))</f>
      </c>
    </row>
    <row r="363">
      <c r="A363" t="inlineStr" s="16">
        <is>
          <t xml:space="preserve">Calculation</t>
        </is>
      </c>
      <c r="B363">
        <f>IF(ISERROR('Model inputs'!G22&gt;'Model inputs'!B66),'Model inputs'!G22&gt;'Model inputs'!B66,IF(OR('Model inputs'!G22="",'Model inputs'!B66=""),"",'Model inputs'!G22&gt;'Model inputs'!B66))</f>
      </c>
    </row>
    <row r="364">
      <c r="A364" t="inlineStr" s="16">
        <is>
          <t xml:space="preserve">Calculation</t>
        </is>
      </c>
      <c r="B364">
        <f>IF(ISERROR('Model inputs'!H32='Model inputs'!B7),'Model inputs'!H32='Model inputs'!B7,IF(OR('Model inputs'!H32="",'Model inputs'!B7=""),"",'Model inputs'!H32='Model inputs'!B7))</f>
      </c>
    </row>
    <row r="365">
      <c r="A365" t="inlineStr" s="16">
        <is>
          <t xml:space="preserve">Calculation</t>
        </is>
      </c>
      <c r="B365">
        <f>IF(ISERROR('Model inputs'!H22&gt;'Model inputs'!B66),'Model inputs'!H22&gt;'Model inputs'!B66,IF(OR('Model inputs'!H22="",'Model inputs'!B66=""),"",'Model inputs'!H22&gt;'Model inputs'!B66))</f>
      </c>
    </row>
    <row r="366">
      <c r="A366" t="inlineStr" s="16">
        <is>
          <t xml:space="preserve">Calculation</t>
        </is>
      </c>
      <c r="B366">
        <f>IF(ISERROR('Model inputs'!I32='Model inputs'!B7),'Model inputs'!I32='Model inputs'!B7,IF(OR('Model inputs'!I32="",'Model inputs'!B7=""),"",'Model inputs'!I32='Model inputs'!B7))</f>
      </c>
    </row>
    <row r="367">
      <c r="A367" t="inlineStr" s="16">
        <is>
          <t xml:space="preserve">Calculation</t>
        </is>
      </c>
      <c r="B367">
        <f>IF(ISERROR('Model inputs'!I22&gt;'Model inputs'!B66),'Model inputs'!I22&gt;'Model inputs'!B66,IF(OR('Model inputs'!I22="",'Model inputs'!B66=""),"",'Model inputs'!I22&gt;'Model inputs'!B66))</f>
      </c>
    </row>
    <row r="368">
      <c r="A368" t="inlineStr" s="16">
        <is>
          <t xml:space="preserve">Calculation</t>
        </is>
      </c>
      <c r="B368">
        <f>IF(ISERROR('Model inputs'!J32='Model inputs'!B7),'Model inputs'!J32='Model inputs'!B7,IF(OR('Model inputs'!J32="",'Model inputs'!B7=""),"",'Model inputs'!J32='Model inputs'!B7))</f>
      </c>
    </row>
    <row r="369">
      <c r="A369" t="inlineStr" s="16">
        <is>
          <t xml:space="preserve">Calculation</t>
        </is>
      </c>
      <c r="B369">
        <f>IF(ISERROR('Model inputs'!J22&gt;'Model inputs'!B66),'Model inputs'!J22&gt;'Model inputs'!B66,IF(OR('Model inputs'!J22="",'Model inputs'!B66=""),"",'Model inputs'!J22&gt;'Model inputs'!B66))</f>
      </c>
    </row>
    <row r="370">
      <c r="A370" t="inlineStr" s="16">
        <is>
          <t xml:space="preserve">Calculation</t>
        </is>
      </c>
      <c r="B370">
        <f>IF(ISERROR('Model inputs'!K32='Model inputs'!B7),'Model inputs'!K32='Model inputs'!B7,IF(OR('Model inputs'!K32="",'Model inputs'!B7=""),"",'Model inputs'!K32='Model inputs'!B7))</f>
      </c>
    </row>
    <row r="371">
      <c r="A371" t="inlineStr" s="16">
        <is>
          <t xml:space="preserve">Calculation</t>
        </is>
      </c>
      <c r="B371">
        <f>IF(ISERROR('Model inputs'!K22&gt;'Model inputs'!B66),'Model inputs'!K22&gt;'Model inputs'!B66,IF(OR('Model inputs'!K22="",'Model inputs'!B66=""),"",'Model inputs'!K22&gt;'Model inputs'!B66))</f>
      </c>
    </row>
    <row r="372">
      <c r="A372" t="inlineStr" s="16">
        <is>
          <t xml:space="preserve">Calculation</t>
        </is>
      </c>
      <c r="B372">
        <f>IF(ISERROR('Model inputs'!L32='Model inputs'!B7),'Model inputs'!L32='Model inputs'!B7,IF(OR('Model inputs'!L32="",'Model inputs'!B7=""),"",'Model inputs'!L32='Model inputs'!B7))</f>
      </c>
    </row>
    <row r="373">
      <c r="A373" t="inlineStr" s="16">
        <is>
          <t xml:space="preserve">Calculation</t>
        </is>
      </c>
      <c r="B373">
        <f>IF(ISERROR('Model inputs'!L22&gt;'Model inputs'!B66),'Model inputs'!L22&gt;'Model inputs'!B66,IF(OR('Model inputs'!L22="",'Model inputs'!B66=""),"",'Model inputs'!L22&gt;'Model inputs'!B66))</f>
      </c>
    </row>
    <row r="374">
      <c r="A374" t="inlineStr" s="16">
        <is>
          <t xml:space="preserve">Calculation</t>
        </is>
      </c>
      <c r="B374">
        <f>IF(ISERROR('Model inputs'!M32='Model inputs'!B7),'Model inputs'!M32='Model inputs'!B7,IF(OR('Model inputs'!M32="",'Model inputs'!B7=""),"",'Model inputs'!M32='Model inputs'!B7))</f>
      </c>
    </row>
    <row r="375">
      <c r="A375" t="inlineStr" s="16">
        <is>
          <t xml:space="preserve">Calculation</t>
        </is>
      </c>
      <c r="B375">
        <f>IF(ISERROR('Model inputs'!M22&gt;'Model inputs'!B66),'Model inputs'!M22&gt;'Model inputs'!B66,IF(OR('Model inputs'!M22="",'Model inputs'!B66=""),"",'Model inputs'!M22&gt;'Model inputs'!B66))</f>
      </c>
    </row>
    <row r="376">
      <c r="A376" t="inlineStr" s="16">
        <is>
          <t xml:space="preserve">Calculation</t>
        </is>
      </c>
      <c r="B376">
        <f>IF(ISERROR('Model inputs'!N32='Model inputs'!B7),'Model inputs'!N32='Model inputs'!B7,IF(OR('Model inputs'!N32="",'Model inputs'!B7=""),"",'Model inputs'!N32='Model inputs'!B7))</f>
      </c>
    </row>
    <row r="377">
      <c r="A377" t="inlineStr" s="16">
        <is>
          <t xml:space="preserve">Calculation</t>
        </is>
      </c>
      <c r="B377">
        <f>IF(ISERROR('Model inputs'!N22&gt;'Model inputs'!B66),'Model inputs'!N22&gt;'Model inputs'!B66,IF(OR('Model inputs'!N22="",'Model inputs'!B66=""),"",'Model inputs'!N22&gt;'Model inputs'!B66))</f>
      </c>
    </row>
    <row r="378">
      <c r="A378" t="inlineStr" s="16">
        <is>
          <t xml:space="preserve">Calculation</t>
        </is>
      </c>
      <c r="B378">
        <f>IF(ISERROR('Model inputs'!O32='Model inputs'!B7),'Model inputs'!O32='Model inputs'!B7,IF(OR('Model inputs'!O32="",'Model inputs'!B7=""),"",'Model inputs'!O32='Model inputs'!B7))</f>
      </c>
    </row>
    <row r="379">
      <c r="A379" t="inlineStr" s="16">
        <is>
          <t xml:space="preserve">Calculation</t>
        </is>
      </c>
      <c r="B379">
        <f>IF(ISERROR('Model inputs'!O22&gt;'Model inputs'!B66),'Model inputs'!O22&gt;'Model inputs'!B66,IF(OR('Model inputs'!O22="",'Model inputs'!B66=""),"",'Model inputs'!O22&gt;'Model inputs'!B66))</f>
      </c>
    </row>
    <row r="380">
      <c r="A380" t="inlineStr" s="16">
        <is>
          <t xml:space="preserve">Calculation</t>
        </is>
      </c>
      <c r="B380">
        <f>IF(ISERROR('Model inputs'!P32='Model inputs'!B7),'Model inputs'!P32='Model inputs'!B7,IF(OR('Model inputs'!P32="",'Model inputs'!B7=""),"",'Model inputs'!P32='Model inputs'!B7))</f>
      </c>
    </row>
    <row r="381">
      <c r="A381" t="inlineStr" s="16">
        <is>
          <t xml:space="preserve">Calculation</t>
        </is>
      </c>
      <c r="B381">
        <f>IF(ISERROR('Model inputs'!P22&gt;'Model inputs'!B66),'Model inputs'!P22&gt;'Model inputs'!B66,IF(OR('Model inputs'!P22="",'Model inputs'!B66=""),"",'Model inputs'!P22&gt;'Model inputs'!B66))</f>
      </c>
    </row>
    <row r="382">
      <c r="A382" t="inlineStr" s="16">
        <is>
          <t xml:space="preserve">Calculation</t>
        </is>
      </c>
      <c r="B382">
        <f>IF(ISERROR('Model inputs'!Q32='Model inputs'!B7),'Model inputs'!Q32='Model inputs'!B7,IF(OR('Model inputs'!Q32="",'Model inputs'!B7=""),"",'Model inputs'!Q32='Model inputs'!B7))</f>
      </c>
    </row>
    <row r="383">
      <c r="A383" t="inlineStr" s="16">
        <is>
          <t xml:space="preserve">Calculation</t>
        </is>
      </c>
      <c r="B383">
        <f>IF(ISERROR('Model inputs'!Q22&gt;'Model inputs'!B66),'Model inputs'!Q22&gt;'Model inputs'!B66,IF(OR('Model inputs'!Q22="",'Model inputs'!B66=""),"",'Model inputs'!Q22&gt;'Model inputs'!B66))</f>
      </c>
    </row>
    <row r="384">
      <c r="A384" t="inlineStr" s="16">
        <is>
          <t xml:space="preserve">Calculation</t>
        </is>
      </c>
      <c r="B384">
        <f>IF(ISERROR('Model inputs'!R32='Model inputs'!B7),'Model inputs'!R32='Model inputs'!B7,IF(OR('Model inputs'!R32="",'Model inputs'!B7=""),"",'Model inputs'!R32='Model inputs'!B7))</f>
      </c>
    </row>
    <row r="385">
      <c r="A385" t="inlineStr" s="16">
        <is>
          <t xml:space="preserve">Calculation</t>
        </is>
      </c>
      <c r="B385">
        <f>IF(ISERROR('Model inputs'!R22&gt;'Model inputs'!B66),'Model inputs'!R22&gt;'Model inputs'!B66,IF(OR('Model inputs'!R22="",'Model inputs'!B66=""),"",'Model inputs'!R22&gt;'Model inputs'!B66))</f>
      </c>
    </row>
    <row r="386">
      <c r="A386" t="inlineStr" s="16">
        <is>
          <t xml:space="preserve">Calculation</t>
        </is>
      </c>
      <c r="B386">
        <f>IF(ISERROR('Model inputs'!S32='Model inputs'!B7),'Model inputs'!S32='Model inputs'!B7,IF(OR('Model inputs'!S32="",'Model inputs'!B7=""),"",'Model inputs'!S32='Model inputs'!B7))</f>
      </c>
    </row>
    <row r="387">
      <c r="A387" t="inlineStr" s="16">
        <is>
          <t xml:space="preserve">Calculation</t>
        </is>
      </c>
      <c r="B387">
        <f>IF(ISERROR('Model inputs'!S22&gt;'Model inputs'!B66),'Model inputs'!S22&gt;'Model inputs'!B66,IF(OR('Model inputs'!S22="",'Model inputs'!B66=""),"",'Model inputs'!S22&gt;'Model inputs'!B66))</f>
      </c>
    </row>
    <row r="388">
      <c r="A388" t="inlineStr" s="16">
        <is>
          <t xml:space="preserve">Calculation</t>
        </is>
      </c>
      <c r="B388">
        <f>IF(ISERROR('Model inputs'!T32='Model inputs'!B7),'Model inputs'!T32='Model inputs'!B7,IF(OR('Model inputs'!T32="",'Model inputs'!B7=""),"",'Model inputs'!T32='Model inputs'!B7))</f>
      </c>
    </row>
    <row r="389">
      <c r="A389" t="inlineStr" s="16">
        <is>
          <t xml:space="preserve">Calculation</t>
        </is>
      </c>
      <c r="B389">
        <f>IF(ISERROR('Model inputs'!T22&gt;'Model inputs'!B66),'Model inputs'!T22&gt;'Model inputs'!B66,IF(OR('Model inputs'!T22="",'Model inputs'!B66=""),"",'Model inputs'!T22&gt;'Model inputs'!B66))</f>
      </c>
    </row>
    <row r="390">
      <c r="A390" t="inlineStr" s="16">
        <is>
          <t xml:space="preserve">Calculation</t>
        </is>
      </c>
      <c r="B390">
        <f>IF(ISERROR('Model inputs'!U32='Model inputs'!B7),'Model inputs'!U32='Model inputs'!B7,IF(OR('Model inputs'!U32="",'Model inputs'!B7=""),"",'Model inputs'!U32='Model inputs'!B7))</f>
      </c>
    </row>
    <row r="391">
      <c r="A391" t="inlineStr" s="16">
        <is>
          <t xml:space="preserve">Calculation</t>
        </is>
      </c>
      <c r="B391">
        <f>IF(ISERROR('Model inputs'!U22&gt;'Model inputs'!B66),'Model inputs'!U22&gt;'Model inputs'!B66,IF(OR('Model inputs'!U22="",'Model inputs'!B66=""),"",'Model inputs'!U22&gt;'Model inputs'!B66))</f>
      </c>
    </row>
    <row r="392">
      <c r="A392" t="inlineStr" s="16">
        <is>
          <t xml:space="preserve">Calculation</t>
        </is>
      </c>
      <c r="B392">
        <f>IF(ISERROR('Model inputs'!V32='Model inputs'!B7),'Model inputs'!V32='Model inputs'!B7,IF(OR('Model inputs'!V32="",'Model inputs'!B7=""),"",'Model inputs'!V32='Model inputs'!B7))</f>
      </c>
    </row>
    <row r="393">
      <c r="A393" t="inlineStr" s="16">
        <is>
          <t xml:space="preserve">Calculation</t>
        </is>
      </c>
      <c r="B393">
        <f>IF(ISERROR('Model inputs'!V22&gt;'Model inputs'!B66),'Model inputs'!V22&gt;'Model inputs'!B66,IF(OR('Model inputs'!V22="",'Model inputs'!B66=""),"",'Model inputs'!V22&gt;'Model inputs'!B66))</f>
      </c>
    </row>
    <row r="394">
      <c r="A394" t="inlineStr" s="16">
        <is>
          <t xml:space="preserve">Calculation</t>
        </is>
      </c>
      <c r="B394">
        <f>IF(ISERROR('Model inputs'!C32='Model inputs'!B7),'Model inputs'!C32='Model inputs'!B7,IF(OR('Model inputs'!C32="",'Model inputs'!B7=""),"",'Model inputs'!C32='Model inputs'!B7))</f>
      </c>
    </row>
    <row r="395">
      <c r="A395" t="inlineStr" s="16">
        <is>
          <t xml:space="preserve">Calculation</t>
        </is>
      </c>
      <c r="B395">
        <f>IF(ISERROR('Model inputs'!C22&gt;'Model inputs'!B66),'Model inputs'!C22&gt;'Model inputs'!B66,IF(OR('Model inputs'!C22="",'Model inputs'!B66=""),"",'Model inputs'!C22&gt;'Model inputs'!B66))</f>
      </c>
    </row>
    <row r="396">
      <c r="A396" t="inlineStr" s="16">
        <is>
          <t xml:space="preserve">Calculation</t>
        </is>
      </c>
      <c r="B396">
        <f>IF(ISERROR('Model inputs'!D32='Model inputs'!B7),'Model inputs'!D32='Model inputs'!B7,IF(OR('Model inputs'!D32="",'Model inputs'!B7=""),"",'Model inputs'!D32='Model inputs'!B7))</f>
      </c>
    </row>
    <row r="397">
      <c r="A397" t="inlineStr" s="16">
        <is>
          <t xml:space="preserve">Calculation</t>
        </is>
      </c>
      <c r="B397">
        <f>IF(ISERROR('Model inputs'!D22&gt;'Model inputs'!B66),'Model inputs'!D22&gt;'Model inputs'!B66,IF(OR('Model inputs'!D22="",'Model inputs'!B66=""),"",'Model inputs'!D22&gt;'Model inputs'!B66))</f>
      </c>
    </row>
    <row r="398">
      <c r="A398" t="inlineStr" s="16">
        <is>
          <t xml:space="preserve">Calculation</t>
        </is>
      </c>
      <c r="B398">
        <f>IF(ISERROR('Model inputs'!C32&lt;='Model inputs'!B117),'Model inputs'!C32&lt;='Model inputs'!B117,IF(OR('Model inputs'!C32="",'Model inputs'!B117=""),"",'Model inputs'!C32&lt;='Model inputs'!B117))</f>
      </c>
    </row>
    <row r="399">
      <c r="A399" t="inlineStr" s="16">
        <is>
          <t xml:space="preserve">Calculation</t>
        </is>
      </c>
      <c r="B399">
        <f>IF(ISERROR('Model inputs'!C32&gt;='Model inputs'!B153),'Model inputs'!C32&gt;='Model inputs'!B153,IF(OR('Model inputs'!C32="",'Model inputs'!B153=""),"",'Model inputs'!C32&gt;='Model inputs'!B153))</f>
      </c>
    </row>
    <row r="400">
      <c r="A400" t="inlineStr" s="16">
        <is>
          <t xml:space="preserve">Calculation</t>
        </is>
      </c>
      <c r="B400">
        <f>(IF(IFERROR(IF(ISERROR('Model inputs'!B117=0),'Model inputs'!B117=0,IF('Model inputs'!B117="","",'Model inputs'!B117=0))=TRUE,FALSE),TRUE,IF(IFERROR('Model inputs'!B398=TRUE,FALSE),TRUE,IF(OR(IF(ISERROR('Model inputs'!B117=0),'Model inputs'!B117=0,IF('Model inputs'!B117="","",'Model inputs'!B117=0))="",'Model inputs'!B398=""),"",OR(IF(ISERROR('Model inputs'!B117=0),'Model inputs'!B117=0,IF('Model inputs'!B117="","",'Model inputs'!B117=0)),'Model inputs'!B398)))))</f>
      </c>
    </row>
    <row r="401">
      <c r="A401" t="inlineStr" s="16">
        <is>
          <t xml:space="preserve">Calculation</t>
        </is>
      </c>
      <c r="B401">
        <f>IF(ISERROR('Model inputs'!D32&lt;='Model inputs'!B117),'Model inputs'!D32&lt;='Model inputs'!B117,IF(OR('Model inputs'!D32="",'Model inputs'!B117=""),"",'Model inputs'!D32&lt;='Model inputs'!B117))</f>
      </c>
    </row>
    <row r="402">
      <c r="A402" t="inlineStr" s="16">
        <is>
          <t xml:space="preserve">Calculation</t>
        </is>
      </c>
      <c r="B402">
        <f>IF(ISERROR('Model inputs'!D32&gt;='Model inputs'!B153),'Model inputs'!D32&gt;='Model inputs'!B153,IF(OR('Model inputs'!D32="",'Model inputs'!B153=""),"",'Model inputs'!D32&gt;='Model inputs'!B153))</f>
      </c>
    </row>
    <row r="403">
      <c r="A403" t="inlineStr" s="16">
        <is>
          <t xml:space="preserve">Calculation</t>
        </is>
      </c>
      <c r="B403">
        <f>(IF(IFERROR(IF(ISERROR('Model inputs'!B117=0),'Model inputs'!B117=0,IF('Model inputs'!B117="","",'Model inputs'!B117=0))=TRUE,FALSE),TRUE,IF(IFERROR('Model inputs'!B401=TRUE,FALSE),TRUE,IF(OR(IF(ISERROR('Model inputs'!B117=0),'Model inputs'!B117=0,IF('Model inputs'!B117="","",'Model inputs'!B117=0))="",'Model inputs'!B401=""),"",OR(IF(ISERROR('Model inputs'!B117=0),'Model inputs'!B117=0,IF('Model inputs'!B117="","",'Model inputs'!B117=0)),'Model inputs'!B401)))))</f>
      </c>
    </row>
    <row r="404">
      <c r="A404" t="inlineStr" s="16">
        <is>
          <t xml:space="preserve">Calculation</t>
        </is>
      </c>
      <c r="B404">
        <f>IF(ISERROR('Model inputs'!E32&lt;='Model inputs'!B117),'Model inputs'!E32&lt;='Model inputs'!B117,IF(OR('Model inputs'!E32="",'Model inputs'!B117=""),"",'Model inputs'!E32&lt;='Model inputs'!B117))</f>
      </c>
    </row>
    <row r="405">
      <c r="A405" t="inlineStr" s="16">
        <is>
          <t xml:space="preserve">Calculation</t>
        </is>
      </c>
      <c r="B405">
        <f>IF(ISERROR('Model inputs'!E32&gt;='Model inputs'!B153),'Model inputs'!E32&gt;='Model inputs'!B153,IF(OR('Model inputs'!E32="",'Model inputs'!B153=""),"",'Model inputs'!E32&gt;='Model inputs'!B153))</f>
      </c>
    </row>
    <row r="406">
      <c r="A406" t="inlineStr" s="16">
        <is>
          <t xml:space="preserve">Calculation</t>
        </is>
      </c>
      <c r="B406">
        <f>(IF(IFERROR(IF(ISERROR('Model inputs'!B117=0),'Model inputs'!B117=0,IF('Model inputs'!B117="","",'Model inputs'!B117=0))=TRUE,FALSE),TRUE,IF(IFERROR('Model inputs'!B404=TRUE,FALSE),TRUE,IF(OR(IF(ISERROR('Model inputs'!B117=0),'Model inputs'!B117=0,IF('Model inputs'!B117="","",'Model inputs'!B117=0))="",'Model inputs'!B404=""),"",OR(IF(ISERROR('Model inputs'!B117=0),'Model inputs'!B117=0,IF('Model inputs'!B117="","",'Model inputs'!B117=0)),'Model inputs'!B404)))))</f>
      </c>
    </row>
    <row r="407">
      <c r="A407" t="inlineStr" s="16">
        <is>
          <t xml:space="preserve">Calculation</t>
        </is>
      </c>
      <c r="B407">
        <f>IF(ISERROR('Model inputs'!F32&lt;='Model inputs'!B117),'Model inputs'!F32&lt;='Model inputs'!B117,IF(OR('Model inputs'!F32="",'Model inputs'!B117=""),"",'Model inputs'!F32&lt;='Model inputs'!B117))</f>
      </c>
    </row>
    <row r="408">
      <c r="A408" t="inlineStr" s="16">
        <is>
          <t xml:space="preserve">Calculation</t>
        </is>
      </c>
      <c r="B408">
        <f>IF(ISERROR('Model inputs'!F32&gt;='Model inputs'!B153),'Model inputs'!F32&gt;='Model inputs'!B153,IF(OR('Model inputs'!F32="",'Model inputs'!B153=""),"",'Model inputs'!F32&gt;='Model inputs'!B153))</f>
      </c>
    </row>
    <row r="409">
      <c r="A409" t="inlineStr" s="16">
        <is>
          <t xml:space="preserve">Calculation</t>
        </is>
      </c>
      <c r="B409">
        <f>(IF(IFERROR(IF(ISERROR('Model inputs'!B117=0),'Model inputs'!B117=0,IF('Model inputs'!B117="","",'Model inputs'!B117=0))=TRUE,FALSE),TRUE,IF(IFERROR('Model inputs'!B407=TRUE,FALSE),TRUE,IF(OR(IF(ISERROR('Model inputs'!B117=0),'Model inputs'!B117=0,IF('Model inputs'!B117="","",'Model inputs'!B117=0))="",'Model inputs'!B407=""),"",OR(IF(ISERROR('Model inputs'!B117=0),'Model inputs'!B117=0,IF('Model inputs'!B117="","",'Model inputs'!B117=0)),'Model inputs'!B407)))))</f>
      </c>
    </row>
    <row r="410">
      <c r="A410" t="inlineStr" s="16">
        <is>
          <t xml:space="preserve">Calculation</t>
        </is>
      </c>
      <c r="B410">
        <f>IF(ISERROR('Model inputs'!G32&lt;='Model inputs'!B117),'Model inputs'!G32&lt;='Model inputs'!B117,IF(OR('Model inputs'!G32="",'Model inputs'!B117=""),"",'Model inputs'!G32&lt;='Model inputs'!B117))</f>
      </c>
    </row>
    <row r="411">
      <c r="A411" t="inlineStr" s="16">
        <is>
          <t xml:space="preserve">Calculation</t>
        </is>
      </c>
      <c r="B411">
        <f>IF(ISERROR('Model inputs'!G32&gt;='Model inputs'!B153),'Model inputs'!G32&gt;='Model inputs'!B153,IF(OR('Model inputs'!G32="",'Model inputs'!B153=""),"",'Model inputs'!G32&gt;='Model inputs'!B153))</f>
      </c>
    </row>
    <row r="412">
      <c r="A412" t="inlineStr" s="16">
        <is>
          <t xml:space="preserve">Calculation</t>
        </is>
      </c>
      <c r="B412">
        <f>(IF(IFERROR(IF(ISERROR('Model inputs'!B117=0),'Model inputs'!B117=0,IF('Model inputs'!B117="","",'Model inputs'!B117=0))=TRUE,FALSE),TRUE,IF(IFERROR('Model inputs'!B410=TRUE,FALSE),TRUE,IF(OR(IF(ISERROR('Model inputs'!B117=0),'Model inputs'!B117=0,IF('Model inputs'!B117="","",'Model inputs'!B117=0))="",'Model inputs'!B410=""),"",OR(IF(ISERROR('Model inputs'!B117=0),'Model inputs'!B117=0,IF('Model inputs'!B117="","",'Model inputs'!B117=0)),'Model inputs'!B410)))))</f>
      </c>
    </row>
    <row r="413">
      <c r="A413" t="inlineStr" s="16">
        <is>
          <t xml:space="preserve">Calculation</t>
        </is>
      </c>
      <c r="B413">
        <f>IF(ISERROR('Model inputs'!H32&lt;='Model inputs'!B117),'Model inputs'!H32&lt;='Model inputs'!B117,IF(OR('Model inputs'!H32="",'Model inputs'!B117=""),"",'Model inputs'!H32&lt;='Model inputs'!B117))</f>
      </c>
    </row>
    <row r="414">
      <c r="A414" t="inlineStr" s="16">
        <is>
          <t xml:space="preserve">Calculation</t>
        </is>
      </c>
      <c r="B414">
        <f>IF(ISERROR('Model inputs'!H32&gt;='Model inputs'!B153),'Model inputs'!H32&gt;='Model inputs'!B153,IF(OR('Model inputs'!H32="",'Model inputs'!B153=""),"",'Model inputs'!H32&gt;='Model inputs'!B153))</f>
      </c>
    </row>
    <row r="415">
      <c r="A415" t="inlineStr" s="16">
        <is>
          <t xml:space="preserve">Calculation</t>
        </is>
      </c>
      <c r="B415">
        <f>(IF(IFERROR(IF(ISERROR('Model inputs'!B117=0),'Model inputs'!B117=0,IF('Model inputs'!B117="","",'Model inputs'!B117=0))=TRUE,FALSE),TRUE,IF(IFERROR('Model inputs'!B413=TRUE,FALSE),TRUE,IF(OR(IF(ISERROR('Model inputs'!B117=0),'Model inputs'!B117=0,IF('Model inputs'!B117="","",'Model inputs'!B117=0))="",'Model inputs'!B413=""),"",OR(IF(ISERROR('Model inputs'!B117=0),'Model inputs'!B117=0,IF('Model inputs'!B117="","",'Model inputs'!B117=0)),'Model inputs'!B413)))))</f>
      </c>
    </row>
    <row r="416">
      <c r="A416" t="inlineStr" s="16">
        <is>
          <t xml:space="preserve">Calculation</t>
        </is>
      </c>
      <c r="B416">
        <f>IF(ISERROR('Model inputs'!I32&lt;='Model inputs'!B117),'Model inputs'!I32&lt;='Model inputs'!B117,IF(OR('Model inputs'!I32="",'Model inputs'!B117=""),"",'Model inputs'!I32&lt;='Model inputs'!B117))</f>
      </c>
    </row>
    <row r="417">
      <c r="A417" t="inlineStr" s="16">
        <is>
          <t xml:space="preserve">Calculation</t>
        </is>
      </c>
      <c r="B417">
        <f>IF(ISERROR('Model inputs'!I32&gt;='Model inputs'!B153),'Model inputs'!I32&gt;='Model inputs'!B153,IF(OR('Model inputs'!I32="",'Model inputs'!B153=""),"",'Model inputs'!I32&gt;='Model inputs'!B153))</f>
      </c>
    </row>
    <row r="418">
      <c r="A418" t="inlineStr" s="16">
        <is>
          <t xml:space="preserve">Calculation</t>
        </is>
      </c>
      <c r="B418">
        <f>(IF(IFERROR(IF(ISERROR('Model inputs'!B117=0),'Model inputs'!B117=0,IF('Model inputs'!B117="","",'Model inputs'!B117=0))=TRUE,FALSE),TRUE,IF(IFERROR('Model inputs'!B416=TRUE,FALSE),TRUE,IF(OR(IF(ISERROR('Model inputs'!B117=0),'Model inputs'!B117=0,IF('Model inputs'!B117="","",'Model inputs'!B117=0))="",'Model inputs'!B416=""),"",OR(IF(ISERROR('Model inputs'!B117=0),'Model inputs'!B117=0,IF('Model inputs'!B117="","",'Model inputs'!B117=0)),'Model inputs'!B416)))))</f>
      </c>
    </row>
    <row r="419">
      <c r="A419" t="inlineStr" s="16">
        <is>
          <t xml:space="preserve">Calculation</t>
        </is>
      </c>
      <c r="B419">
        <f>IF(ISERROR('Model inputs'!J32&lt;='Model inputs'!B117),'Model inputs'!J32&lt;='Model inputs'!B117,IF(OR('Model inputs'!J32="",'Model inputs'!B117=""),"",'Model inputs'!J32&lt;='Model inputs'!B117))</f>
      </c>
    </row>
    <row r="420">
      <c r="A420" t="inlineStr" s="16">
        <is>
          <t xml:space="preserve">Calculation</t>
        </is>
      </c>
      <c r="B420">
        <f>IF(ISERROR('Model inputs'!J32&gt;='Model inputs'!B153),'Model inputs'!J32&gt;='Model inputs'!B153,IF(OR('Model inputs'!J32="",'Model inputs'!B153=""),"",'Model inputs'!J32&gt;='Model inputs'!B153))</f>
      </c>
    </row>
    <row r="421">
      <c r="A421" t="inlineStr" s="16">
        <is>
          <t xml:space="preserve">Calculation</t>
        </is>
      </c>
      <c r="B421">
        <f>(IF(IFERROR(IF(ISERROR('Model inputs'!B117=0),'Model inputs'!B117=0,IF('Model inputs'!B117="","",'Model inputs'!B117=0))=TRUE,FALSE),TRUE,IF(IFERROR('Model inputs'!B419=TRUE,FALSE),TRUE,IF(OR(IF(ISERROR('Model inputs'!B117=0),'Model inputs'!B117=0,IF('Model inputs'!B117="","",'Model inputs'!B117=0))="",'Model inputs'!B419=""),"",OR(IF(ISERROR('Model inputs'!B117=0),'Model inputs'!B117=0,IF('Model inputs'!B117="","",'Model inputs'!B117=0)),'Model inputs'!B419)))))</f>
      </c>
    </row>
    <row r="422">
      <c r="A422" t="inlineStr" s="16">
        <is>
          <t xml:space="preserve">Calculation</t>
        </is>
      </c>
      <c r="B422">
        <f>IF(ISERROR('Model inputs'!K32&lt;='Model inputs'!B117),'Model inputs'!K32&lt;='Model inputs'!B117,IF(OR('Model inputs'!K32="",'Model inputs'!B117=""),"",'Model inputs'!K32&lt;='Model inputs'!B117))</f>
      </c>
    </row>
    <row r="423">
      <c r="A423" t="inlineStr" s="16">
        <is>
          <t xml:space="preserve">Calculation</t>
        </is>
      </c>
      <c r="B423">
        <f>IF(ISERROR('Model inputs'!K32&gt;='Model inputs'!B153),'Model inputs'!K32&gt;='Model inputs'!B153,IF(OR('Model inputs'!K32="",'Model inputs'!B153=""),"",'Model inputs'!K32&gt;='Model inputs'!B153))</f>
      </c>
    </row>
    <row r="424">
      <c r="A424" t="inlineStr" s="16">
        <is>
          <t xml:space="preserve">Calculation</t>
        </is>
      </c>
      <c r="B424">
        <f>(IF(IFERROR(IF(ISERROR('Model inputs'!B117=0),'Model inputs'!B117=0,IF('Model inputs'!B117="","",'Model inputs'!B117=0))=TRUE,FALSE),TRUE,IF(IFERROR('Model inputs'!B422=TRUE,FALSE),TRUE,IF(OR(IF(ISERROR('Model inputs'!B117=0),'Model inputs'!B117=0,IF('Model inputs'!B117="","",'Model inputs'!B117=0))="",'Model inputs'!B422=""),"",OR(IF(ISERROR('Model inputs'!B117=0),'Model inputs'!B117=0,IF('Model inputs'!B117="","",'Model inputs'!B117=0)),'Model inputs'!B422)))))</f>
      </c>
    </row>
    <row r="425">
      <c r="A425" t="inlineStr" s="16">
        <is>
          <t xml:space="preserve">Calculation</t>
        </is>
      </c>
      <c r="B425">
        <f>IF(ISERROR('Model inputs'!L32&lt;='Model inputs'!B117),'Model inputs'!L32&lt;='Model inputs'!B117,IF(OR('Model inputs'!L32="",'Model inputs'!B117=""),"",'Model inputs'!L32&lt;='Model inputs'!B117))</f>
      </c>
    </row>
    <row r="426">
      <c r="A426" t="inlineStr" s="16">
        <is>
          <t xml:space="preserve">Calculation</t>
        </is>
      </c>
      <c r="B426">
        <f>IF(ISERROR('Model inputs'!L32&gt;='Model inputs'!B153),'Model inputs'!L32&gt;='Model inputs'!B153,IF(OR('Model inputs'!L32="",'Model inputs'!B153=""),"",'Model inputs'!L32&gt;='Model inputs'!B153))</f>
      </c>
    </row>
    <row r="427">
      <c r="A427" t="inlineStr" s="16">
        <is>
          <t xml:space="preserve">Calculation</t>
        </is>
      </c>
      <c r="B427">
        <f>(IF(IFERROR(IF(ISERROR('Model inputs'!B117=0),'Model inputs'!B117=0,IF('Model inputs'!B117="","",'Model inputs'!B117=0))=TRUE,FALSE),TRUE,IF(IFERROR('Model inputs'!B425=TRUE,FALSE),TRUE,IF(OR(IF(ISERROR('Model inputs'!B117=0),'Model inputs'!B117=0,IF('Model inputs'!B117="","",'Model inputs'!B117=0))="",'Model inputs'!B425=""),"",OR(IF(ISERROR('Model inputs'!B117=0),'Model inputs'!B117=0,IF('Model inputs'!B117="","",'Model inputs'!B117=0)),'Model inputs'!B425)))))</f>
      </c>
    </row>
    <row r="428">
      <c r="A428" t="inlineStr" s="16">
        <is>
          <t xml:space="preserve">Calculation</t>
        </is>
      </c>
      <c r="B428">
        <f>IF(ISERROR('Model inputs'!M32&lt;='Model inputs'!B117),'Model inputs'!M32&lt;='Model inputs'!B117,IF(OR('Model inputs'!M32="",'Model inputs'!B117=""),"",'Model inputs'!M32&lt;='Model inputs'!B117))</f>
      </c>
    </row>
    <row r="429">
      <c r="A429" t="inlineStr" s="16">
        <is>
          <t xml:space="preserve">Calculation</t>
        </is>
      </c>
      <c r="B429">
        <f>IF(ISERROR('Model inputs'!M32&gt;='Model inputs'!B153),'Model inputs'!M32&gt;='Model inputs'!B153,IF(OR('Model inputs'!M32="",'Model inputs'!B153=""),"",'Model inputs'!M32&gt;='Model inputs'!B153))</f>
      </c>
    </row>
    <row r="430">
      <c r="A430" t="inlineStr" s="16">
        <is>
          <t xml:space="preserve">Calculation</t>
        </is>
      </c>
      <c r="B430">
        <f>(IF(IFERROR(IF(ISERROR('Model inputs'!B117=0),'Model inputs'!B117=0,IF('Model inputs'!B117="","",'Model inputs'!B117=0))=TRUE,FALSE),TRUE,IF(IFERROR('Model inputs'!B428=TRUE,FALSE),TRUE,IF(OR(IF(ISERROR('Model inputs'!B117=0),'Model inputs'!B117=0,IF('Model inputs'!B117="","",'Model inputs'!B117=0))="",'Model inputs'!B428=""),"",OR(IF(ISERROR('Model inputs'!B117=0),'Model inputs'!B117=0,IF('Model inputs'!B117="","",'Model inputs'!B117=0)),'Model inputs'!B428)))))</f>
      </c>
    </row>
    <row r="431">
      <c r="A431" t="inlineStr" s="16">
        <is>
          <t xml:space="preserve">Calculation</t>
        </is>
      </c>
      <c r="B431">
        <f>IF(ISERROR('Model inputs'!N32&lt;='Model inputs'!B117),'Model inputs'!N32&lt;='Model inputs'!B117,IF(OR('Model inputs'!N32="",'Model inputs'!B117=""),"",'Model inputs'!N32&lt;='Model inputs'!B117))</f>
      </c>
    </row>
    <row r="432">
      <c r="A432" t="inlineStr" s="16">
        <is>
          <t xml:space="preserve">Calculation</t>
        </is>
      </c>
      <c r="B432">
        <f>IF(ISERROR('Model inputs'!N32&gt;='Model inputs'!B153),'Model inputs'!N32&gt;='Model inputs'!B153,IF(OR('Model inputs'!N32="",'Model inputs'!B153=""),"",'Model inputs'!N32&gt;='Model inputs'!B153))</f>
      </c>
    </row>
    <row r="433">
      <c r="A433" t="inlineStr" s="16">
        <is>
          <t xml:space="preserve">Calculation</t>
        </is>
      </c>
      <c r="B433">
        <f>(IF(IFERROR(IF(ISERROR('Model inputs'!B117=0),'Model inputs'!B117=0,IF('Model inputs'!B117="","",'Model inputs'!B117=0))=TRUE,FALSE),TRUE,IF(IFERROR('Model inputs'!B431=TRUE,FALSE),TRUE,IF(OR(IF(ISERROR('Model inputs'!B117=0),'Model inputs'!B117=0,IF('Model inputs'!B117="","",'Model inputs'!B117=0))="",'Model inputs'!B431=""),"",OR(IF(ISERROR('Model inputs'!B117=0),'Model inputs'!B117=0,IF('Model inputs'!B117="","",'Model inputs'!B117=0)),'Model inputs'!B431)))))</f>
      </c>
    </row>
    <row r="434">
      <c r="A434" t="inlineStr" s="16">
        <is>
          <t xml:space="preserve">Calculation</t>
        </is>
      </c>
      <c r="B434">
        <f>IF(ISERROR('Model inputs'!O32&lt;='Model inputs'!B117),'Model inputs'!O32&lt;='Model inputs'!B117,IF(OR('Model inputs'!O32="",'Model inputs'!B117=""),"",'Model inputs'!O32&lt;='Model inputs'!B117))</f>
      </c>
    </row>
    <row r="435">
      <c r="A435" t="inlineStr" s="16">
        <is>
          <t xml:space="preserve">Calculation</t>
        </is>
      </c>
      <c r="B435">
        <f>IF(ISERROR('Model inputs'!O32&gt;='Model inputs'!B153),'Model inputs'!O32&gt;='Model inputs'!B153,IF(OR('Model inputs'!O32="",'Model inputs'!B153=""),"",'Model inputs'!O32&gt;='Model inputs'!B153))</f>
      </c>
    </row>
    <row r="436">
      <c r="A436" t="inlineStr" s="16">
        <is>
          <t xml:space="preserve">Calculation</t>
        </is>
      </c>
      <c r="B436">
        <f>(IF(IFERROR(IF(ISERROR('Model inputs'!B117=0),'Model inputs'!B117=0,IF('Model inputs'!B117="","",'Model inputs'!B117=0))=TRUE,FALSE),TRUE,IF(IFERROR('Model inputs'!B434=TRUE,FALSE),TRUE,IF(OR(IF(ISERROR('Model inputs'!B117=0),'Model inputs'!B117=0,IF('Model inputs'!B117="","",'Model inputs'!B117=0))="",'Model inputs'!B434=""),"",OR(IF(ISERROR('Model inputs'!B117=0),'Model inputs'!B117=0,IF('Model inputs'!B117="","",'Model inputs'!B117=0)),'Model inputs'!B434)))))</f>
      </c>
    </row>
    <row r="437">
      <c r="A437" t="inlineStr" s="16">
        <is>
          <t xml:space="preserve">Calculation</t>
        </is>
      </c>
      <c r="B437">
        <f>IF(ISERROR('Model inputs'!P32&lt;='Model inputs'!B117),'Model inputs'!P32&lt;='Model inputs'!B117,IF(OR('Model inputs'!P32="",'Model inputs'!B117=""),"",'Model inputs'!P32&lt;='Model inputs'!B117))</f>
      </c>
    </row>
    <row r="438">
      <c r="A438" t="inlineStr" s="16">
        <is>
          <t xml:space="preserve">Calculation</t>
        </is>
      </c>
      <c r="B438">
        <f>IF(ISERROR('Model inputs'!P32&gt;='Model inputs'!B153),'Model inputs'!P32&gt;='Model inputs'!B153,IF(OR('Model inputs'!P32="",'Model inputs'!B153=""),"",'Model inputs'!P32&gt;='Model inputs'!B153))</f>
      </c>
    </row>
    <row r="439">
      <c r="A439" t="inlineStr" s="16">
        <is>
          <t xml:space="preserve">Calculation</t>
        </is>
      </c>
      <c r="B439">
        <f>(IF(IFERROR(IF(ISERROR('Model inputs'!B117=0),'Model inputs'!B117=0,IF('Model inputs'!B117="","",'Model inputs'!B117=0))=TRUE,FALSE),TRUE,IF(IFERROR('Model inputs'!B437=TRUE,FALSE),TRUE,IF(OR(IF(ISERROR('Model inputs'!B117=0),'Model inputs'!B117=0,IF('Model inputs'!B117="","",'Model inputs'!B117=0))="",'Model inputs'!B437=""),"",OR(IF(ISERROR('Model inputs'!B117=0),'Model inputs'!B117=0,IF('Model inputs'!B117="","",'Model inputs'!B117=0)),'Model inputs'!B437)))))</f>
      </c>
    </row>
    <row r="440">
      <c r="A440" t="inlineStr" s="16">
        <is>
          <t xml:space="preserve">Calculation</t>
        </is>
      </c>
      <c r="B440">
        <f>IF(ISERROR('Model inputs'!Q32&lt;='Model inputs'!B117),'Model inputs'!Q32&lt;='Model inputs'!B117,IF(OR('Model inputs'!Q32="",'Model inputs'!B117=""),"",'Model inputs'!Q32&lt;='Model inputs'!B117))</f>
      </c>
    </row>
    <row r="441">
      <c r="A441" t="inlineStr" s="16">
        <is>
          <t xml:space="preserve">Calculation</t>
        </is>
      </c>
      <c r="B441">
        <f>IF(ISERROR('Model inputs'!Q32&gt;='Model inputs'!B153),'Model inputs'!Q32&gt;='Model inputs'!B153,IF(OR('Model inputs'!Q32="",'Model inputs'!B153=""),"",'Model inputs'!Q32&gt;='Model inputs'!B153))</f>
      </c>
    </row>
    <row r="442">
      <c r="A442" t="inlineStr" s="16">
        <is>
          <t xml:space="preserve">Calculation</t>
        </is>
      </c>
      <c r="B442">
        <f>(IF(IFERROR(IF(ISERROR('Model inputs'!B117=0),'Model inputs'!B117=0,IF('Model inputs'!B117="","",'Model inputs'!B117=0))=TRUE,FALSE),TRUE,IF(IFERROR('Model inputs'!B440=TRUE,FALSE),TRUE,IF(OR(IF(ISERROR('Model inputs'!B117=0),'Model inputs'!B117=0,IF('Model inputs'!B117="","",'Model inputs'!B117=0))="",'Model inputs'!B440=""),"",OR(IF(ISERROR('Model inputs'!B117=0),'Model inputs'!B117=0,IF('Model inputs'!B117="","",'Model inputs'!B117=0)),'Model inputs'!B440)))))</f>
      </c>
    </row>
    <row r="443">
      <c r="A443" t="inlineStr" s="16">
        <is>
          <t xml:space="preserve">Calculation</t>
        </is>
      </c>
      <c r="B443">
        <f>IF(ISERROR('Model inputs'!R32&lt;='Model inputs'!B117),'Model inputs'!R32&lt;='Model inputs'!B117,IF(OR('Model inputs'!R32="",'Model inputs'!B117=""),"",'Model inputs'!R32&lt;='Model inputs'!B117))</f>
      </c>
    </row>
    <row r="444">
      <c r="A444" t="inlineStr" s="16">
        <is>
          <t xml:space="preserve">Calculation</t>
        </is>
      </c>
      <c r="B444">
        <f>IF(ISERROR('Model inputs'!R32&gt;='Model inputs'!B153),'Model inputs'!R32&gt;='Model inputs'!B153,IF(OR('Model inputs'!R32="",'Model inputs'!B153=""),"",'Model inputs'!R32&gt;='Model inputs'!B153))</f>
      </c>
    </row>
    <row r="445">
      <c r="A445" t="inlineStr" s="16">
        <is>
          <t xml:space="preserve">Calculation</t>
        </is>
      </c>
      <c r="B445">
        <f>(IF(IFERROR(IF(ISERROR('Model inputs'!B117=0),'Model inputs'!B117=0,IF('Model inputs'!B117="","",'Model inputs'!B117=0))=TRUE,FALSE),TRUE,IF(IFERROR('Model inputs'!B443=TRUE,FALSE),TRUE,IF(OR(IF(ISERROR('Model inputs'!B117=0),'Model inputs'!B117=0,IF('Model inputs'!B117="","",'Model inputs'!B117=0))="",'Model inputs'!B443=""),"",OR(IF(ISERROR('Model inputs'!B117=0),'Model inputs'!B117=0,IF('Model inputs'!B117="","",'Model inputs'!B117=0)),'Model inputs'!B443)))))</f>
      </c>
    </row>
    <row r="446">
      <c r="A446" t="inlineStr" s="16">
        <is>
          <t xml:space="preserve">Calculation</t>
        </is>
      </c>
      <c r="B446">
        <f>IF(ISERROR('Model inputs'!S32&lt;='Model inputs'!B117),'Model inputs'!S32&lt;='Model inputs'!B117,IF(OR('Model inputs'!S32="",'Model inputs'!B117=""),"",'Model inputs'!S32&lt;='Model inputs'!B117))</f>
      </c>
    </row>
    <row r="447">
      <c r="A447" t="inlineStr" s="16">
        <is>
          <t xml:space="preserve">Calculation</t>
        </is>
      </c>
      <c r="B447">
        <f>IF(ISERROR('Model inputs'!S32&gt;='Model inputs'!B153),'Model inputs'!S32&gt;='Model inputs'!B153,IF(OR('Model inputs'!S32="",'Model inputs'!B153=""),"",'Model inputs'!S32&gt;='Model inputs'!B153))</f>
      </c>
    </row>
    <row r="448">
      <c r="A448" t="inlineStr" s="16">
        <is>
          <t xml:space="preserve">Calculation</t>
        </is>
      </c>
      <c r="B448">
        <f>(IF(IFERROR(IF(ISERROR('Model inputs'!B117=0),'Model inputs'!B117=0,IF('Model inputs'!B117="","",'Model inputs'!B117=0))=TRUE,FALSE),TRUE,IF(IFERROR('Model inputs'!B446=TRUE,FALSE),TRUE,IF(OR(IF(ISERROR('Model inputs'!B117=0),'Model inputs'!B117=0,IF('Model inputs'!B117="","",'Model inputs'!B117=0))="",'Model inputs'!B446=""),"",OR(IF(ISERROR('Model inputs'!B117=0),'Model inputs'!B117=0,IF('Model inputs'!B117="","",'Model inputs'!B117=0)),'Model inputs'!B446)))))</f>
      </c>
    </row>
    <row r="449">
      <c r="A449" t="inlineStr" s="16">
        <is>
          <t xml:space="preserve">Calculation</t>
        </is>
      </c>
      <c r="B449">
        <f>IF(ISERROR('Model inputs'!T32&lt;='Model inputs'!B117),'Model inputs'!T32&lt;='Model inputs'!B117,IF(OR('Model inputs'!T32="",'Model inputs'!B117=""),"",'Model inputs'!T32&lt;='Model inputs'!B117))</f>
      </c>
    </row>
    <row r="450">
      <c r="A450" t="inlineStr" s="16">
        <is>
          <t xml:space="preserve">Calculation</t>
        </is>
      </c>
      <c r="B450">
        <f>IF(ISERROR('Model inputs'!T32&gt;='Model inputs'!B153),'Model inputs'!T32&gt;='Model inputs'!B153,IF(OR('Model inputs'!T32="",'Model inputs'!B153=""),"",'Model inputs'!T32&gt;='Model inputs'!B153))</f>
      </c>
    </row>
    <row r="451">
      <c r="A451" t="inlineStr" s="16">
        <is>
          <t xml:space="preserve">Calculation</t>
        </is>
      </c>
      <c r="B451">
        <f>(IF(IFERROR(IF(ISERROR('Model inputs'!B117=0),'Model inputs'!B117=0,IF('Model inputs'!B117="","",'Model inputs'!B117=0))=TRUE,FALSE),TRUE,IF(IFERROR('Model inputs'!B449=TRUE,FALSE),TRUE,IF(OR(IF(ISERROR('Model inputs'!B117=0),'Model inputs'!B117=0,IF('Model inputs'!B117="","",'Model inputs'!B117=0))="",'Model inputs'!B449=""),"",OR(IF(ISERROR('Model inputs'!B117=0),'Model inputs'!B117=0,IF('Model inputs'!B117="","",'Model inputs'!B117=0)),'Model inputs'!B449)))))</f>
      </c>
    </row>
    <row r="452">
      <c r="A452" t="inlineStr" s="16">
        <is>
          <t xml:space="preserve">Calculation</t>
        </is>
      </c>
      <c r="B452">
        <f>IF(ISERROR('Model inputs'!U32&lt;='Model inputs'!B117),'Model inputs'!U32&lt;='Model inputs'!B117,IF(OR('Model inputs'!U32="",'Model inputs'!B117=""),"",'Model inputs'!U32&lt;='Model inputs'!B117))</f>
      </c>
    </row>
    <row r="453">
      <c r="A453" t="inlineStr" s="16">
        <is>
          <t xml:space="preserve">Calculation</t>
        </is>
      </c>
      <c r="B453">
        <f>IF(ISERROR('Model inputs'!U32&gt;='Model inputs'!B153),'Model inputs'!U32&gt;='Model inputs'!B153,IF(OR('Model inputs'!U32="",'Model inputs'!B153=""),"",'Model inputs'!U32&gt;='Model inputs'!B153))</f>
      </c>
    </row>
    <row r="454">
      <c r="A454" t="inlineStr" s="16">
        <is>
          <t xml:space="preserve">Calculation</t>
        </is>
      </c>
      <c r="B454">
        <f>(IF(IFERROR(IF(ISERROR('Model inputs'!B117=0),'Model inputs'!B117=0,IF('Model inputs'!B117="","",'Model inputs'!B117=0))=TRUE,FALSE),TRUE,IF(IFERROR('Model inputs'!B452=TRUE,FALSE),TRUE,IF(OR(IF(ISERROR('Model inputs'!B117=0),'Model inputs'!B117=0,IF('Model inputs'!B117="","",'Model inputs'!B117=0))="",'Model inputs'!B452=""),"",OR(IF(ISERROR('Model inputs'!B117=0),'Model inputs'!B117=0,IF('Model inputs'!B117="","",'Model inputs'!B117=0)),'Model inputs'!B452)))))</f>
      </c>
    </row>
    <row r="455">
      <c r="A455" t="inlineStr" s="16">
        <is>
          <t xml:space="preserve">Calculation</t>
        </is>
      </c>
      <c r="B455">
        <f>IF(ISERROR('Model inputs'!V32&lt;='Model inputs'!B117),'Model inputs'!V32&lt;='Model inputs'!B117,IF(OR('Model inputs'!V32="",'Model inputs'!B117=""),"",'Model inputs'!V32&lt;='Model inputs'!B117))</f>
      </c>
    </row>
    <row r="456">
      <c r="A456" t="inlineStr" s="16">
        <is>
          <t xml:space="preserve">Calculation</t>
        </is>
      </c>
      <c r="B456">
        <f>IF(ISERROR('Model inputs'!V32&gt;='Model inputs'!B153),'Model inputs'!V32&gt;='Model inputs'!B153,IF(OR('Model inputs'!V32="",'Model inputs'!B153=""),"",'Model inputs'!V32&gt;='Model inputs'!B153))</f>
      </c>
    </row>
    <row r="457">
      <c r="A457" t="inlineStr" s="16">
        <is>
          <t xml:space="preserve">Calculation</t>
        </is>
      </c>
      <c r="B457">
        <f>(IF(IFERROR(IF(ISERROR('Model inputs'!B117=0),'Model inputs'!B117=0,IF('Model inputs'!B117="","",'Model inputs'!B117=0))=TRUE,FALSE),TRUE,IF(IFERROR('Model inputs'!B455=TRUE,FALSE),TRUE,IF(OR(IF(ISERROR('Model inputs'!B117=0),'Model inputs'!B117=0,IF('Model inputs'!B117="","",'Model inputs'!B117=0))="",'Model inputs'!B455=""),"",OR(IF(ISERROR('Model inputs'!B117=0),'Model inputs'!B117=0,IF('Model inputs'!B117="","",'Model inputs'!B117=0)),'Model inputs'!B455)))))</f>
      </c>
    </row>
    <row r="458">
      <c r="A458" t="inlineStr" s="16">
        <is>
          <t xml:space="preserve">Calculation</t>
        </is>
      </c>
      <c r="B458">
        <f>IF(ISERROR('Model inputs'!C32&lt;='Model inputs'!B118),'Model inputs'!C32&lt;='Model inputs'!B118,IF(OR('Model inputs'!C32="",'Model inputs'!B118=""),"",'Model inputs'!C32&lt;='Model inputs'!B118))</f>
      </c>
    </row>
    <row r="459">
      <c r="A459" t="inlineStr" s="16">
        <is>
          <t xml:space="preserve">Calculation</t>
        </is>
      </c>
      <c r="B459">
        <f>IF(ISERROR('Model inputs'!C32&gt;='Model inputs'!B154),'Model inputs'!C32&gt;='Model inputs'!B154,IF(OR('Model inputs'!C32="",'Model inputs'!B154=""),"",'Model inputs'!C32&gt;='Model inputs'!B154))</f>
      </c>
    </row>
    <row r="460">
      <c r="A460" t="inlineStr" s="16">
        <is>
          <t xml:space="preserve">Calculation</t>
        </is>
      </c>
      <c r="B460">
        <f>(IF(IFERROR(IF(ISERROR('Model inputs'!B118=0),'Model inputs'!B118=0,IF('Model inputs'!B118="","",'Model inputs'!B118=0))=TRUE,FALSE),TRUE,IF(IFERROR('Model inputs'!B458=TRUE,FALSE),TRUE,IF(OR(IF(ISERROR('Model inputs'!B118=0),'Model inputs'!B118=0,IF('Model inputs'!B118="","",'Model inputs'!B118=0))="",'Model inputs'!B458=""),"",OR(IF(ISERROR('Model inputs'!B118=0),'Model inputs'!B118=0,IF('Model inputs'!B118="","",'Model inputs'!B118=0)),'Model inputs'!B458)))))</f>
      </c>
    </row>
    <row r="461">
      <c r="A461" t="inlineStr" s="16">
        <is>
          <t xml:space="preserve">Calculation</t>
        </is>
      </c>
      <c r="B461">
        <f>IF(ISERROR('Model inputs'!D32&lt;='Model inputs'!B118),'Model inputs'!D32&lt;='Model inputs'!B118,IF(OR('Model inputs'!D32="",'Model inputs'!B118=""),"",'Model inputs'!D32&lt;='Model inputs'!B118))</f>
      </c>
    </row>
    <row r="462">
      <c r="A462" t="inlineStr" s="16">
        <is>
          <t xml:space="preserve">Calculation</t>
        </is>
      </c>
      <c r="B462">
        <f>IF(ISERROR('Model inputs'!D32&gt;='Model inputs'!B154),'Model inputs'!D32&gt;='Model inputs'!B154,IF(OR('Model inputs'!D32="",'Model inputs'!B154=""),"",'Model inputs'!D32&gt;='Model inputs'!B154))</f>
      </c>
    </row>
    <row r="463">
      <c r="A463" t="inlineStr" s="16">
        <is>
          <t xml:space="preserve">Calculation</t>
        </is>
      </c>
      <c r="B463">
        <f>(IF(IFERROR(IF(ISERROR('Model inputs'!B118=0),'Model inputs'!B118=0,IF('Model inputs'!B118="","",'Model inputs'!B118=0))=TRUE,FALSE),TRUE,IF(IFERROR('Model inputs'!B461=TRUE,FALSE),TRUE,IF(OR(IF(ISERROR('Model inputs'!B118=0),'Model inputs'!B118=0,IF('Model inputs'!B118="","",'Model inputs'!B118=0))="",'Model inputs'!B461=""),"",OR(IF(ISERROR('Model inputs'!B118=0),'Model inputs'!B118=0,IF('Model inputs'!B118="","",'Model inputs'!B118=0)),'Model inputs'!B461)))))</f>
      </c>
    </row>
    <row r="464">
      <c r="A464" t="inlineStr" s="16">
        <is>
          <t xml:space="preserve">Calculation</t>
        </is>
      </c>
      <c r="B464">
        <f>IF(ISERROR('Model inputs'!E32&lt;='Model inputs'!B118),'Model inputs'!E32&lt;='Model inputs'!B118,IF(OR('Model inputs'!E32="",'Model inputs'!B118=""),"",'Model inputs'!E32&lt;='Model inputs'!B118))</f>
      </c>
    </row>
    <row r="465">
      <c r="A465" t="inlineStr" s="16">
        <is>
          <t xml:space="preserve">Calculation</t>
        </is>
      </c>
      <c r="B465">
        <f>IF(ISERROR('Model inputs'!E32&gt;='Model inputs'!B154),'Model inputs'!E32&gt;='Model inputs'!B154,IF(OR('Model inputs'!E32="",'Model inputs'!B154=""),"",'Model inputs'!E32&gt;='Model inputs'!B154))</f>
      </c>
    </row>
    <row r="466">
      <c r="A466" t="inlineStr" s="16">
        <is>
          <t xml:space="preserve">Calculation</t>
        </is>
      </c>
      <c r="B466">
        <f>(IF(IFERROR(IF(ISERROR('Model inputs'!B118=0),'Model inputs'!B118=0,IF('Model inputs'!B118="","",'Model inputs'!B118=0))=TRUE,FALSE),TRUE,IF(IFERROR('Model inputs'!B464=TRUE,FALSE),TRUE,IF(OR(IF(ISERROR('Model inputs'!B118=0),'Model inputs'!B118=0,IF('Model inputs'!B118="","",'Model inputs'!B118=0))="",'Model inputs'!B464=""),"",OR(IF(ISERROR('Model inputs'!B118=0),'Model inputs'!B118=0,IF('Model inputs'!B118="","",'Model inputs'!B118=0)),'Model inputs'!B464)))))</f>
      </c>
    </row>
    <row r="467">
      <c r="A467" t="inlineStr" s="16">
        <is>
          <t xml:space="preserve">Calculation</t>
        </is>
      </c>
      <c r="B467">
        <f>IF(ISERROR('Model inputs'!F32&lt;='Model inputs'!B118),'Model inputs'!F32&lt;='Model inputs'!B118,IF(OR('Model inputs'!F32="",'Model inputs'!B118=""),"",'Model inputs'!F32&lt;='Model inputs'!B118))</f>
      </c>
    </row>
    <row r="468">
      <c r="A468" t="inlineStr" s="16">
        <is>
          <t xml:space="preserve">Calculation</t>
        </is>
      </c>
      <c r="B468">
        <f>IF(ISERROR('Model inputs'!F32&gt;='Model inputs'!B154),'Model inputs'!F32&gt;='Model inputs'!B154,IF(OR('Model inputs'!F32="",'Model inputs'!B154=""),"",'Model inputs'!F32&gt;='Model inputs'!B154))</f>
      </c>
    </row>
    <row r="469">
      <c r="A469" t="inlineStr" s="16">
        <is>
          <t xml:space="preserve">Calculation</t>
        </is>
      </c>
      <c r="B469">
        <f>(IF(IFERROR(IF(ISERROR('Model inputs'!B118=0),'Model inputs'!B118=0,IF('Model inputs'!B118="","",'Model inputs'!B118=0))=TRUE,FALSE),TRUE,IF(IFERROR('Model inputs'!B467=TRUE,FALSE),TRUE,IF(OR(IF(ISERROR('Model inputs'!B118=0),'Model inputs'!B118=0,IF('Model inputs'!B118="","",'Model inputs'!B118=0))="",'Model inputs'!B467=""),"",OR(IF(ISERROR('Model inputs'!B118=0),'Model inputs'!B118=0,IF('Model inputs'!B118="","",'Model inputs'!B118=0)),'Model inputs'!B467)))))</f>
      </c>
    </row>
    <row r="470">
      <c r="A470" t="inlineStr" s="16">
        <is>
          <t xml:space="preserve">Calculation</t>
        </is>
      </c>
      <c r="B470">
        <f>IF(ISERROR('Model inputs'!G32&lt;='Model inputs'!B118),'Model inputs'!G32&lt;='Model inputs'!B118,IF(OR('Model inputs'!G32="",'Model inputs'!B118=""),"",'Model inputs'!G32&lt;='Model inputs'!B118))</f>
      </c>
    </row>
    <row r="471">
      <c r="A471" t="inlineStr" s="16">
        <is>
          <t xml:space="preserve">Calculation</t>
        </is>
      </c>
      <c r="B471">
        <f>IF(ISERROR('Model inputs'!G32&gt;='Model inputs'!B154),'Model inputs'!G32&gt;='Model inputs'!B154,IF(OR('Model inputs'!G32="",'Model inputs'!B154=""),"",'Model inputs'!G32&gt;='Model inputs'!B154))</f>
      </c>
    </row>
    <row r="472">
      <c r="A472" t="inlineStr" s="16">
        <is>
          <t xml:space="preserve">Calculation</t>
        </is>
      </c>
      <c r="B472">
        <f>(IF(IFERROR(IF(ISERROR('Model inputs'!B118=0),'Model inputs'!B118=0,IF('Model inputs'!B118="","",'Model inputs'!B118=0))=TRUE,FALSE),TRUE,IF(IFERROR('Model inputs'!B470=TRUE,FALSE),TRUE,IF(OR(IF(ISERROR('Model inputs'!B118=0),'Model inputs'!B118=0,IF('Model inputs'!B118="","",'Model inputs'!B118=0))="",'Model inputs'!B470=""),"",OR(IF(ISERROR('Model inputs'!B118=0),'Model inputs'!B118=0,IF('Model inputs'!B118="","",'Model inputs'!B118=0)),'Model inputs'!B470)))))</f>
      </c>
    </row>
    <row r="473">
      <c r="A473" t="inlineStr" s="16">
        <is>
          <t xml:space="preserve">Calculation</t>
        </is>
      </c>
      <c r="B473">
        <f>IF(ISERROR('Model inputs'!H32&lt;='Model inputs'!B118),'Model inputs'!H32&lt;='Model inputs'!B118,IF(OR('Model inputs'!H32="",'Model inputs'!B118=""),"",'Model inputs'!H32&lt;='Model inputs'!B118))</f>
      </c>
    </row>
    <row r="474">
      <c r="A474" t="inlineStr" s="16">
        <is>
          <t xml:space="preserve">Calculation</t>
        </is>
      </c>
      <c r="B474">
        <f>IF(ISERROR('Model inputs'!H32&gt;='Model inputs'!B154),'Model inputs'!H32&gt;='Model inputs'!B154,IF(OR('Model inputs'!H32="",'Model inputs'!B154=""),"",'Model inputs'!H32&gt;='Model inputs'!B154))</f>
      </c>
    </row>
    <row r="475">
      <c r="A475" t="inlineStr" s="16">
        <is>
          <t xml:space="preserve">Calculation</t>
        </is>
      </c>
      <c r="B475">
        <f>(IF(IFERROR(IF(ISERROR('Model inputs'!B118=0),'Model inputs'!B118=0,IF('Model inputs'!B118="","",'Model inputs'!B118=0))=TRUE,FALSE),TRUE,IF(IFERROR('Model inputs'!B473=TRUE,FALSE),TRUE,IF(OR(IF(ISERROR('Model inputs'!B118=0),'Model inputs'!B118=0,IF('Model inputs'!B118="","",'Model inputs'!B118=0))="",'Model inputs'!B473=""),"",OR(IF(ISERROR('Model inputs'!B118=0),'Model inputs'!B118=0,IF('Model inputs'!B118="","",'Model inputs'!B118=0)),'Model inputs'!B473)))))</f>
      </c>
    </row>
    <row r="476">
      <c r="A476" t="inlineStr" s="16">
        <is>
          <t xml:space="preserve">Calculation</t>
        </is>
      </c>
      <c r="B476">
        <f>IF(ISERROR('Model inputs'!I32&lt;='Model inputs'!B118),'Model inputs'!I32&lt;='Model inputs'!B118,IF(OR('Model inputs'!I32="",'Model inputs'!B118=""),"",'Model inputs'!I32&lt;='Model inputs'!B118))</f>
      </c>
    </row>
    <row r="477">
      <c r="A477" t="inlineStr" s="16">
        <is>
          <t xml:space="preserve">Calculation</t>
        </is>
      </c>
      <c r="B477">
        <f>IF(ISERROR('Model inputs'!I32&gt;='Model inputs'!B154),'Model inputs'!I32&gt;='Model inputs'!B154,IF(OR('Model inputs'!I32="",'Model inputs'!B154=""),"",'Model inputs'!I32&gt;='Model inputs'!B154))</f>
      </c>
    </row>
    <row r="478">
      <c r="A478" t="inlineStr" s="16">
        <is>
          <t xml:space="preserve">Calculation</t>
        </is>
      </c>
      <c r="B478">
        <f>(IF(IFERROR(IF(ISERROR('Model inputs'!B118=0),'Model inputs'!B118=0,IF('Model inputs'!B118="","",'Model inputs'!B118=0))=TRUE,FALSE),TRUE,IF(IFERROR('Model inputs'!B476=TRUE,FALSE),TRUE,IF(OR(IF(ISERROR('Model inputs'!B118=0),'Model inputs'!B118=0,IF('Model inputs'!B118="","",'Model inputs'!B118=0))="",'Model inputs'!B476=""),"",OR(IF(ISERROR('Model inputs'!B118=0),'Model inputs'!B118=0,IF('Model inputs'!B118="","",'Model inputs'!B118=0)),'Model inputs'!B476)))))</f>
      </c>
    </row>
    <row r="479">
      <c r="A479" t="inlineStr" s="16">
        <is>
          <t xml:space="preserve">Calculation</t>
        </is>
      </c>
      <c r="B479">
        <f>IF(ISERROR('Model inputs'!J32&lt;='Model inputs'!B118),'Model inputs'!J32&lt;='Model inputs'!B118,IF(OR('Model inputs'!J32="",'Model inputs'!B118=""),"",'Model inputs'!J32&lt;='Model inputs'!B118))</f>
      </c>
    </row>
    <row r="480">
      <c r="A480" t="inlineStr" s="16">
        <is>
          <t xml:space="preserve">Calculation</t>
        </is>
      </c>
      <c r="B480">
        <f>IF(ISERROR('Model inputs'!J32&gt;='Model inputs'!B154),'Model inputs'!J32&gt;='Model inputs'!B154,IF(OR('Model inputs'!J32="",'Model inputs'!B154=""),"",'Model inputs'!J32&gt;='Model inputs'!B154))</f>
      </c>
    </row>
    <row r="481">
      <c r="A481" t="inlineStr" s="16">
        <is>
          <t xml:space="preserve">Calculation</t>
        </is>
      </c>
      <c r="B481">
        <f>(IF(IFERROR(IF(ISERROR('Model inputs'!B118=0),'Model inputs'!B118=0,IF('Model inputs'!B118="","",'Model inputs'!B118=0))=TRUE,FALSE),TRUE,IF(IFERROR('Model inputs'!B479=TRUE,FALSE),TRUE,IF(OR(IF(ISERROR('Model inputs'!B118=0),'Model inputs'!B118=0,IF('Model inputs'!B118="","",'Model inputs'!B118=0))="",'Model inputs'!B479=""),"",OR(IF(ISERROR('Model inputs'!B118=0),'Model inputs'!B118=0,IF('Model inputs'!B118="","",'Model inputs'!B118=0)),'Model inputs'!B479)))))</f>
      </c>
    </row>
    <row r="482">
      <c r="A482" t="inlineStr" s="16">
        <is>
          <t xml:space="preserve">Calculation</t>
        </is>
      </c>
      <c r="B482">
        <f>IF(ISERROR('Model inputs'!K32&lt;='Model inputs'!B118),'Model inputs'!K32&lt;='Model inputs'!B118,IF(OR('Model inputs'!K32="",'Model inputs'!B118=""),"",'Model inputs'!K32&lt;='Model inputs'!B118))</f>
      </c>
    </row>
    <row r="483">
      <c r="A483" t="inlineStr" s="16">
        <is>
          <t xml:space="preserve">Calculation</t>
        </is>
      </c>
      <c r="B483">
        <f>IF(ISERROR('Model inputs'!K32&gt;='Model inputs'!B154),'Model inputs'!K32&gt;='Model inputs'!B154,IF(OR('Model inputs'!K32="",'Model inputs'!B154=""),"",'Model inputs'!K32&gt;='Model inputs'!B154))</f>
      </c>
    </row>
    <row r="484">
      <c r="A484" t="inlineStr" s="16">
        <is>
          <t xml:space="preserve">Calculation</t>
        </is>
      </c>
      <c r="B484">
        <f>(IF(IFERROR(IF(ISERROR('Model inputs'!B118=0),'Model inputs'!B118=0,IF('Model inputs'!B118="","",'Model inputs'!B118=0))=TRUE,FALSE),TRUE,IF(IFERROR('Model inputs'!B482=TRUE,FALSE),TRUE,IF(OR(IF(ISERROR('Model inputs'!B118=0),'Model inputs'!B118=0,IF('Model inputs'!B118="","",'Model inputs'!B118=0))="",'Model inputs'!B482=""),"",OR(IF(ISERROR('Model inputs'!B118=0),'Model inputs'!B118=0,IF('Model inputs'!B118="","",'Model inputs'!B118=0)),'Model inputs'!B482)))))</f>
      </c>
    </row>
    <row r="485">
      <c r="A485" t="inlineStr" s="16">
        <is>
          <t xml:space="preserve">Calculation</t>
        </is>
      </c>
      <c r="B485">
        <f>IF(ISERROR('Model inputs'!L32&lt;='Model inputs'!B118),'Model inputs'!L32&lt;='Model inputs'!B118,IF(OR('Model inputs'!L32="",'Model inputs'!B118=""),"",'Model inputs'!L32&lt;='Model inputs'!B118))</f>
      </c>
    </row>
    <row r="486">
      <c r="A486" t="inlineStr" s="16">
        <is>
          <t xml:space="preserve">Calculation</t>
        </is>
      </c>
      <c r="B486">
        <f>IF(ISERROR('Model inputs'!L32&gt;='Model inputs'!B154),'Model inputs'!L32&gt;='Model inputs'!B154,IF(OR('Model inputs'!L32="",'Model inputs'!B154=""),"",'Model inputs'!L32&gt;='Model inputs'!B154))</f>
      </c>
    </row>
    <row r="487">
      <c r="A487" t="inlineStr" s="16">
        <is>
          <t xml:space="preserve">Calculation</t>
        </is>
      </c>
      <c r="B487">
        <f>(IF(IFERROR(IF(ISERROR('Model inputs'!B118=0),'Model inputs'!B118=0,IF('Model inputs'!B118="","",'Model inputs'!B118=0))=TRUE,FALSE),TRUE,IF(IFERROR('Model inputs'!B485=TRUE,FALSE),TRUE,IF(OR(IF(ISERROR('Model inputs'!B118=0),'Model inputs'!B118=0,IF('Model inputs'!B118="","",'Model inputs'!B118=0))="",'Model inputs'!B485=""),"",OR(IF(ISERROR('Model inputs'!B118=0),'Model inputs'!B118=0,IF('Model inputs'!B118="","",'Model inputs'!B118=0)),'Model inputs'!B485)))))</f>
      </c>
    </row>
    <row r="488">
      <c r="A488" t="inlineStr" s="16">
        <is>
          <t xml:space="preserve">Calculation</t>
        </is>
      </c>
      <c r="B488">
        <f>IF(ISERROR('Model inputs'!M32&lt;='Model inputs'!B118),'Model inputs'!M32&lt;='Model inputs'!B118,IF(OR('Model inputs'!M32="",'Model inputs'!B118=""),"",'Model inputs'!M32&lt;='Model inputs'!B118))</f>
      </c>
    </row>
    <row r="489">
      <c r="A489" t="inlineStr" s="16">
        <is>
          <t xml:space="preserve">Calculation</t>
        </is>
      </c>
      <c r="B489">
        <f>IF(ISERROR('Model inputs'!M32&gt;='Model inputs'!B154),'Model inputs'!M32&gt;='Model inputs'!B154,IF(OR('Model inputs'!M32="",'Model inputs'!B154=""),"",'Model inputs'!M32&gt;='Model inputs'!B154))</f>
      </c>
    </row>
    <row r="490">
      <c r="A490" t="inlineStr" s="16">
        <is>
          <t xml:space="preserve">Calculation</t>
        </is>
      </c>
      <c r="B490">
        <f>(IF(IFERROR(IF(ISERROR('Model inputs'!B118=0),'Model inputs'!B118=0,IF('Model inputs'!B118="","",'Model inputs'!B118=0))=TRUE,FALSE),TRUE,IF(IFERROR('Model inputs'!B488=TRUE,FALSE),TRUE,IF(OR(IF(ISERROR('Model inputs'!B118=0),'Model inputs'!B118=0,IF('Model inputs'!B118="","",'Model inputs'!B118=0))="",'Model inputs'!B488=""),"",OR(IF(ISERROR('Model inputs'!B118=0),'Model inputs'!B118=0,IF('Model inputs'!B118="","",'Model inputs'!B118=0)),'Model inputs'!B488)))))</f>
      </c>
    </row>
    <row r="491">
      <c r="A491" t="inlineStr" s="16">
        <is>
          <t xml:space="preserve">Calculation</t>
        </is>
      </c>
      <c r="B491">
        <f>IF(ISERROR('Model inputs'!N32&lt;='Model inputs'!B118),'Model inputs'!N32&lt;='Model inputs'!B118,IF(OR('Model inputs'!N32="",'Model inputs'!B118=""),"",'Model inputs'!N32&lt;='Model inputs'!B118))</f>
      </c>
    </row>
    <row r="492">
      <c r="A492" t="inlineStr" s="16">
        <is>
          <t xml:space="preserve">Calculation</t>
        </is>
      </c>
      <c r="B492">
        <f>IF(ISERROR('Model inputs'!N32&gt;='Model inputs'!B154),'Model inputs'!N32&gt;='Model inputs'!B154,IF(OR('Model inputs'!N32="",'Model inputs'!B154=""),"",'Model inputs'!N32&gt;='Model inputs'!B154))</f>
      </c>
    </row>
    <row r="493">
      <c r="A493" t="inlineStr" s="16">
        <is>
          <t xml:space="preserve">Calculation</t>
        </is>
      </c>
      <c r="B493">
        <f>(IF(IFERROR(IF(ISERROR('Model inputs'!B118=0),'Model inputs'!B118=0,IF('Model inputs'!B118="","",'Model inputs'!B118=0))=TRUE,FALSE),TRUE,IF(IFERROR('Model inputs'!B491=TRUE,FALSE),TRUE,IF(OR(IF(ISERROR('Model inputs'!B118=0),'Model inputs'!B118=0,IF('Model inputs'!B118="","",'Model inputs'!B118=0))="",'Model inputs'!B491=""),"",OR(IF(ISERROR('Model inputs'!B118=0),'Model inputs'!B118=0,IF('Model inputs'!B118="","",'Model inputs'!B118=0)),'Model inputs'!B491)))))</f>
      </c>
    </row>
    <row r="494">
      <c r="A494" t="inlineStr" s="16">
        <is>
          <t xml:space="preserve">Calculation</t>
        </is>
      </c>
      <c r="B494">
        <f>IF(ISERROR('Model inputs'!O32&lt;='Model inputs'!B118),'Model inputs'!O32&lt;='Model inputs'!B118,IF(OR('Model inputs'!O32="",'Model inputs'!B118=""),"",'Model inputs'!O32&lt;='Model inputs'!B118))</f>
      </c>
    </row>
    <row r="495">
      <c r="A495" t="inlineStr" s="16">
        <is>
          <t xml:space="preserve">Calculation</t>
        </is>
      </c>
      <c r="B495">
        <f>IF(ISERROR('Model inputs'!O32&gt;='Model inputs'!B154),'Model inputs'!O32&gt;='Model inputs'!B154,IF(OR('Model inputs'!O32="",'Model inputs'!B154=""),"",'Model inputs'!O32&gt;='Model inputs'!B154))</f>
      </c>
    </row>
    <row r="496">
      <c r="A496" t="inlineStr" s="16">
        <is>
          <t xml:space="preserve">Calculation</t>
        </is>
      </c>
      <c r="B496">
        <f>(IF(IFERROR(IF(ISERROR('Model inputs'!B118=0),'Model inputs'!B118=0,IF('Model inputs'!B118="","",'Model inputs'!B118=0))=TRUE,FALSE),TRUE,IF(IFERROR('Model inputs'!B494=TRUE,FALSE),TRUE,IF(OR(IF(ISERROR('Model inputs'!B118=0),'Model inputs'!B118=0,IF('Model inputs'!B118="","",'Model inputs'!B118=0))="",'Model inputs'!B494=""),"",OR(IF(ISERROR('Model inputs'!B118=0),'Model inputs'!B118=0,IF('Model inputs'!B118="","",'Model inputs'!B118=0)),'Model inputs'!B494)))))</f>
      </c>
    </row>
    <row r="497">
      <c r="A497" t="inlineStr" s="16">
        <is>
          <t xml:space="preserve">Calculation</t>
        </is>
      </c>
      <c r="B497">
        <f>IF(ISERROR('Model inputs'!P32&lt;='Model inputs'!B118),'Model inputs'!P32&lt;='Model inputs'!B118,IF(OR('Model inputs'!P32="",'Model inputs'!B118=""),"",'Model inputs'!P32&lt;='Model inputs'!B118))</f>
      </c>
    </row>
    <row r="498">
      <c r="A498" t="inlineStr" s="16">
        <is>
          <t xml:space="preserve">Calculation</t>
        </is>
      </c>
      <c r="B498">
        <f>IF(ISERROR('Model inputs'!P32&gt;='Model inputs'!B154),'Model inputs'!P32&gt;='Model inputs'!B154,IF(OR('Model inputs'!P32="",'Model inputs'!B154=""),"",'Model inputs'!P32&gt;='Model inputs'!B154))</f>
      </c>
    </row>
    <row r="499">
      <c r="A499" t="inlineStr" s="16">
        <is>
          <t xml:space="preserve">Calculation</t>
        </is>
      </c>
      <c r="B499">
        <f>(IF(IFERROR(IF(ISERROR('Model inputs'!B118=0),'Model inputs'!B118=0,IF('Model inputs'!B118="","",'Model inputs'!B118=0))=TRUE,FALSE),TRUE,IF(IFERROR('Model inputs'!B497=TRUE,FALSE),TRUE,IF(OR(IF(ISERROR('Model inputs'!B118=0),'Model inputs'!B118=0,IF('Model inputs'!B118="","",'Model inputs'!B118=0))="",'Model inputs'!B497=""),"",OR(IF(ISERROR('Model inputs'!B118=0),'Model inputs'!B118=0,IF('Model inputs'!B118="","",'Model inputs'!B118=0)),'Model inputs'!B497)))))</f>
      </c>
    </row>
    <row r="500">
      <c r="A500" t="inlineStr" s="16">
        <is>
          <t xml:space="preserve">Calculation</t>
        </is>
      </c>
      <c r="B500">
        <f>IF(ISERROR('Model inputs'!Q32&lt;='Model inputs'!B118),'Model inputs'!Q32&lt;='Model inputs'!B118,IF(OR('Model inputs'!Q32="",'Model inputs'!B118=""),"",'Model inputs'!Q32&lt;='Model inputs'!B118))</f>
      </c>
    </row>
    <row r="501">
      <c r="A501" t="inlineStr" s="16">
        <is>
          <t xml:space="preserve">Calculation</t>
        </is>
      </c>
      <c r="B501">
        <f>IF(ISERROR('Model inputs'!Q32&gt;='Model inputs'!B154),'Model inputs'!Q32&gt;='Model inputs'!B154,IF(OR('Model inputs'!Q32="",'Model inputs'!B154=""),"",'Model inputs'!Q32&gt;='Model inputs'!B154))</f>
      </c>
    </row>
    <row r="502">
      <c r="A502" t="inlineStr" s="16">
        <is>
          <t xml:space="preserve">Calculation</t>
        </is>
      </c>
      <c r="B502">
        <f>(IF(IFERROR(IF(ISERROR('Model inputs'!B118=0),'Model inputs'!B118=0,IF('Model inputs'!B118="","",'Model inputs'!B118=0))=TRUE,FALSE),TRUE,IF(IFERROR('Model inputs'!B500=TRUE,FALSE),TRUE,IF(OR(IF(ISERROR('Model inputs'!B118=0),'Model inputs'!B118=0,IF('Model inputs'!B118="","",'Model inputs'!B118=0))="",'Model inputs'!B500=""),"",OR(IF(ISERROR('Model inputs'!B118=0),'Model inputs'!B118=0,IF('Model inputs'!B118="","",'Model inputs'!B118=0)),'Model inputs'!B500)))))</f>
      </c>
    </row>
    <row r="503">
      <c r="A503" t="inlineStr" s="16">
        <is>
          <t xml:space="preserve">Calculation</t>
        </is>
      </c>
      <c r="B503">
        <f>IF(ISERROR('Model inputs'!R32&lt;='Model inputs'!B118),'Model inputs'!R32&lt;='Model inputs'!B118,IF(OR('Model inputs'!R32="",'Model inputs'!B118=""),"",'Model inputs'!R32&lt;='Model inputs'!B118))</f>
      </c>
    </row>
    <row r="504">
      <c r="A504" t="inlineStr" s="16">
        <is>
          <t xml:space="preserve">Calculation</t>
        </is>
      </c>
      <c r="B504">
        <f>IF(ISERROR('Model inputs'!R32&gt;='Model inputs'!B154),'Model inputs'!R32&gt;='Model inputs'!B154,IF(OR('Model inputs'!R32="",'Model inputs'!B154=""),"",'Model inputs'!R32&gt;='Model inputs'!B154))</f>
      </c>
    </row>
    <row r="505">
      <c r="A505" t="inlineStr" s="16">
        <is>
          <t xml:space="preserve">Calculation</t>
        </is>
      </c>
      <c r="B505">
        <f>(IF(IFERROR(IF(ISERROR('Model inputs'!B118=0),'Model inputs'!B118=0,IF('Model inputs'!B118="","",'Model inputs'!B118=0))=TRUE,FALSE),TRUE,IF(IFERROR('Model inputs'!B503=TRUE,FALSE),TRUE,IF(OR(IF(ISERROR('Model inputs'!B118=0),'Model inputs'!B118=0,IF('Model inputs'!B118="","",'Model inputs'!B118=0))="",'Model inputs'!B503=""),"",OR(IF(ISERROR('Model inputs'!B118=0),'Model inputs'!B118=0,IF('Model inputs'!B118="","",'Model inputs'!B118=0)),'Model inputs'!B503)))))</f>
      </c>
    </row>
    <row r="506">
      <c r="A506" t="inlineStr" s="16">
        <is>
          <t xml:space="preserve">Calculation</t>
        </is>
      </c>
      <c r="B506">
        <f>IF(ISERROR('Model inputs'!S32&lt;='Model inputs'!B118),'Model inputs'!S32&lt;='Model inputs'!B118,IF(OR('Model inputs'!S32="",'Model inputs'!B118=""),"",'Model inputs'!S32&lt;='Model inputs'!B118))</f>
      </c>
    </row>
    <row r="507">
      <c r="A507" t="inlineStr" s="16">
        <is>
          <t xml:space="preserve">Calculation</t>
        </is>
      </c>
      <c r="B507">
        <f>IF(ISERROR('Model inputs'!S32&gt;='Model inputs'!B154),'Model inputs'!S32&gt;='Model inputs'!B154,IF(OR('Model inputs'!S32="",'Model inputs'!B154=""),"",'Model inputs'!S32&gt;='Model inputs'!B154))</f>
      </c>
    </row>
    <row r="508">
      <c r="A508" t="inlineStr" s="16">
        <is>
          <t xml:space="preserve">Calculation</t>
        </is>
      </c>
      <c r="B508">
        <f>(IF(IFERROR(IF(ISERROR('Model inputs'!B118=0),'Model inputs'!B118=0,IF('Model inputs'!B118="","",'Model inputs'!B118=0))=TRUE,FALSE),TRUE,IF(IFERROR('Model inputs'!B506=TRUE,FALSE),TRUE,IF(OR(IF(ISERROR('Model inputs'!B118=0),'Model inputs'!B118=0,IF('Model inputs'!B118="","",'Model inputs'!B118=0))="",'Model inputs'!B506=""),"",OR(IF(ISERROR('Model inputs'!B118=0),'Model inputs'!B118=0,IF('Model inputs'!B118="","",'Model inputs'!B118=0)),'Model inputs'!B506)))))</f>
      </c>
    </row>
    <row r="509">
      <c r="A509" t="inlineStr" s="16">
        <is>
          <t xml:space="preserve">Calculation</t>
        </is>
      </c>
      <c r="B509">
        <f>IF(ISERROR('Model inputs'!T32&lt;='Model inputs'!B118),'Model inputs'!T32&lt;='Model inputs'!B118,IF(OR('Model inputs'!T32="",'Model inputs'!B118=""),"",'Model inputs'!T32&lt;='Model inputs'!B118))</f>
      </c>
    </row>
    <row r="510">
      <c r="A510" t="inlineStr" s="16">
        <is>
          <t xml:space="preserve">Calculation</t>
        </is>
      </c>
      <c r="B510">
        <f>IF(ISERROR('Model inputs'!T32&gt;='Model inputs'!B154),'Model inputs'!T32&gt;='Model inputs'!B154,IF(OR('Model inputs'!T32="",'Model inputs'!B154=""),"",'Model inputs'!T32&gt;='Model inputs'!B154))</f>
      </c>
    </row>
    <row r="511">
      <c r="A511" t="inlineStr" s="16">
        <is>
          <t xml:space="preserve">Calculation</t>
        </is>
      </c>
      <c r="B511">
        <f>(IF(IFERROR(IF(ISERROR('Model inputs'!B118=0),'Model inputs'!B118=0,IF('Model inputs'!B118="","",'Model inputs'!B118=0))=TRUE,FALSE),TRUE,IF(IFERROR('Model inputs'!B509=TRUE,FALSE),TRUE,IF(OR(IF(ISERROR('Model inputs'!B118=0),'Model inputs'!B118=0,IF('Model inputs'!B118="","",'Model inputs'!B118=0))="",'Model inputs'!B509=""),"",OR(IF(ISERROR('Model inputs'!B118=0),'Model inputs'!B118=0,IF('Model inputs'!B118="","",'Model inputs'!B118=0)),'Model inputs'!B509)))))</f>
      </c>
    </row>
    <row r="512">
      <c r="A512" t="inlineStr" s="16">
        <is>
          <t xml:space="preserve">Calculation</t>
        </is>
      </c>
      <c r="B512">
        <f>IF(ISERROR('Model inputs'!U32&lt;='Model inputs'!B118),'Model inputs'!U32&lt;='Model inputs'!B118,IF(OR('Model inputs'!U32="",'Model inputs'!B118=""),"",'Model inputs'!U32&lt;='Model inputs'!B118))</f>
      </c>
    </row>
    <row r="513">
      <c r="A513" t="inlineStr" s="16">
        <is>
          <t xml:space="preserve">Calculation</t>
        </is>
      </c>
      <c r="B513">
        <f>IF(ISERROR('Model inputs'!U32&gt;='Model inputs'!B154),'Model inputs'!U32&gt;='Model inputs'!B154,IF(OR('Model inputs'!U32="",'Model inputs'!B154=""),"",'Model inputs'!U32&gt;='Model inputs'!B154))</f>
      </c>
    </row>
    <row r="514">
      <c r="A514" t="inlineStr" s="16">
        <is>
          <t xml:space="preserve">Calculation</t>
        </is>
      </c>
      <c r="B514">
        <f>(IF(IFERROR(IF(ISERROR('Model inputs'!B118=0),'Model inputs'!B118=0,IF('Model inputs'!B118="","",'Model inputs'!B118=0))=TRUE,FALSE),TRUE,IF(IFERROR('Model inputs'!B512=TRUE,FALSE),TRUE,IF(OR(IF(ISERROR('Model inputs'!B118=0),'Model inputs'!B118=0,IF('Model inputs'!B118="","",'Model inputs'!B118=0))="",'Model inputs'!B512=""),"",OR(IF(ISERROR('Model inputs'!B118=0),'Model inputs'!B118=0,IF('Model inputs'!B118="","",'Model inputs'!B118=0)),'Model inputs'!B512)))))</f>
      </c>
    </row>
    <row r="515">
      <c r="A515" t="inlineStr" s="16">
        <is>
          <t xml:space="preserve">Calculation</t>
        </is>
      </c>
      <c r="B515">
        <f>IF(ISERROR('Model inputs'!V32&lt;='Model inputs'!B118),'Model inputs'!V32&lt;='Model inputs'!B118,IF(OR('Model inputs'!V32="",'Model inputs'!B118=""),"",'Model inputs'!V32&lt;='Model inputs'!B118))</f>
      </c>
    </row>
    <row r="516">
      <c r="A516" t="inlineStr" s="16">
        <is>
          <t xml:space="preserve">Calculation</t>
        </is>
      </c>
      <c r="B516">
        <f>IF(ISERROR('Model inputs'!V32&gt;='Model inputs'!B154),'Model inputs'!V32&gt;='Model inputs'!B154,IF(OR('Model inputs'!V32="",'Model inputs'!B154=""),"",'Model inputs'!V32&gt;='Model inputs'!B154))</f>
      </c>
    </row>
    <row r="517">
      <c r="A517" t="inlineStr" s="16">
        <is>
          <t xml:space="preserve">Calculation</t>
        </is>
      </c>
      <c r="B517">
        <f>(IF(IFERROR(IF(ISERROR('Model inputs'!B118=0),'Model inputs'!B118=0,IF('Model inputs'!B118="","",'Model inputs'!B118=0))=TRUE,FALSE),TRUE,IF(IFERROR('Model inputs'!B515=TRUE,FALSE),TRUE,IF(OR(IF(ISERROR('Model inputs'!B118=0),'Model inputs'!B118=0,IF('Model inputs'!B118="","",'Model inputs'!B118=0))="",'Model inputs'!B515=""),"",OR(IF(ISERROR('Model inputs'!B118=0),'Model inputs'!B118=0,IF('Model inputs'!B118="","",'Model inputs'!B118=0)),'Model inputs'!B515)))))</f>
      </c>
    </row>
    <row r="518">
      <c r="A518" t="inlineStr" s="16">
        <is>
          <t xml:space="preserve">Calculation</t>
        </is>
      </c>
      <c r="B518">
        <f>IF(ISERROR('Model inputs'!C32&lt;='Model inputs'!B119),'Model inputs'!C32&lt;='Model inputs'!B119,IF(OR('Model inputs'!C32="",'Model inputs'!B119=""),"",'Model inputs'!C32&lt;='Model inputs'!B119))</f>
      </c>
    </row>
    <row r="519">
      <c r="A519" t="inlineStr" s="16">
        <is>
          <t xml:space="preserve">Calculation</t>
        </is>
      </c>
      <c r="B519">
        <f>IF(ISERROR('Model inputs'!C32&gt;='Model inputs'!B155),'Model inputs'!C32&gt;='Model inputs'!B155,IF(OR('Model inputs'!C32="",'Model inputs'!B155=""),"",'Model inputs'!C32&gt;='Model inputs'!B155))</f>
      </c>
    </row>
    <row r="520">
      <c r="A520" t="inlineStr" s="16">
        <is>
          <t xml:space="preserve">Calculation</t>
        </is>
      </c>
      <c r="B520">
        <f>(IF(IFERROR(IF(ISERROR('Model inputs'!B119=0),'Model inputs'!B119=0,IF('Model inputs'!B119="","",'Model inputs'!B119=0))=TRUE,FALSE),TRUE,IF(IFERROR('Model inputs'!B518=TRUE,FALSE),TRUE,IF(OR(IF(ISERROR('Model inputs'!B119=0),'Model inputs'!B119=0,IF('Model inputs'!B119="","",'Model inputs'!B119=0))="",'Model inputs'!B518=""),"",OR(IF(ISERROR('Model inputs'!B119=0),'Model inputs'!B119=0,IF('Model inputs'!B119="","",'Model inputs'!B119=0)),'Model inputs'!B518)))))</f>
      </c>
    </row>
    <row r="521">
      <c r="A521" t="inlineStr" s="16">
        <is>
          <t xml:space="preserve">Calculation</t>
        </is>
      </c>
      <c r="B521">
        <f>IF(ISERROR('Model inputs'!D32&lt;='Model inputs'!B119),'Model inputs'!D32&lt;='Model inputs'!B119,IF(OR('Model inputs'!D32="",'Model inputs'!B119=""),"",'Model inputs'!D32&lt;='Model inputs'!B119))</f>
      </c>
    </row>
    <row r="522">
      <c r="A522" t="inlineStr" s="16">
        <is>
          <t xml:space="preserve">Calculation</t>
        </is>
      </c>
      <c r="B522">
        <f>IF(ISERROR('Model inputs'!D32&gt;='Model inputs'!B155),'Model inputs'!D32&gt;='Model inputs'!B155,IF(OR('Model inputs'!D32="",'Model inputs'!B155=""),"",'Model inputs'!D32&gt;='Model inputs'!B155))</f>
      </c>
    </row>
    <row r="523">
      <c r="A523" t="inlineStr" s="16">
        <is>
          <t xml:space="preserve">Calculation</t>
        </is>
      </c>
      <c r="B523">
        <f>(IF(IFERROR(IF(ISERROR('Model inputs'!B119=0),'Model inputs'!B119=0,IF('Model inputs'!B119="","",'Model inputs'!B119=0))=TRUE,FALSE),TRUE,IF(IFERROR('Model inputs'!B521=TRUE,FALSE),TRUE,IF(OR(IF(ISERROR('Model inputs'!B119=0),'Model inputs'!B119=0,IF('Model inputs'!B119="","",'Model inputs'!B119=0))="",'Model inputs'!B521=""),"",OR(IF(ISERROR('Model inputs'!B119=0),'Model inputs'!B119=0,IF('Model inputs'!B119="","",'Model inputs'!B119=0)),'Model inputs'!B521)))))</f>
      </c>
    </row>
    <row r="524">
      <c r="A524" t="inlineStr" s="16">
        <is>
          <t xml:space="preserve">Calculation</t>
        </is>
      </c>
      <c r="B524">
        <f>IF(ISERROR('Model inputs'!E32&lt;='Model inputs'!B119),'Model inputs'!E32&lt;='Model inputs'!B119,IF(OR('Model inputs'!E32="",'Model inputs'!B119=""),"",'Model inputs'!E32&lt;='Model inputs'!B119))</f>
      </c>
    </row>
    <row r="525">
      <c r="A525" t="inlineStr" s="16">
        <is>
          <t xml:space="preserve">Calculation</t>
        </is>
      </c>
      <c r="B525">
        <f>IF(ISERROR('Model inputs'!E32&gt;='Model inputs'!B155),'Model inputs'!E32&gt;='Model inputs'!B155,IF(OR('Model inputs'!E32="",'Model inputs'!B155=""),"",'Model inputs'!E32&gt;='Model inputs'!B155))</f>
      </c>
    </row>
    <row r="526">
      <c r="A526" t="inlineStr" s="16">
        <is>
          <t xml:space="preserve">Calculation</t>
        </is>
      </c>
      <c r="B526">
        <f>(IF(IFERROR(IF(ISERROR('Model inputs'!B119=0),'Model inputs'!B119=0,IF('Model inputs'!B119="","",'Model inputs'!B119=0))=TRUE,FALSE),TRUE,IF(IFERROR('Model inputs'!B524=TRUE,FALSE),TRUE,IF(OR(IF(ISERROR('Model inputs'!B119=0),'Model inputs'!B119=0,IF('Model inputs'!B119="","",'Model inputs'!B119=0))="",'Model inputs'!B524=""),"",OR(IF(ISERROR('Model inputs'!B119=0),'Model inputs'!B119=0,IF('Model inputs'!B119="","",'Model inputs'!B119=0)),'Model inputs'!B524)))))</f>
      </c>
    </row>
    <row r="527">
      <c r="A527" t="inlineStr" s="16">
        <is>
          <t xml:space="preserve">Calculation</t>
        </is>
      </c>
      <c r="B527">
        <f>IF(ISERROR('Model inputs'!F32&lt;='Model inputs'!B119),'Model inputs'!F32&lt;='Model inputs'!B119,IF(OR('Model inputs'!F32="",'Model inputs'!B119=""),"",'Model inputs'!F32&lt;='Model inputs'!B119))</f>
      </c>
    </row>
    <row r="528">
      <c r="A528" t="inlineStr" s="16">
        <is>
          <t xml:space="preserve">Calculation</t>
        </is>
      </c>
      <c r="B528">
        <f>IF(ISERROR('Model inputs'!F32&gt;='Model inputs'!B155),'Model inputs'!F32&gt;='Model inputs'!B155,IF(OR('Model inputs'!F32="",'Model inputs'!B155=""),"",'Model inputs'!F32&gt;='Model inputs'!B155))</f>
      </c>
    </row>
    <row r="529">
      <c r="A529" t="inlineStr" s="16">
        <is>
          <t xml:space="preserve">Calculation</t>
        </is>
      </c>
      <c r="B529">
        <f>(IF(IFERROR(IF(ISERROR('Model inputs'!B119=0),'Model inputs'!B119=0,IF('Model inputs'!B119="","",'Model inputs'!B119=0))=TRUE,FALSE),TRUE,IF(IFERROR('Model inputs'!B527=TRUE,FALSE),TRUE,IF(OR(IF(ISERROR('Model inputs'!B119=0),'Model inputs'!B119=0,IF('Model inputs'!B119="","",'Model inputs'!B119=0))="",'Model inputs'!B527=""),"",OR(IF(ISERROR('Model inputs'!B119=0),'Model inputs'!B119=0,IF('Model inputs'!B119="","",'Model inputs'!B119=0)),'Model inputs'!B527)))))</f>
      </c>
    </row>
    <row r="530">
      <c r="A530" t="inlineStr" s="16">
        <is>
          <t xml:space="preserve">Calculation</t>
        </is>
      </c>
      <c r="B530">
        <f>IF(ISERROR('Model inputs'!G32&lt;='Model inputs'!B119),'Model inputs'!G32&lt;='Model inputs'!B119,IF(OR('Model inputs'!G32="",'Model inputs'!B119=""),"",'Model inputs'!G32&lt;='Model inputs'!B119))</f>
      </c>
    </row>
    <row r="531">
      <c r="A531" t="inlineStr" s="16">
        <is>
          <t xml:space="preserve">Calculation</t>
        </is>
      </c>
      <c r="B531">
        <f>IF(ISERROR('Model inputs'!G32&gt;='Model inputs'!B155),'Model inputs'!G32&gt;='Model inputs'!B155,IF(OR('Model inputs'!G32="",'Model inputs'!B155=""),"",'Model inputs'!G32&gt;='Model inputs'!B155))</f>
      </c>
    </row>
    <row r="532">
      <c r="A532" t="inlineStr" s="16">
        <is>
          <t xml:space="preserve">Calculation</t>
        </is>
      </c>
      <c r="B532">
        <f>(IF(IFERROR(IF(ISERROR('Model inputs'!B119=0),'Model inputs'!B119=0,IF('Model inputs'!B119="","",'Model inputs'!B119=0))=TRUE,FALSE),TRUE,IF(IFERROR('Model inputs'!B530=TRUE,FALSE),TRUE,IF(OR(IF(ISERROR('Model inputs'!B119=0),'Model inputs'!B119=0,IF('Model inputs'!B119="","",'Model inputs'!B119=0))="",'Model inputs'!B530=""),"",OR(IF(ISERROR('Model inputs'!B119=0),'Model inputs'!B119=0,IF('Model inputs'!B119="","",'Model inputs'!B119=0)),'Model inputs'!B530)))))</f>
      </c>
    </row>
    <row r="533">
      <c r="A533" t="inlineStr" s="16">
        <is>
          <t xml:space="preserve">Calculation</t>
        </is>
      </c>
      <c r="B533">
        <f>IF(ISERROR('Model inputs'!H32&lt;='Model inputs'!B119),'Model inputs'!H32&lt;='Model inputs'!B119,IF(OR('Model inputs'!H32="",'Model inputs'!B119=""),"",'Model inputs'!H32&lt;='Model inputs'!B119))</f>
      </c>
    </row>
    <row r="534">
      <c r="A534" t="inlineStr" s="16">
        <is>
          <t xml:space="preserve">Calculation</t>
        </is>
      </c>
      <c r="B534">
        <f>IF(ISERROR('Model inputs'!H32&gt;='Model inputs'!B155),'Model inputs'!H32&gt;='Model inputs'!B155,IF(OR('Model inputs'!H32="",'Model inputs'!B155=""),"",'Model inputs'!H32&gt;='Model inputs'!B155))</f>
      </c>
    </row>
    <row r="535">
      <c r="A535" t="inlineStr" s="16">
        <is>
          <t xml:space="preserve">Calculation</t>
        </is>
      </c>
      <c r="B535">
        <f>(IF(IFERROR(IF(ISERROR('Model inputs'!B119=0),'Model inputs'!B119=0,IF('Model inputs'!B119="","",'Model inputs'!B119=0))=TRUE,FALSE),TRUE,IF(IFERROR('Model inputs'!B533=TRUE,FALSE),TRUE,IF(OR(IF(ISERROR('Model inputs'!B119=0),'Model inputs'!B119=0,IF('Model inputs'!B119="","",'Model inputs'!B119=0))="",'Model inputs'!B533=""),"",OR(IF(ISERROR('Model inputs'!B119=0),'Model inputs'!B119=0,IF('Model inputs'!B119="","",'Model inputs'!B119=0)),'Model inputs'!B533)))))</f>
      </c>
    </row>
    <row r="536">
      <c r="A536" t="inlineStr" s="16">
        <is>
          <t xml:space="preserve">Calculation</t>
        </is>
      </c>
      <c r="B536">
        <f>IF(ISERROR('Model inputs'!I32&lt;='Model inputs'!B119),'Model inputs'!I32&lt;='Model inputs'!B119,IF(OR('Model inputs'!I32="",'Model inputs'!B119=""),"",'Model inputs'!I32&lt;='Model inputs'!B119))</f>
      </c>
    </row>
    <row r="537">
      <c r="A537" t="inlineStr" s="16">
        <is>
          <t xml:space="preserve">Calculation</t>
        </is>
      </c>
      <c r="B537">
        <f>IF(ISERROR('Model inputs'!I32&gt;='Model inputs'!B155),'Model inputs'!I32&gt;='Model inputs'!B155,IF(OR('Model inputs'!I32="",'Model inputs'!B155=""),"",'Model inputs'!I32&gt;='Model inputs'!B155))</f>
      </c>
    </row>
    <row r="538">
      <c r="A538" t="inlineStr" s="16">
        <is>
          <t xml:space="preserve">Calculation</t>
        </is>
      </c>
      <c r="B538">
        <f>(IF(IFERROR(IF(ISERROR('Model inputs'!B119=0),'Model inputs'!B119=0,IF('Model inputs'!B119="","",'Model inputs'!B119=0))=TRUE,FALSE),TRUE,IF(IFERROR('Model inputs'!B536=TRUE,FALSE),TRUE,IF(OR(IF(ISERROR('Model inputs'!B119=0),'Model inputs'!B119=0,IF('Model inputs'!B119="","",'Model inputs'!B119=0))="",'Model inputs'!B536=""),"",OR(IF(ISERROR('Model inputs'!B119=0),'Model inputs'!B119=0,IF('Model inputs'!B119="","",'Model inputs'!B119=0)),'Model inputs'!B536)))))</f>
      </c>
    </row>
    <row r="539">
      <c r="A539" t="inlineStr" s="16">
        <is>
          <t xml:space="preserve">Calculation</t>
        </is>
      </c>
      <c r="B539">
        <f>IF(ISERROR('Model inputs'!J32&lt;='Model inputs'!B119),'Model inputs'!J32&lt;='Model inputs'!B119,IF(OR('Model inputs'!J32="",'Model inputs'!B119=""),"",'Model inputs'!J32&lt;='Model inputs'!B119))</f>
      </c>
    </row>
    <row r="540">
      <c r="A540" t="inlineStr" s="16">
        <is>
          <t xml:space="preserve">Calculation</t>
        </is>
      </c>
      <c r="B540">
        <f>IF(ISERROR('Model inputs'!J32&gt;='Model inputs'!B155),'Model inputs'!J32&gt;='Model inputs'!B155,IF(OR('Model inputs'!J32="",'Model inputs'!B155=""),"",'Model inputs'!J32&gt;='Model inputs'!B155))</f>
      </c>
    </row>
    <row r="541">
      <c r="A541" t="inlineStr" s="16">
        <is>
          <t xml:space="preserve">Calculation</t>
        </is>
      </c>
      <c r="B541">
        <f>(IF(IFERROR(IF(ISERROR('Model inputs'!B119=0),'Model inputs'!B119=0,IF('Model inputs'!B119="","",'Model inputs'!B119=0))=TRUE,FALSE),TRUE,IF(IFERROR('Model inputs'!B539=TRUE,FALSE),TRUE,IF(OR(IF(ISERROR('Model inputs'!B119=0),'Model inputs'!B119=0,IF('Model inputs'!B119="","",'Model inputs'!B119=0))="",'Model inputs'!B539=""),"",OR(IF(ISERROR('Model inputs'!B119=0),'Model inputs'!B119=0,IF('Model inputs'!B119="","",'Model inputs'!B119=0)),'Model inputs'!B539)))))</f>
      </c>
    </row>
    <row r="542">
      <c r="A542" t="inlineStr" s="16">
        <is>
          <t xml:space="preserve">Calculation</t>
        </is>
      </c>
      <c r="B542">
        <f>IF(ISERROR('Model inputs'!K32&lt;='Model inputs'!B119),'Model inputs'!K32&lt;='Model inputs'!B119,IF(OR('Model inputs'!K32="",'Model inputs'!B119=""),"",'Model inputs'!K32&lt;='Model inputs'!B119))</f>
      </c>
    </row>
    <row r="543">
      <c r="A543" t="inlineStr" s="16">
        <is>
          <t xml:space="preserve">Calculation</t>
        </is>
      </c>
      <c r="B543">
        <f>IF(ISERROR('Model inputs'!K32&gt;='Model inputs'!B155),'Model inputs'!K32&gt;='Model inputs'!B155,IF(OR('Model inputs'!K32="",'Model inputs'!B155=""),"",'Model inputs'!K32&gt;='Model inputs'!B155))</f>
      </c>
    </row>
    <row r="544">
      <c r="A544" t="inlineStr" s="16">
        <is>
          <t xml:space="preserve">Calculation</t>
        </is>
      </c>
      <c r="B544">
        <f>(IF(IFERROR(IF(ISERROR('Model inputs'!B119=0),'Model inputs'!B119=0,IF('Model inputs'!B119="","",'Model inputs'!B119=0))=TRUE,FALSE),TRUE,IF(IFERROR('Model inputs'!B542=TRUE,FALSE),TRUE,IF(OR(IF(ISERROR('Model inputs'!B119=0),'Model inputs'!B119=0,IF('Model inputs'!B119="","",'Model inputs'!B119=0))="",'Model inputs'!B542=""),"",OR(IF(ISERROR('Model inputs'!B119=0),'Model inputs'!B119=0,IF('Model inputs'!B119="","",'Model inputs'!B119=0)),'Model inputs'!B542)))))</f>
      </c>
    </row>
    <row r="545">
      <c r="A545" t="inlineStr" s="16">
        <is>
          <t xml:space="preserve">Calculation</t>
        </is>
      </c>
      <c r="B545">
        <f>IF(ISERROR('Model inputs'!L32&lt;='Model inputs'!B119),'Model inputs'!L32&lt;='Model inputs'!B119,IF(OR('Model inputs'!L32="",'Model inputs'!B119=""),"",'Model inputs'!L32&lt;='Model inputs'!B119))</f>
      </c>
    </row>
    <row r="546">
      <c r="A546" t="inlineStr" s="16">
        <is>
          <t xml:space="preserve">Calculation</t>
        </is>
      </c>
      <c r="B546">
        <f>IF(ISERROR('Model inputs'!L32&gt;='Model inputs'!B155),'Model inputs'!L32&gt;='Model inputs'!B155,IF(OR('Model inputs'!L32="",'Model inputs'!B155=""),"",'Model inputs'!L32&gt;='Model inputs'!B155))</f>
      </c>
    </row>
    <row r="547">
      <c r="A547" t="inlineStr" s="16">
        <is>
          <t xml:space="preserve">Calculation</t>
        </is>
      </c>
      <c r="B547">
        <f>(IF(IFERROR(IF(ISERROR('Model inputs'!B119=0),'Model inputs'!B119=0,IF('Model inputs'!B119="","",'Model inputs'!B119=0))=TRUE,FALSE),TRUE,IF(IFERROR('Model inputs'!B545=TRUE,FALSE),TRUE,IF(OR(IF(ISERROR('Model inputs'!B119=0),'Model inputs'!B119=0,IF('Model inputs'!B119="","",'Model inputs'!B119=0))="",'Model inputs'!B545=""),"",OR(IF(ISERROR('Model inputs'!B119=0),'Model inputs'!B119=0,IF('Model inputs'!B119="","",'Model inputs'!B119=0)),'Model inputs'!B545)))))</f>
      </c>
    </row>
    <row r="548">
      <c r="A548" t="inlineStr" s="16">
        <is>
          <t xml:space="preserve">Calculation</t>
        </is>
      </c>
      <c r="B548">
        <f>IF(ISERROR('Model inputs'!M32&lt;='Model inputs'!B119),'Model inputs'!M32&lt;='Model inputs'!B119,IF(OR('Model inputs'!M32="",'Model inputs'!B119=""),"",'Model inputs'!M32&lt;='Model inputs'!B119))</f>
      </c>
    </row>
    <row r="549">
      <c r="A549" t="inlineStr" s="16">
        <is>
          <t xml:space="preserve">Calculation</t>
        </is>
      </c>
      <c r="B549">
        <f>IF(ISERROR('Model inputs'!M32&gt;='Model inputs'!B155),'Model inputs'!M32&gt;='Model inputs'!B155,IF(OR('Model inputs'!M32="",'Model inputs'!B155=""),"",'Model inputs'!M32&gt;='Model inputs'!B155))</f>
      </c>
    </row>
    <row r="550">
      <c r="A550" t="inlineStr" s="16">
        <is>
          <t xml:space="preserve">Calculation</t>
        </is>
      </c>
      <c r="B550">
        <f>(IF(IFERROR(IF(ISERROR('Model inputs'!B119=0),'Model inputs'!B119=0,IF('Model inputs'!B119="","",'Model inputs'!B119=0))=TRUE,FALSE),TRUE,IF(IFERROR('Model inputs'!B548=TRUE,FALSE),TRUE,IF(OR(IF(ISERROR('Model inputs'!B119=0),'Model inputs'!B119=0,IF('Model inputs'!B119="","",'Model inputs'!B119=0))="",'Model inputs'!B548=""),"",OR(IF(ISERROR('Model inputs'!B119=0),'Model inputs'!B119=0,IF('Model inputs'!B119="","",'Model inputs'!B119=0)),'Model inputs'!B548)))))</f>
      </c>
    </row>
    <row r="551">
      <c r="A551" t="inlineStr" s="16">
        <is>
          <t xml:space="preserve">Calculation</t>
        </is>
      </c>
      <c r="B551">
        <f>IF(ISERROR('Model inputs'!N32&lt;='Model inputs'!B119),'Model inputs'!N32&lt;='Model inputs'!B119,IF(OR('Model inputs'!N32="",'Model inputs'!B119=""),"",'Model inputs'!N32&lt;='Model inputs'!B119))</f>
      </c>
    </row>
    <row r="552">
      <c r="A552" t="inlineStr" s="16">
        <is>
          <t xml:space="preserve">Calculation</t>
        </is>
      </c>
      <c r="B552">
        <f>IF(ISERROR('Model inputs'!N32&gt;='Model inputs'!B155),'Model inputs'!N32&gt;='Model inputs'!B155,IF(OR('Model inputs'!N32="",'Model inputs'!B155=""),"",'Model inputs'!N32&gt;='Model inputs'!B155))</f>
      </c>
    </row>
    <row r="553">
      <c r="A553" t="inlineStr" s="16">
        <is>
          <t xml:space="preserve">Calculation</t>
        </is>
      </c>
      <c r="B553">
        <f>(IF(IFERROR(IF(ISERROR('Model inputs'!B119=0),'Model inputs'!B119=0,IF('Model inputs'!B119="","",'Model inputs'!B119=0))=TRUE,FALSE),TRUE,IF(IFERROR('Model inputs'!B551=TRUE,FALSE),TRUE,IF(OR(IF(ISERROR('Model inputs'!B119=0),'Model inputs'!B119=0,IF('Model inputs'!B119="","",'Model inputs'!B119=0))="",'Model inputs'!B551=""),"",OR(IF(ISERROR('Model inputs'!B119=0),'Model inputs'!B119=0,IF('Model inputs'!B119="","",'Model inputs'!B119=0)),'Model inputs'!B551)))))</f>
      </c>
    </row>
    <row r="554">
      <c r="A554" t="inlineStr" s="16">
        <is>
          <t xml:space="preserve">Calculation</t>
        </is>
      </c>
      <c r="B554">
        <f>IF(ISERROR('Model inputs'!O32&lt;='Model inputs'!B119),'Model inputs'!O32&lt;='Model inputs'!B119,IF(OR('Model inputs'!O32="",'Model inputs'!B119=""),"",'Model inputs'!O32&lt;='Model inputs'!B119))</f>
      </c>
    </row>
    <row r="555">
      <c r="A555" t="inlineStr" s="16">
        <is>
          <t xml:space="preserve">Calculation</t>
        </is>
      </c>
      <c r="B555">
        <f>IF(ISERROR('Model inputs'!O32&gt;='Model inputs'!B155),'Model inputs'!O32&gt;='Model inputs'!B155,IF(OR('Model inputs'!O32="",'Model inputs'!B155=""),"",'Model inputs'!O32&gt;='Model inputs'!B155))</f>
      </c>
    </row>
    <row r="556">
      <c r="A556" t="inlineStr" s="16">
        <is>
          <t xml:space="preserve">Calculation</t>
        </is>
      </c>
      <c r="B556">
        <f>(IF(IFERROR(IF(ISERROR('Model inputs'!B119=0),'Model inputs'!B119=0,IF('Model inputs'!B119="","",'Model inputs'!B119=0))=TRUE,FALSE),TRUE,IF(IFERROR('Model inputs'!B554=TRUE,FALSE),TRUE,IF(OR(IF(ISERROR('Model inputs'!B119=0),'Model inputs'!B119=0,IF('Model inputs'!B119="","",'Model inputs'!B119=0))="",'Model inputs'!B554=""),"",OR(IF(ISERROR('Model inputs'!B119=0),'Model inputs'!B119=0,IF('Model inputs'!B119="","",'Model inputs'!B119=0)),'Model inputs'!B554)))))</f>
      </c>
    </row>
    <row r="557">
      <c r="A557" t="inlineStr" s="16">
        <is>
          <t xml:space="preserve">Calculation</t>
        </is>
      </c>
      <c r="B557">
        <f>IF(ISERROR('Model inputs'!P32&lt;='Model inputs'!B119),'Model inputs'!P32&lt;='Model inputs'!B119,IF(OR('Model inputs'!P32="",'Model inputs'!B119=""),"",'Model inputs'!P32&lt;='Model inputs'!B119))</f>
      </c>
    </row>
    <row r="558">
      <c r="A558" t="inlineStr" s="16">
        <is>
          <t xml:space="preserve">Calculation</t>
        </is>
      </c>
      <c r="B558">
        <f>IF(ISERROR('Model inputs'!P32&gt;='Model inputs'!B155),'Model inputs'!P32&gt;='Model inputs'!B155,IF(OR('Model inputs'!P32="",'Model inputs'!B155=""),"",'Model inputs'!P32&gt;='Model inputs'!B155))</f>
      </c>
    </row>
    <row r="559">
      <c r="A559" t="inlineStr" s="16">
        <is>
          <t xml:space="preserve">Calculation</t>
        </is>
      </c>
      <c r="B559">
        <f>(IF(IFERROR(IF(ISERROR('Model inputs'!B119=0),'Model inputs'!B119=0,IF('Model inputs'!B119="","",'Model inputs'!B119=0))=TRUE,FALSE),TRUE,IF(IFERROR('Model inputs'!B557=TRUE,FALSE),TRUE,IF(OR(IF(ISERROR('Model inputs'!B119=0),'Model inputs'!B119=0,IF('Model inputs'!B119="","",'Model inputs'!B119=0))="",'Model inputs'!B557=""),"",OR(IF(ISERROR('Model inputs'!B119=0),'Model inputs'!B119=0,IF('Model inputs'!B119="","",'Model inputs'!B119=0)),'Model inputs'!B557)))))</f>
      </c>
    </row>
    <row r="560">
      <c r="A560" t="inlineStr" s="16">
        <is>
          <t xml:space="preserve">Calculation</t>
        </is>
      </c>
      <c r="B560">
        <f>IF(ISERROR('Model inputs'!Q32&lt;='Model inputs'!B119),'Model inputs'!Q32&lt;='Model inputs'!B119,IF(OR('Model inputs'!Q32="",'Model inputs'!B119=""),"",'Model inputs'!Q32&lt;='Model inputs'!B119))</f>
      </c>
    </row>
    <row r="561">
      <c r="A561" t="inlineStr" s="16">
        <is>
          <t xml:space="preserve">Calculation</t>
        </is>
      </c>
      <c r="B561">
        <f>IF(ISERROR('Model inputs'!Q32&gt;='Model inputs'!B155),'Model inputs'!Q32&gt;='Model inputs'!B155,IF(OR('Model inputs'!Q32="",'Model inputs'!B155=""),"",'Model inputs'!Q32&gt;='Model inputs'!B155))</f>
      </c>
    </row>
    <row r="562">
      <c r="A562" t="inlineStr" s="16">
        <is>
          <t xml:space="preserve">Calculation</t>
        </is>
      </c>
      <c r="B562">
        <f>(IF(IFERROR(IF(ISERROR('Model inputs'!B119=0),'Model inputs'!B119=0,IF('Model inputs'!B119="","",'Model inputs'!B119=0))=TRUE,FALSE),TRUE,IF(IFERROR('Model inputs'!B560=TRUE,FALSE),TRUE,IF(OR(IF(ISERROR('Model inputs'!B119=0),'Model inputs'!B119=0,IF('Model inputs'!B119="","",'Model inputs'!B119=0))="",'Model inputs'!B560=""),"",OR(IF(ISERROR('Model inputs'!B119=0),'Model inputs'!B119=0,IF('Model inputs'!B119="","",'Model inputs'!B119=0)),'Model inputs'!B560)))))</f>
      </c>
    </row>
    <row r="563">
      <c r="A563" t="inlineStr" s="16">
        <is>
          <t xml:space="preserve">Calculation</t>
        </is>
      </c>
      <c r="B563">
        <f>IF(ISERROR('Model inputs'!R32&lt;='Model inputs'!B119),'Model inputs'!R32&lt;='Model inputs'!B119,IF(OR('Model inputs'!R32="",'Model inputs'!B119=""),"",'Model inputs'!R32&lt;='Model inputs'!B119))</f>
      </c>
    </row>
    <row r="564">
      <c r="A564" t="inlineStr" s="16">
        <is>
          <t xml:space="preserve">Calculation</t>
        </is>
      </c>
      <c r="B564">
        <f>IF(ISERROR('Model inputs'!R32&gt;='Model inputs'!B155),'Model inputs'!R32&gt;='Model inputs'!B155,IF(OR('Model inputs'!R32="",'Model inputs'!B155=""),"",'Model inputs'!R32&gt;='Model inputs'!B155))</f>
      </c>
    </row>
    <row r="565">
      <c r="A565" t="inlineStr" s="16">
        <is>
          <t xml:space="preserve">Calculation</t>
        </is>
      </c>
      <c r="B565">
        <f>(IF(IFERROR(IF(ISERROR('Model inputs'!B119=0),'Model inputs'!B119=0,IF('Model inputs'!B119="","",'Model inputs'!B119=0))=TRUE,FALSE),TRUE,IF(IFERROR('Model inputs'!B563=TRUE,FALSE),TRUE,IF(OR(IF(ISERROR('Model inputs'!B119=0),'Model inputs'!B119=0,IF('Model inputs'!B119="","",'Model inputs'!B119=0))="",'Model inputs'!B563=""),"",OR(IF(ISERROR('Model inputs'!B119=0),'Model inputs'!B119=0,IF('Model inputs'!B119="","",'Model inputs'!B119=0)),'Model inputs'!B563)))))</f>
      </c>
    </row>
    <row r="566">
      <c r="A566" t="inlineStr" s="16">
        <is>
          <t xml:space="preserve">Calculation</t>
        </is>
      </c>
      <c r="B566">
        <f>IF(ISERROR('Model inputs'!S32&lt;='Model inputs'!B119),'Model inputs'!S32&lt;='Model inputs'!B119,IF(OR('Model inputs'!S32="",'Model inputs'!B119=""),"",'Model inputs'!S32&lt;='Model inputs'!B119))</f>
      </c>
    </row>
    <row r="567">
      <c r="A567" t="inlineStr" s="16">
        <is>
          <t xml:space="preserve">Calculation</t>
        </is>
      </c>
      <c r="B567">
        <f>IF(ISERROR('Model inputs'!S32&gt;='Model inputs'!B155),'Model inputs'!S32&gt;='Model inputs'!B155,IF(OR('Model inputs'!S32="",'Model inputs'!B155=""),"",'Model inputs'!S32&gt;='Model inputs'!B155))</f>
      </c>
    </row>
    <row r="568">
      <c r="A568" t="inlineStr" s="16">
        <is>
          <t xml:space="preserve">Calculation</t>
        </is>
      </c>
      <c r="B568">
        <f>(IF(IFERROR(IF(ISERROR('Model inputs'!B119=0),'Model inputs'!B119=0,IF('Model inputs'!B119="","",'Model inputs'!B119=0))=TRUE,FALSE),TRUE,IF(IFERROR('Model inputs'!B566=TRUE,FALSE),TRUE,IF(OR(IF(ISERROR('Model inputs'!B119=0),'Model inputs'!B119=0,IF('Model inputs'!B119="","",'Model inputs'!B119=0))="",'Model inputs'!B566=""),"",OR(IF(ISERROR('Model inputs'!B119=0),'Model inputs'!B119=0,IF('Model inputs'!B119="","",'Model inputs'!B119=0)),'Model inputs'!B566)))))</f>
      </c>
    </row>
    <row r="569">
      <c r="A569" t="inlineStr" s="16">
        <is>
          <t xml:space="preserve">Calculation</t>
        </is>
      </c>
      <c r="B569">
        <f>IF(ISERROR('Model inputs'!T32&lt;='Model inputs'!B119),'Model inputs'!T32&lt;='Model inputs'!B119,IF(OR('Model inputs'!T32="",'Model inputs'!B119=""),"",'Model inputs'!T32&lt;='Model inputs'!B119))</f>
      </c>
    </row>
    <row r="570">
      <c r="A570" t="inlineStr" s="16">
        <is>
          <t xml:space="preserve">Calculation</t>
        </is>
      </c>
      <c r="B570">
        <f>IF(ISERROR('Model inputs'!T32&gt;='Model inputs'!B155),'Model inputs'!T32&gt;='Model inputs'!B155,IF(OR('Model inputs'!T32="",'Model inputs'!B155=""),"",'Model inputs'!T32&gt;='Model inputs'!B155))</f>
      </c>
    </row>
    <row r="571">
      <c r="A571" t="inlineStr" s="16">
        <is>
          <t xml:space="preserve">Calculation</t>
        </is>
      </c>
      <c r="B571">
        <f>(IF(IFERROR(IF(ISERROR('Model inputs'!B119=0),'Model inputs'!B119=0,IF('Model inputs'!B119="","",'Model inputs'!B119=0))=TRUE,FALSE),TRUE,IF(IFERROR('Model inputs'!B569=TRUE,FALSE),TRUE,IF(OR(IF(ISERROR('Model inputs'!B119=0),'Model inputs'!B119=0,IF('Model inputs'!B119="","",'Model inputs'!B119=0))="",'Model inputs'!B569=""),"",OR(IF(ISERROR('Model inputs'!B119=0),'Model inputs'!B119=0,IF('Model inputs'!B119="","",'Model inputs'!B119=0)),'Model inputs'!B569)))))</f>
      </c>
    </row>
    <row r="572">
      <c r="A572" t="inlineStr" s="16">
        <is>
          <t xml:space="preserve">Calculation</t>
        </is>
      </c>
      <c r="B572">
        <f>IF(ISERROR('Model inputs'!U32&lt;='Model inputs'!B119),'Model inputs'!U32&lt;='Model inputs'!B119,IF(OR('Model inputs'!U32="",'Model inputs'!B119=""),"",'Model inputs'!U32&lt;='Model inputs'!B119))</f>
      </c>
    </row>
    <row r="573">
      <c r="A573" t="inlineStr" s="16">
        <is>
          <t xml:space="preserve">Calculation</t>
        </is>
      </c>
      <c r="B573">
        <f>IF(ISERROR('Model inputs'!U32&gt;='Model inputs'!B155),'Model inputs'!U32&gt;='Model inputs'!B155,IF(OR('Model inputs'!U32="",'Model inputs'!B155=""),"",'Model inputs'!U32&gt;='Model inputs'!B155))</f>
      </c>
    </row>
    <row r="574">
      <c r="A574" t="inlineStr" s="16">
        <is>
          <t xml:space="preserve">Calculation</t>
        </is>
      </c>
      <c r="B574">
        <f>(IF(IFERROR(IF(ISERROR('Model inputs'!B119=0),'Model inputs'!B119=0,IF('Model inputs'!B119="","",'Model inputs'!B119=0))=TRUE,FALSE),TRUE,IF(IFERROR('Model inputs'!B572=TRUE,FALSE),TRUE,IF(OR(IF(ISERROR('Model inputs'!B119=0),'Model inputs'!B119=0,IF('Model inputs'!B119="","",'Model inputs'!B119=0))="",'Model inputs'!B572=""),"",OR(IF(ISERROR('Model inputs'!B119=0),'Model inputs'!B119=0,IF('Model inputs'!B119="","",'Model inputs'!B119=0)),'Model inputs'!B572)))))</f>
      </c>
    </row>
    <row r="575">
      <c r="A575" t="inlineStr" s="16">
        <is>
          <t xml:space="preserve">Calculation</t>
        </is>
      </c>
      <c r="B575">
        <f>IF(ISERROR('Model inputs'!V32&lt;='Model inputs'!B119),'Model inputs'!V32&lt;='Model inputs'!B119,IF(OR('Model inputs'!V32="",'Model inputs'!B119=""),"",'Model inputs'!V32&lt;='Model inputs'!B119))</f>
      </c>
    </row>
    <row r="576">
      <c r="A576" t="inlineStr" s="16">
        <is>
          <t xml:space="preserve">Calculation</t>
        </is>
      </c>
      <c r="B576">
        <f>IF(ISERROR('Model inputs'!V32&gt;='Model inputs'!B155),'Model inputs'!V32&gt;='Model inputs'!B155,IF(OR('Model inputs'!V32="",'Model inputs'!B155=""),"",'Model inputs'!V32&gt;='Model inputs'!B155))</f>
      </c>
    </row>
    <row r="577">
      <c r="A577" t="inlineStr" s="16">
        <is>
          <t xml:space="preserve">Calculation</t>
        </is>
      </c>
      <c r="B577">
        <f>(IF(IFERROR(IF(ISERROR('Model inputs'!B119=0),'Model inputs'!B119=0,IF('Model inputs'!B119="","",'Model inputs'!B119=0))=TRUE,FALSE),TRUE,IF(IFERROR('Model inputs'!B575=TRUE,FALSE),TRUE,IF(OR(IF(ISERROR('Model inputs'!B119=0),'Model inputs'!B119=0,IF('Model inputs'!B119="","",'Model inputs'!B119=0))="",'Model inputs'!B575=""),"",OR(IF(ISERROR('Model inputs'!B119=0),'Model inputs'!B119=0,IF('Model inputs'!B119="","",'Model inputs'!B119=0)),'Model inputs'!B575)))))</f>
      </c>
    </row>
    <row r="578">
      <c r="A578" t="inlineStr" s="16">
        <is>
          <t xml:space="preserve">Calculation</t>
        </is>
      </c>
      <c r="B578">
        <f>IF(ISERROR('Model inputs'!C32&lt;='Model inputs'!B120),'Model inputs'!C32&lt;='Model inputs'!B120,IF(OR('Model inputs'!C32="",'Model inputs'!B120=""),"",'Model inputs'!C32&lt;='Model inputs'!B120))</f>
      </c>
    </row>
    <row r="579">
      <c r="A579" t="inlineStr" s="16">
        <is>
          <t xml:space="preserve">Calculation</t>
        </is>
      </c>
      <c r="B579">
        <f>IF(ISERROR('Model inputs'!C32&gt;='Model inputs'!B156),'Model inputs'!C32&gt;='Model inputs'!B156,IF(OR('Model inputs'!C32="",'Model inputs'!B156=""),"",'Model inputs'!C32&gt;='Model inputs'!B156))</f>
      </c>
    </row>
    <row r="580">
      <c r="A580" t="inlineStr" s="16">
        <is>
          <t xml:space="preserve">Calculation</t>
        </is>
      </c>
      <c r="B580">
        <f>(IF(IFERROR(IF(ISERROR('Model inputs'!B120=0),'Model inputs'!B120=0,IF('Model inputs'!B120="","",'Model inputs'!B120=0))=TRUE,FALSE),TRUE,IF(IFERROR('Model inputs'!B578=TRUE,FALSE),TRUE,IF(OR(IF(ISERROR('Model inputs'!B120=0),'Model inputs'!B120=0,IF('Model inputs'!B120="","",'Model inputs'!B120=0))="",'Model inputs'!B578=""),"",OR(IF(ISERROR('Model inputs'!B120=0),'Model inputs'!B120=0,IF('Model inputs'!B120="","",'Model inputs'!B120=0)),'Model inputs'!B578)))))</f>
      </c>
    </row>
    <row r="581">
      <c r="A581" t="inlineStr" s="16">
        <is>
          <t xml:space="preserve">Calculation</t>
        </is>
      </c>
      <c r="B581">
        <f>IF(ISERROR('Model inputs'!D32&lt;='Model inputs'!B120),'Model inputs'!D32&lt;='Model inputs'!B120,IF(OR('Model inputs'!D32="",'Model inputs'!B120=""),"",'Model inputs'!D32&lt;='Model inputs'!B120))</f>
      </c>
    </row>
    <row r="582">
      <c r="A582" t="inlineStr" s="16">
        <is>
          <t xml:space="preserve">Calculation</t>
        </is>
      </c>
      <c r="B582">
        <f>IF(ISERROR('Model inputs'!D32&gt;='Model inputs'!B156),'Model inputs'!D32&gt;='Model inputs'!B156,IF(OR('Model inputs'!D32="",'Model inputs'!B156=""),"",'Model inputs'!D32&gt;='Model inputs'!B156))</f>
      </c>
    </row>
    <row r="583">
      <c r="A583" t="inlineStr" s="16">
        <is>
          <t xml:space="preserve">Calculation</t>
        </is>
      </c>
      <c r="B583">
        <f>(IF(IFERROR(IF(ISERROR('Model inputs'!B120=0),'Model inputs'!B120=0,IF('Model inputs'!B120="","",'Model inputs'!B120=0))=TRUE,FALSE),TRUE,IF(IFERROR('Model inputs'!B581=TRUE,FALSE),TRUE,IF(OR(IF(ISERROR('Model inputs'!B120=0),'Model inputs'!B120=0,IF('Model inputs'!B120="","",'Model inputs'!B120=0))="",'Model inputs'!B581=""),"",OR(IF(ISERROR('Model inputs'!B120=0),'Model inputs'!B120=0,IF('Model inputs'!B120="","",'Model inputs'!B120=0)),'Model inputs'!B581)))))</f>
      </c>
    </row>
    <row r="584">
      <c r="A584" t="inlineStr" s="16">
        <is>
          <t xml:space="preserve">Calculation</t>
        </is>
      </c>
      <c r="B584">
        <f>IF(ISERROR('Model inputs'!E32&lt;='Model inputs'!B120),'Model inputs'!E32&lt;='Model inputs'!B120,IF(OR('Model inputs'!E32="",'Model inputs'!B120=""),"",'Model inputs'!E32&lt;='Model inputs'!B120))</f>
      </c>
    </row>
    <row r="585">
      <c r="A585" t="inlineStr" s="16">
        <is>
          <t xml:space="preserve">Calculation</t>
        </is>
      </c>
      <c r="B585">
        <f>IF(ISERROR('Model inputs'!E32&gt;='Model inputs'!B156),'Model inputs'!E32&gt;='Model inputs'!B156,IF(OR('Model inputs'!E32="",'Model inputs'!B156=""),"",'Model inputs'!E32&gt;='Model inputs'!B156))</f>
      </c>
    </row>
    <row r="586">
      <c r="A586" t="inlineStr" s="16">
        <is>
          <t xml:space="preserve">Calculation</t>
        </is>
      </c>
      <c r="B586">
        <f>(IF(IFERROR(IF(ISERROR('Model inputs'!B120=0),'Model inputs'!B120=0,IF('Model inputs'!B120="","",'Model inputs'!B120=0))=TRUE,FALSE),TRUE,IF(IFERROR('Model inputs'!B584=TRUE,FALSE),TRUE,IF(OR(IF(ISERROR('Model inputs'!B120=0),'Model inputs'!B120=0,IF('Model inputs'!B120="","",'Model inputs'!B120=0))="",'Model inputs'!B584=""),"",OR(IF(ISERROR('Model inputs'!B120=0),'Model inputs'!B120=0,IF('Model inputs'!B120="","",'Model inputs'!B120=0)),'Model inputs'!B584)))))</f>
      </c>
    </row>
    <row r="587">
      <c r="A587" t="inlineStr" s="16">
        <is>
          <t xml:space="preserve">Calculation</t>
        </is>
      </c>
      <c r="B587">
        <f>IF(ISERROR('Model inputs'!F32&lt;='Model inputs'!B120),'Model inputs'!F32&lt;='Model inputs'!B120,IF(OR('Model inputs'!F32="",'Model inputs'!B120=""),"",'Model inputs'!F32&lt;='Model inputs'!B120))</f>
      </c>
    </row>
    <row r="588">
      <c r="A588" t="inlineStr" s="16">
        <is>
          <t xml:space="preserve">Calculation</t>
        </is>
      </c>
      <c r="B588">
        <f>IF(ISERROR('Model inputs'!F32&gt;='Model inputs'!B156),'Model inputs'!F32&gt;='Model inputs'!B156,IF(OR('Model inputs'!F32="",'Model inputs'!B156=""),"",'Model inputs'!F32&gt;='Model inputs'!B156))</f>
      </c>
    </row>
    <row r="589">
      <c r="A589" t="inlineStr" s="16">
        <is>
          <t xml:space="preserve">Calculation</t>
        </is>
      </c>
      <c r="B589">
        <f>(IF(IFERROR(IF(ISERROR('Model inputs'!B120=0),'Model inputs'!B120=0,IF('Model inputs'!B120="","",'Model inputs'!B120=0))=TRUE,FALSE),TRUE,IF(IFERROR('Model inputs'!B587=TRUE,FALSE),TRUE,IF(OR(IF(ISERROR('Model inputs'!B120=0),'Model inputs'!B120=0,IF('Model inputs'!B120="","",'Model inputs'!B120=0))="",'Model inputs'!B587=""),"",OR(IF(ISERROR('Model inputs'!B120=0),'Model inputs'!B120=0,IF('Model inputs'!B120="","",'Model inputs'!B120=0)),'Model inputs'!B587)))))</f>
      </c>
    </row>
    <row r="590">
      <c r="A590" t="inlineStr" s="16">
        <is>
          <t xml:space="preserve">Calculation</t>
        </is>
      </c>
      <c r="B590">
        <f>IF(ISERROR('Model inputs'!G32&lt;='Model inputs'!B120),'Model inputs'!G32&lt;='Model inputs'!B120,IF(OR('Model inputs'!G32="",'Model inputs'!B120=""),"",'Model inputs'!G32&lt;='Model inputs'!B120))</f>
      </c>
    </row>
    <row r="591">
      <c r="A591" t="inlineStr" s="16">
        <is>
          <t xml:space="preserve">Calculation</t>
        </is>
      </c>
      <c r="B591">
        <f>IF(ISERROR('Model inputs'!G32&gt;='Model inputs'!B156),'Model inputs'!G32&gt;='Model inputs'!B156,IF(OR('Model inputs'!G32="",'Model inputs'!B156=""),"",'Model inputs'!G32&gt;='Model inputs'!B156))</f>
      </c>
    </row>
    <row r="592">
      <c r="A592" t="inlineStr" s="16">
        <is>
          <t xml:space="preserve">Calculation</t>
        </is>
      </c>
      <c r="B592">
        <f>(IF(IFERROR(IF(ISERROR('Model inputs'!B120=0),'Model inputs'!B120=0,IF('Model inputs'!B120="","",'Model inputs'!B120=0))=TRUE,FALSE),TRUE,IF(IFERROR('Model inputs'!B590=TRUE,FALSE),TRUE,IF(OR(IF(ISERROR('Model inputs'!B120=0),'Model inputs'!B120=0,IF('Model inputs'!B120="","",'Model inputs'!B120=0))="",'Model inputs'!B590=""),"",OR(IF(ISERROR('Model inputs'!B120=0),'Model inputs'!B120=0,IF('Model inputs'!B120="","",'Model inputs'!B120=0)),'Model inputs'!B590)))))</f>
      </c>
    </row>
    <row r="593">
      <c r="A593" t="inlineStr" s="16">
        <is>
          <t xml:space="preserve">Calculation</t>
        </is>
      </c>
      <c r="B593">
        <f>IF(ISERROR('Model inputs'!H32&lt;='Model inputs'!B120),'Model inputs'!H32&lt;='Model inputs'!B120,IF(OR('Model inputs'!H32="",'Model inputs'!B120=""),"",'Model inputs'!H32&lt;='Model inputs'!B120))</f>
      </c>
    </row>
    <row r="594">
      <c r="A594" t="inlineStr" s="16">
        <is>
          <t xml:space="preserve">Calculation</t>
        </is>
      </c>
      <c r="B594">
        <f>IF(ISERROR('Model inputs'!H32&gt;='Model inputs'!B156),'Model inputs'!H32&gt;='Model inputs'!B156,IF(OR('Model inputs'!H32="",'Model inputs'!B156=""),"",'Model inputs'!H32&gt;='Model inputs'!B156))</f>
      </c>
    </row>
    <row r="595">
      <c r="A595" t="inlineStr" s="16">
        <is>
          <t xml:space="preserve">Calculation</t>
        </is>
      </c>
      <c r="B595">
        <f>(IF(IFERROR(IF(ISERROR('Model inputs'!B120=0),'Model inputs'!B120=0,IF('Model inputs'!B120="","",'Model inputs'!B120=0))=TRUE,FALSE),TRUE,IF(IFERROR('Model inputs'!B593=TRUE,FALSE),TRUE,IF(OR(IF(ISERROR('Model inputs'!B120=0),'Model inputs'!B120=0,IF('Model inputs'!B120="","",'Model inputs'!B120=0))="",'Model inputs'!B593=""),"",OR(IF(ISERROR('Model inputs'!B120=0),'Model inputs'!B120=0,IF('Model inputs'!B120="","",'Model inputs'!B120=0)),'Model inputs'!B593)))))</f>
      </c>
    </row>
    <row r="596">
      <c r="A596" t="inlineStr" s="16">
        <is>
          <t xml:space="preserve">Calculation</t>
        </is>
      </c>
      <c r="B596">
        <f>IF(ISERROR('Model inputs'!I32&lt;='Model inputs'!B120),'Model inputs'!I32&lt;='Model inputs'!B120,IF(OR('Model inputs'!I32="",'Model inputs'!B120=""),"",'Model inputs'!I32&lt;='Model inputs'!B120))</f>
      </c>
    </row>
    <row r="597">
      <c r="A597" t="inlineStr" s="16">
        <is>
          <t xml:space="preserve">Calculation</t>
        </is>
      </c>
      <c r="B597">
        <f>IF(ISERROR('Model inputs'!I32&gt;='Model inputs'!B156),'Model inputs'!I32&gt;='Model inputs'!B156,IF(OR('Model inputs'!I32="",'Model inputs'!B156=""),"",'Model inputs'!I32&gt;='Model inputs'!B156))</f>
      </c>
    </row>
    <row r="598">
      <c r="A598" t="inlineStr" s="16">
        <is>
          <t xml:space="preserve">Calculation</t>
        </is>
      </c>
      <c r="B598">
        <f>(IF(IFERROR(IF(ISERROR('Model inputs'!B120=0),'Model inputs'!B120=0,IF('Model inputs'!B120="","",'Model inputs'!B120=0))=TRUE,FALSE),TRUE,IF(IFERROR('Model inputs'!B596=TRUE,FALSE),TRUE,IF(OR(IF(ISERROR('Model inputs'!B120=0),'Model inputs'!B120=0,IF('Model inputs'!B120="","",'Model inputs'!B120=0))="",'Model inputs'!B596=""),"",OR(IF(ISERROR('Model inputs'!B120=0),'Model inputs'!B120=0,IF('Model inputs'!B120="","",'Model inputs'!B120=0)),'Model inputs'!B596)))))</f>
      </c>
    </row>
    <row r="599">
      <c r="A599" t="inlineStr" s="16">
        <is>
          <t xml:space="preserve">Calculation</t>
        </is>
      </c>
      <c r="B599">
        <f>IF(ISERROR('Model inputs'!J32&lt;='Model inputs'!B120),'Model inputs'!J32&lt;='Model inputs'!B120,IF(OR('Model inputs'!J32="",'Model inputs'!B120=""),"",'Model inputs'!J32&lt;='Model inputs'!B120))</f>
      </c>
    </row>
    <row r="600">
      <c r="A600" t="inlineStr" s="16">
        <is>
          <t xml:space="preserve">Calculation</t>
        </is>
      </c>
      <c r="B600">
        <f>IF(ISERROR('Model inputs'!J32&gt;='Model inputs'!B156),'Model inputs'!J32&gt;='Model inputs'!B156,IF(OR('Model inputs'!J32="",'Model inputs'!B156=""),"",'Model inputs'!J32&gt;='Model inputs'!B156))</f>
      </c>
    </row>
    <row r="601">
      <c r="A601" t="inlineStr" s="16">
        <is>
          <t xml:space="preserve">Calculation</t>
        </is>
      </c>
      <c r="B601">
        <f>(IF(IFERROR(IF(ISERROR('Model inputs'!B120=0),'Model inputs'!B120=0,IF('Model inputs'!B120="","",'Model inputs'!B120=0))=TRUE,FALSE),TRUE,IF(IFERROR('Model inputs'!B599=TRUE,FALSE),TRUE,IF(OR(IF(ISERROR('Model inputs'!B120=0),'Model inputs'!B120=0,IF('Model inputs'!B120="","",'Model inputs'!B120=0))="",'Model inputs'!B599=""),"",OR(IF(ISERROR('Model inputs'!B120=0),'Model inputs'!B120=0,IF('Model inputs'!B120="","",'Model inputs'!B120=0)),'Model inputs'!B599)))))</f>
      </c>
    </row>
    <row r="602">
      <c r="A602" t="inlineStr" s="16">
        <is>
          <t xml:space="preserve">Calculation</t>
        </is>
      </c>
      <c r="B602">
        <f>IF(ISERROR('Model inputs'!K32&lt;='Model inputs'!B120),'Model inputs'!K32&lt;='Model inputs'!B120,IF(OR('Model inputs'!K32="",'Model inputs'!B120=""),"",'Model inputs'!K32&lt;='Model inputs'!B120))</f>
      </c>
    </row>
    <row r="603">
      <c r="A603" t="inlineStr" s="16">
        <is>
          <t xml:space="preserve">Calculation</t>
        </is>
      </c>
      <c r="B603">
        <f>IF(ISERROR('Model inputs'!K32&gt;='Model inputs'!B156),'Model inputs'!K32&gt;='Model inputs'!B156,IF(OR('Model inputs'!K32="",'Model inputs'!B156=""),"",'Model inputs'!K32&gt;='Model inputs'!B156))</f>
      </c>
    </row>
    <row r="604">
      <c r="A604" t="inlineStr" s="16">
        <is>
          <t xml:space="preserve">Calculation</t>
        </is>
      </c>
      <c r="B604">
        <f>(IF(IFERROR(IF(ISERROR('Model inputs'!B120=0),'Model inputs'!B120=0,IF('Model inputs'!B120="","",'Model inputs'!B120=0))=TRUE,FALSE),TRUE,IF(IFERROR('Model inputs'!B602=TRUE,FALSE),TRUE,IF(OR(IF(ISERROR('Model inputs'!B120=0),'Model inputs'!B120=0,IF('Model inputs'!B120="","",'Model inputs'!B120=0))="",'Model inputs'!B602=""),"",OR(IF(ISERROR('Model inputs'!B120=0),'Model inputs'!B120=0,IF('Model inputs'!B120="","",'Model inputs'!B120=0)),'Model inputs'!B602)))))</f>
      </c>
    </row>
    <row r="605">
      <c r="A605" t="inlineStr" s="16">
        <is>
          <t xml:space="preserve">Calculation</t>
        </is>
      </c>
      <c r="B605">
        <f>IF(ISERROR('Model inputs'!L32&lt;='Model inputs'!B120),'Model inputs'!L32&lt;='Model inputs'!B120,IF(OR('Model inputs'!L32="",'Model inputs'!B120=""),"",'Model inputs'!L32&lt;='Model inputs'!B120))</f>
      </c>
    </row>
    <row r="606">
      <c r="A606" t="inlineStr" s="16">
        <is>
          <t xml:space="preserve">Calculation</t>
        </is>
      </c>
      <c r="B606">
        <f>IF(ISERROR('Model inputs'!L32&gt;='Model inputs'!B156),'Model inputs'!L32&gt;='Model inputs'!B156,IF(OR('Model inputs'!L32="",'Model inputs'!B156=""),"",'Model inputs'!L32&gt;='Model inputs'!B156))</f>
      </c>
    </row>
    <row r="607">
      <c r="A607" t="inlineStr" s="16">
        <is>
          <t xml:space="preserve">Calculation</t>
        </is>
      </c>
      <c r="B607">
        <f>(IF(IFERROR(IF(ISERROR('Model inputs'!B120=0),'Model inputs'!B120=0,IF('Model inputs'!B120="","",'Model inputs'!B120=0))=TRUE,FALSE),TRUE,IF(IFERROR('Model inputs'!B605=TRUE,FALSE),TRUE,IF(OR(IF(ISERROR('Model inputs'!B120=0),'Model inputs'!B120=0,IF('Model inputs'!B120="","",'Model inputs'!B120=0))="",'Model inputs'!B605=""),"",OR(IF(ISERROR('Model inputs'!B120=0),'Model inputs'!B120=0,IF('Model inputs'!B120="","",'Model inputs'!B120=0)),'Model inputs'!B605)))))</f>
      </c>
    </row>
    <row r="608">
      <c r="A608" t="inlineStr" s="16">
        <is>
          <t xml:space="preserve">Calculation</t>
        </is>
      </c>
      <c r="B608">
        <f>IF(ISERROR('Model inputs'!M32&lt;='Model inputs'!B120),'Model inputs'!M32&lt;='Model inputs'!B120,IF(OR('Model inputs'!M32="",'Model inputs'!B120=""),"",'Model inputs'!M32&lt;='Model inputs'!B120))</f>
      </c>
    </row>
    <row r="609">
      <c r="A609" t="inlineStr" s="16">
        <is>
          <t xml:space="preserve">Calculation</t>
        </is>
      </c>
      <c r="B609">
        <f>IF(ISERROR('Model inputs'!M32&gt;='Model inputs'!B156),'Model inputs'!M32&gt;='Model inputs'!B156,IF(OR('Model inputs'!M32="",'Model inputs'!B156=""),"",'Model inputs'!M32&gt;='Model inputs'!B156))</f>
      </c>
    </row>
    <row r="610">
      <c r="A610" t="inlineStr" s="16">
        <is>
          <t xml:space="preserve">Calculation</t>
        </is>
      </c>
      <c r="B610">
        <f>(IF(IFERROR(IF(ISERROR('Model inputs'!B120=0),'Model inputs'!B120=0,IF('Model inputs'!B120="","",'Model inputs'!B120=0))=TRUE,FALSE),TRUE,IF(IFERROR('Model inputs'!B608=TRUE,FALSE),TRUE,IF(OR(IF(ISERROR('Model inputs'!B120=0),'Model inputs'!B120=0,IF('Model inputs'!B120="","",'Model inputs'!B120=0))="",'Model inputs'!B608=""),"",OR(IF(ISERROR('Model inputs'!B120=0),'Model inputs'!B120=0,IF('Model inputs'!B120="","",'Model inputs'!B120=0)),'Model inputs'!B608)))))</f>
      </c>
    </row>
    <row r="611">
      <c r="A611" t="inlineStr" s="16">
        <is>
          <t xml:space="preserve">Calculation</t>
        </is>
      </c>
      <c r="B611">
        <f>IF(ISERROR('Model inputs'!N32&lt;='Model inputs'!B120),'Model inputs'!N32&lt;='Model inputs'!B120,IF(OR('Model inputs'!N32="",'Model inputs'!B120=""),"",'Model inputs'!N32&lt;='Model inputs'!B120))</f>
      </c>
    </row>
    <row r="612">
      <c r="A612" t="inlineStr" s="16">
        <is>
          <t xml:space="preserve">Calculation</t>
        </is>
      </c>
      <c r="B612">
        <f>IF(ISERROR('Model inputs'!N32&gt;='Model inputs'!B156),'Model inputs'!N32&gt;='Model inputs'!B156,IF(OR('Model inputs'!N32="",'Model inputs'!B156=""),"",'Model inputs'!N32&gt;='Model inputs'!B156))</f>
      </c>
    </row>
    <row r="613">
      <c r="A613" t="inlineStr" s="16">
        <is>
          <t xml:space="preserve">Calculation</t>
        </is>
      </c>
      <c r="B613">
        <f>(IF(IFERROR(IF(ISERROR('Model inputs'!B120=0),'Model inputs'!B120=0,IF('Model inputs'!B120="","",'Model inputs'!B120=0))=TRUE,FALSE),TRUE,IF(IFERROR('Model inputs'!B611=TRUE,FALSE),TRUE,IF(OR(IF(ISERROR('Model inputs'!B120=0),'Model inputs'!B120=0,IF('Model inputs'!B120="","",'Model inputs'!B120=0))="",'Model inputs'!B611=""),"",OR(IF(ISERROR('Model inputs'!B120=0),'Model inputs'!B120=0,IF('Model inputs'!B120="","",'Model inputs'!B120=0)),'Model inputs'!B611)))))</f>
      </c>
    </row>
    <row r="614">
      <c r="A614" t="inlineStr" s="16">
        <is>
          <t xml:space="preserve">Calculation</t>
        </is>
      </c>
      <c r="B614">
        <f>IF(ISERROR('Model inputs'!O32&lt;='Model inputs'!B120),'Model inputs'!O32&lt;='Model inputs'!B120,IF(OR('Model inputs'!O32="",'Model inputs'!B120=""),"",'Model inputs'!O32&lt;='Model inputs'!B120))</f>
      </c>
    </row>
    <row r="615">
      <c r="A615" t="inlineStr" s="16">
        <is>
          <t xml:space="preserve">Calculation</t>
        </is>
      </c>
      <c r="B615">
        <f>IF(ISERROR('Model inputs'!O32&gt;='Model inputs'!B156),'Model inputs'!O32&gt;='Model inputs'!B156,IF(OR('Model inputs'!O32="",'Model inputs'!B156=""),"",'Model inputs'!O32&gt;='Model inputs'!B156))</f>
      </c>
    </row>
    <row r="616">
      <c r="A616" t="inlineStr" s="16">
        <is>
          <t xml:space="preserve">Calculation</t>
        </is>
      </c>
      <c r="B616">
        <f>(IF(IFERROR(IF(ISERROR('Model inputs'!B120=0),'Model inputs'!B120=0,IF('Model inputs'!B120="","",'Model inputs'!B120=0))=TRUE,FALSE),TRUE,IF(IFERROR('Model inputs'!B614=TRUE,FALSE),TRUE,IF(OR(IF(ISERROR('Model inputs'!B120=0),'Model inputs'!B120=0,IF('Model inputs'!B120="","",'Model inputs'!B120=0))="",'Model inputs'!B614=""),"",OR(IF(ISERROR('Model inputs'!B120=0),'Model inputs'!B120=0,IF('Model inputs'!B120="","",'Model inputs'!B120=0)),'Model inputs'!B614)))))</f>
      </c>
    </row>
    <row r="617">
      <c r="A617" t="inlineStr" s="16">
        <is>
          <t xml:space="preserve">Calculation</t>
        </is>
      </c>
      <c r="B617">
        <f>IF(ISERROR('Model inputs'!P32&lt;='Model inputs'!B120),'Model inputs'!P32&lt;='Model inputs'!B120,IF(OR('Model inputs'!P32="",'Model inputs'!B120=""),"",'Model inputs'!P32&lt;='Model inputs'!B120))</f>
      </c>
    </row>
    <row r="618">
      <c r="A618" t="inlineStr" s="16">
        <is>
          <t xml:space="preserve">Calculation</t>
        </is>
      </c>
      <c r="B618">
        <f>IF(ISERROR('Model inputs'!P32&gt;='Model inputs'!B156),'Model inputs'!P32&gt;='Model inputs'!B156,IF(OR('Model inputs'!P32="",'Model inputs'!B156=""),"",'Model inputs'!P32&gt;='Model inputs'!B156))</f>
      </c>
    </row>
    <row r="619">
      <c r="A619" t="inlineStr" s="16">
        <is>
          <t xml:space="preserve">Calculation</t>
        </is>
      </c>
      <c r="B619">
        <f>(IF(IFERROR(IF(ISERROR('Model inputs'!B120=0),'Model inputs'!B120=0,IF('Model inputs'!B120="","",'Model inputs'!B120=0))=TRUE,FALSE),TRUE,IF(IFERROR('Model inputs'!B617=TRUE,FALSE),TRUE,IF(OR(IF(ISERROR('Model inputs'!B120=0),'Model inputs'!B120=0,IF('Model inputs'!B120="","",'Model inputs'!B120=0))="",'Model inputs'!B617=""),"",OR(IF(ISERROR('Model inputs'!B120=0),'Model inputs'!B120=0,IF('Model inputs'!B120="","",'Model inputs'!B120=0)),'Model inputs'!B617)))))</f>
      </c>
    </row>
    <row r="620">
      <c r="A620" t="inlineStr" s="16">
        <is>
          <t xml:space="preserve">Calculation</t>
        </is>
      </c>
      <c r="B620">
        <f>IF(ISERROR('Model inputs'!Q32&lt;='Model inputs'!B120),'Model inputs'!Q32&lt;='Model inputs'!B120,IF(OR('Model inputs'!Q32="",'Model inputs'!B120=""),"",'Model inputs'!Q32&lt;='Model inputs'!B120))</f>
      </c>
    </row>
    <row r="621">
      <c r="A621" t="inlineStr" s="16">
        <is>
          <t xml:space="preserve">Calculation</t>
        </is>
      </c>
      <c r="B621">
        <f>IF(ISERROR('Model inputs'!Q32&gt;='Model inputs'!B156),'Model inputs'!Q32&gt;='Model inputs'!B156,IF(OR('Model inputs'!Q32="",'Model inputs'!B156=""),"",'Model inputs'!Q32&gt;='Model inputs'!B156))</f>
      </c>
    </row>
    <row r="622">
      <c r="A622" t="inlineStr" s="16">
        <is>
          <t xml:space="preserve">Calculation</t>
        </is>
      </c>
      <c r="B622">
        <f>(IF(IFERROR(IF(ISERROR('Model inputs'!B120=0),'Model inputs'!B120=0,IF('Model inputs'!B120="","",'Model inputs'!B120=0))=TRUE,FALSE),TRUE,IF(IFERROR('Model inputs'!B620=TRUE,FALSE),TRUE,IF(OR(IF(ISERROR('Model inputs'!B120=0),'Model inputs'!B120=0,IF('Model inputs'!B120="","",'Model inputs'!B120=0))="",'Model inputs'!B620=""),"",OR(IF(ISERROR('Model inputs'!B120=0),'Model inputs'!B120=0,IF('Model inputs'!B120="","",'Model inputs'!B120=0)),'Model inputs'!B620)))))</f>
      </c>
    </row>
    <row r="623">
      <c r="A623" t="inlineStr" s="16">
        <is>
          <t xml:space="preserve">Calculation</t>
        </is>
      </c>
      <c r="B623">
        <f>IF(ISERROR('Model inputs'!R32&lt;='Model inputs'!B120),'Model inputs'!R32&lt;='Model inputs'!B120,IF(OR('Model inputs'!R32="",'Model inputs'!B120=""),"",'Model inputs'!R32&lt;='Model inputs'!B120))</f>
      </c>
    </row>
    <row r="624">
      <c r="A624" t="inlineStr" s="16">
        <is>
          <t xml:space="preserve">Calculation</t>
        </is>
      </c>
      <c r="B624">
        <f>IF(ISERROR('Model inputs'!R32&gt;='Model inputs'!B156),'Model inputs'!R32&gt;='Model inputs'!B156,IF(OR('Model inputs'!R32="",'Model inputs'!B156=""),"",'Model inputs'!R32&gt;='Model inputs'!B156))</f>
      </c>
    </row>
    <row r="625">
      <c r="A625" t="inlineStr" s="16">
        <is>
          <t xml:space="preserve">Calculation</t>
        </is>
      </c>
      <c r="B625">
        <f>(IF(IFERROR(IF(ISERROR('Model inputs'!B120=0),'Model inputs'!B120=0,IF('Model inputs'!B120="","",'Model inputs'!B120=0))=TRUE,FALSE),TRUE,IF(IFERROR('Model inputs'!B623=TRUE,FALSE),TRUE,IF(OR(IF(ISERROR('Model inputs'!B120=0),'Model inputs'!B120=0,IF('Model inputs'!B120="","",'Model inputs'!B120=0))="",'Model inputs'!B623=""),"",OR(IF(ISERROR('Model inputs'!B120=0),'Model inputs'!B120=0,IF('Model inputs'!B120="","",'Model inputs'!B120=0)),'Model inputs'!B623)))))</f>
      </c>
    </row>
    <row r="626">
      <c r="A626" t="inlineStr" s="16">
        <is>
          <t xml:space="preserve">Calculation</t>
        </is>
      </c>
      <c r="B626">
        <f>IF(ISERROR('Model inputs'!S32&lt;='Model inputs'!B120),'Model inputs'!S32&lt;='Model inputs'!B120,IF(OR('Model inputs'!S32="",'Model inputs'!B120=""),"",'Model inputs'!S32&lt;='Model inputs'!B120))</f>
      </c>
    </row>
    <row r="627">
      <c r="A627" t="inlineStr" s="16">
        <is>
          <t xml:space="preserve">Calculation</t>
        </is>
      </c>
      <c r="B627">
        <f>IF(ISERROR('Model inputs'!S32&gt;='Model inputs'!B156),'Model inputs'!S32&gt;='Model inputs'!B156,IF(OR('Model inputs'!S32="",'Model inputs'!B156=""),"",'Model inputs'!S32&gt;='Model inputs'!B156))</f>
      </c>
    </row>
    <row r="628">
      <c r="A628" t="inlineStr" s="16">
        <is>
          <t xml:space="preserve">Calculation</t>
        </is>
      </c>
      <c r="B628">
        <f>(IF(IFERROR(IF(ISERROR('Model inputs'!B120=0),'Model inputs'!B120=0,IF('Model inputs'!B120="","",'Model inputs'!B120=0))=TRUE,FALSE),TRUE,IF(IFERROR('Model inputs'!B626=TRUE,FALSE),TRUE,IF(OR(IF(ISERROR('Model inputs'!B120=0),'Model inputs'!B120=0,IF('Model inputs'!B120="","",'Model inputs'!B120=0))="",'Model inputs'!B626=""),"",OR(IF(ISERROR('Model inputs'!B120=0),'Model inputs'!B120=0,IF('Model inputs'!B120="","",'Model inputs'!B120=0)),'Model inputs'!B626)))))</f>
      </c>
    </row>
    <row r="629">
      <c r="A629" t="inlineStr" s="16">
        <is>
          <t xml:space="preserve">Calculation</t>
        </is>
      </c>
      <c r="B629">
        <f>IF(ISERROR('Model inputs'!T32&lt;='Model inputs'!B120),'Model inputs'!T32&lt;='Model inputs'!B120,IF(OR('Model inputs'!T32="",'Model inputs'!B120=""),"",'Model inputs'!T32&lt;='Model inputs'!B120))</f>
      </c>
    </row>
    <row r="630">
      <c r="A630" t="inlineStr" s="16">
        <is>
          <t xml:space="preserve">Calculation</t>
        </is>
      </c>
      <c r="B630">
        <f>IF(ISERROR('Model inputs'!T32&gt;='Model inputs'!B156),'Model inputs'!T32&gt;='Model inputs'!B156,IF(OR('Model inputs'!T32="",'Model inputs'!B156=""),"",'Model inputs'!T32&gt;='Model inputs'!B156))</f>
      </c>
    </row>
    <row r="631">
      <c r="A631" t="inlineStr" s="16">
        <is>
          <t xml:space="preserve">Calculation</t>
        </is>
      </c>
      <c r="B631">
        <f>(IF(IFERROR(IF(ISERROR('Model inputs'!B120=0),'Model inputs'!B120=0,IF('Model inputs'!B120="","",'Model inputs'!B120=0))=TRUE,FALSE),TRUE,IF(IFERROR('Model inputs'!B629=TRUE,FALSE),TRUE,IF(OR(IF(ISERROR('Model inputs'!B120=0),'Model inputs'!B120=0,IF('Model inputs'!B120="","",'Model inputs'!B120=0))="",'Model inputs'!B629=""),"",OR(IF(ISERROR('Model inputs'!B120=0),'Model inputs'!B120=0,IF('Model inputs'!B120="","",'Model inputs'!B120=0)),'Model inputs'!B629)))))</f>
      </c>
    </row>
    <row r="632">
      <c r="A632" t="inlineStr" s="16">
        <is>
          <t xml:space="preserve">Calculation</t>
        </is>
      </c>
      <c r="B632">
        <f>IF(ISERROR('Model inputs'!U32&lt;='Model inputs'!B120),'Model inputs'!U32&lt;='Model inputs'!B120,IF(OR('Model inputs'!U32="",'Model inputs'!B120=""),"",'Model inputs'!U32&lt;='Model inputs'!B120))</f>
      </c>
    </row>
    <row r="633">
      <c r="A633" t="inlineStr" s="16">
        <is>
          <t xml:space="preserve">Calculation</t>
        </is>
      </c>
      <c r="B633">
        <f>IF(ISERROR('Model inputs'!U32&gt;='Model inputs'!B156),'Model inputs'!U32&gt;='Model inputs'!B156,IF(OR('Model inputs'!U32="",'Model inputs'!B156=""),"",'Model inputs'!U32&gt;='Model inputs'!B156))</f>
      </c>
    </row>
    <row r="634">
      <c r="A634" t="inlineStr" s="16">
        <is>
          <t xml:space="preserve">Calculation</t>
        </is>
      </c>
      <c r="B634">
        <f>(IF(IFERROR(IF(ISERROR('Model inputs'!B120=0),'Model inputs'!B120=0,IF('Model inputs'!B120="","",'Model inputs'!B120=0))=TRUE,FALSE),TRUE,IF(IFERROR('Model inputs'!B632=TRUE,FALSE),TRUE,IF(OR(IF(ISERROR('Model inputs'!B120=0),'Model inputs'!B120=0,IF('Model inputs'!B120="","",'Model inputs'!B120=0))="",'Model inputs'!B632=""),"",OR(IF(ISERROR('Model inputs'!B120=0),'Model inputs'!B120=0,IF('Model inputs'!B120="","",'Model inputs'!B120=0)),'Model inputs'!B632)))))</f>
      </c>
    </row>
    <row r="635">
      <c r="A635" t="inlineStr" s="16">
        <is>
          <t xml:space="preserve">Calculation</t>
        </is>
      </c>
      <c r="B635">
        <f>IF(ISERROR('Model inputs'!V32&lt;='Model inputs'!B120),'Model inputs'!V32&lt;='Model inputs'!B120,IF(OR('Model inputs'!V32="",'Model inputs'!B120=""),"",'Model inputs'!V32&lt;='Model inputs'!B120))</f>
      </c>
    </row>
    <row r="636">
      <c r="A636" t="inlineStr" s="16">
        <is>
          <t xml:space="preserve">Calculation</t>
        </is>
      </c>
      <c r="B636">
        <f>IF(ISERROR('Model inputs'!V32&gt;='Model inputs'!B156),'Model inputs'!V32&gt;='Model inputs'!B156,IF(OR('Model inputs'!V32="",'Model inputs'!B156=""),"",'Model inputs'!V32&gt;='Model inputs'!B156))</f>
      </c>
    </row>
    <row r="637">
      <c r="A637" t="inlineStr" s="16">
        <is>
          <t xml:space="preserve">Calculation</t>
        </is>
      </c>
      <c r="B637">
        <f>(IF(IFERROR(IF(ISERROR('Model inputs'!B120=0),'Model inputs'!B120=0,IF('Model inputs'!B120="","",'Model inputs'!B120=0))=TRUE,FALSE),TRUE,IF(IFERROR('Model inputs'!B635=TRUE,FALSE),TRUE,IF(OR(IF(ISERROR('Model inputs'!B120=0),'Model inputs'!B120=0,IF('Model inputs'!B120="","",'Model inputs'!B120=0))="",'Model inputs'!B635=""),"",OR(IF(ISERROR('Model inputs'!B120=0),'Model inputs'!B120=0,IF('Model inputs'!B120="","",'Model inputs'!B120=0)),'Model inputs'!B635)))))</f>
      </c>
    </row>
    <row r="638">
      <c r="A638" t="inlineStr" s="16">
        <is>
          <t xml:space="preserve">Calculation</t>
        </is>
      </c>
      <c r="B638">
        <f>IF(ISERROR('Model inputs'!C32&lt;='Model inputs'!B121),'Model inputs'!C32&lt;='Model inputs'!B121,IF(OR('Model inputs'!C32="",'Model inputs'!B121=""),"",'Model inputs'!C32&lt;='Model inputs'!B121))</f>
      </c>
    </row>
    <row r="639">
      <c r="A639" t="inlineStr" s="16">
        <is>
          <t xml:space="preserve">Calculation</t>
        </is>
      </c>
      <c r="B639">
        <f>IF(ISERROR('Model inputs'!C32&gt;='Model inputs'!B157),'Model inputs'!C32&gt;='Model inputs'!B157,IF(OR('Model inputs'!C32="",'Model inputs'!B157=""),"",'Model inputs'!C32&gt;='Model inputs'!B157))</f>
      </c>
    </row>
    <row r="640">
      <c r="A640" t="inlineStr" s="16">
        <is>
          <t xml:space="preserve">Calculation</t>
        </is>
      </c>
      <c r="B640">
        <f>(IF(IFERROR(IF(ISERROR('Model inputs'!B121=0),'Model inputs'!B121=0,IF('Model inputs'!B121="","",'Model inputs'!B121=0))=TRUE,FALSE),TRUE,IF(IFERROR('Model inputs'!B638=TRUE,FALSE),TRUE,IF(OR(IF(ISERROR('Model inputs'!B121=0),'Model inputs'!B121=0,IF('Model inputs'!B121="","",'Model inputs'!B121=0))="",'Model inputs'!B638=""),"",OR(IF(ISERROR('Model inputs'!B121=0),'Model inputs'!B121=0,IF('Model inputs'!B121="","",'Model inputs'!B121=0)),'Model inputs'!B638)))))</f>
      </c>
    </row>
    <row r="641">
      <c r="A641" t="inlineStr" s="16">
        <is>
          <t xml:space="preserve">Calculation</t>
        </is>
      </c>
      <c r="B641">
        <f>IF(ISERROR('Model inputs'!D32&lt;='Model inputs'!B121),'Model inputs'!D32&lt;='Model inputs'!B121,IF(OR('Model inputs'!D32="",'Model inputs'!B121=""),"",'Model inputs'!D32&lt;='Model inputs'!B121))</f>
      </c>
    </row>
    <row r="642">
      <c r="A642" t="inlineStr" s="16">
        <is>
          <t xml:space="preserve">Calculation</t>
        </is>
      </c>
      <c r="B642">
        <f>IF(ISERROR('Model inputs'!D32&gt;='Model inputs'!B157),'Model inputs'!D32&gt;='Model inputs'!B157,IF(OR('Model inputs'!D32="",'Model inputs'!B157=""),"",'Model inputs'!D32&gt;='Model inputs'!B157))</f>
      </c>
    </row>
    <row r="643">
      <c r="A643" t="inlineStr" s="16">
        <is>
          <t xml:space="preserve">Calculation</t>
        </is>
      </c>
      <c r="B643">
        <f>(IF(IFERROR(IF(ISERROR('Model inputs'!B121=0),'Model inputs'!B121=0,IF('Model inputs'!B121="","",'Model inputs'!B121=0))=TRUE,FALSE),TRUE,IF(IFERROR('Model inputs'!B641=TRUE,FALSE),TRUE,IF(OR(IF(ISERROR('Model inputs'!B121=0),'Model inputs'!B121=0,IF('Model inputs'!B121="","",'Model inputs'!B121=0))="",'Model inputs'!B641=""),"",OR(IF(ISERROR('Model inputs'!B121=0),'Model inputs'!B121=0,IF('Model inputs'!B121="","",'Model inputs'!B121=0)),'Model inputs'!B641)))))</f>
      </c>
    </row>
    <row r="644">
      <c r="A644" t="inlineStr" s="16">
        <is>
          <t xml:space="preserve">Calculation</t>
        </is>
      </c>
      <c r="B644">
        <f>IF(ISERROR('Model inputs'!E32&lt;='Model inputs'!B121),'Model inputs'!E32&lt;='Model inputs'!B121,IF(OR('Model inputs'!E32="",'Model inputs'!B121=""),"",'Model inputs'!E32&lt;='Model inputs'!B121))</f>
      </c>
    </row>
    <row r="645">
      <c r="A645" t="inlineStr" s="16">
        <is>
          <t xml:space="preserve">Calculation</t>
        </is>
      </c>
      <c r="B645">
        <f>IF(ISERROR('Model inputs'!E32&gt;='Model inputs'!B157),'Model inputs'!E32&gt;='Model inputs'!B157,IF(OR('Model inputs'!E32="",'Model inputs'!B157=""),"",'Model inputs'!E32&gt;='Model inputs'!B157))</f>
      </c>
    </row>
    <row r="646">
      <c r="A646" t="inlineStr" s="16">
        <is>
          <t xml:space="preserve">Calculation</t>
        </is>
      </c>
      <c r="B646">
        <f>(IF(IFERROR(IF(ISERROR('Model inputs'!B121=0),'Model inputs'!B121=0,IF('Model inputs'!B121="","",'Model inputs'!B121=0))=TRUE,FALSE),TRUE,IF(IFERROR('Model inputs'!B644=TRUE,FALSE),TRUE,IF(OR(IF(ISERROR('Model inputs'!B121=0),'Model inputs'!B121=0,IF('Model inputs'!B121="","",'Model inputs'!B121=0))="",'Model inputs'!B644=""),"",OR(IF(ISERROR('Model inputs'!B121=0),'Model inputs'!B121=0,IF('Model inputs'!B121="","",'Model inputs'!B121=0)),'Model inputs'!B644)))))</f>
      </c>
    </row>
    <row r="647">
      <c r="A647" t="inlineStr" s="16">
        <is>
          <t xml:space="preserve">Calculation</t>
        </is>
      </c>
      <c r="B647">
        <f>IF(ISERROR('Model inputs'!F32&lt;='Model inputs'!B121),'Model inputs'!F32&lt;='Model inputs'!B121,IF(OR('Model inputs'!F32="",'Model inputs'!B121=""),"",'Model inputs'!F32&lt;='Model inputs'!B121))</f>
      </c>
    </row>
    <row r="648">
      <c r="A648" t="inlineStr" s="16">
        <is>
          <t xml:space="preserve">Calculation</t>
        </is>
      </c>
      <c r="B648">
        <f>IF(ISERROR('Model inputs'!F32&gt;='Model inputs'!B157),'Model inputs'!F32&gt;='Model inputs'!B157,IF(OR('Model inputs'!F32="",'Model inputs'!B157=""),"",'Model inputs'!F32&gt;='Model inputs'!B157))</f>
      </c>
    </row>
    <row r="649">
      <c r="A649" t="inlineStr" s="16">
        <is>
          <t xml:space="preserve">Calculation</t>
        </is>
      </c>
      <c r="B649">
        <f>(IF(IFERROR(IF(ISERROR('Model inputs'!B121=0),'Model inputs'!B121=0,IF('Model inputs'!B121="","",'Model inputs'!B121=0))=TRUE,FALSE),TRUE,IF(IFERROR('Model inputs'!B647=TRUE,FALSE),TRUE,IF(OR(IF(ISERROR('Model inputs'!B121=0),'Model inputs'!B121=0,IF('Model inputs'!B121="","",'Model inputs'!B121=0))="",'Model inputs'!B647=""),"",OR(IF(ISERROR('Model inputs'!B121=0),'Model inputs'!B121=0,IF('Model inputs'!B121="","",'Model inputs'!B121=0)),'Model inputs'!B647)))))</f>
      </c>
    </row>
    <row r="650">
      <c r="A650" t="inlineStr" s="16">
        <is>
          <t xml:space="preserve">Calculation</t>
        </is>
      </c>
      <c r="B650">
        <f>IF(ISERROR('Model inputs'!G32&lt;='Model inputs'!B121),'Model inputs'!G32&lt;='Model inputs'!B121,IF(OR('Model inputs'!G32="",'Model inputs'!B121=""),"",'Model inputs'!G32&lt;='Model inputs'!B121))</f>
      </c>
    </row>
    <row r="651">
      <c r="A651" t="inlineStr" s="16">
        <is>
          <t xml:space="preserve">Calculation</t>
        </is>
      </c>
      <c r="B651">
        <f>IF(ISERROR('Model inputs'!G32&gt;='Model inputs'!B157),'Model inputs'!G32&gt;='Model inputs'!B157,IF(OR('Model inputs'!G32="",'Model inputs'!B157=""),"",'Model inputs'!G32&gt;='Model inputs'!B157))</f>
      </c>
    </row>
    <row r="652">
      <c r="A652" t="inlineStr" s="16">
        <is>
          <t xml:space="preserve">Calculation</t>
        </is>
      </c>
      <c r="B652">
        <f>(IF(IFERROR(IF(ISERROR('Model inputs'!B121=0),'Model inputs'!B121=0,IF('Model inputs'!B121="","",'Model inputs'!B121=0))=TRUE,FALSE),TRUE,IF(IFERROR('Model inputs'!B650=TRUE,FALSE),TRUE,IF(OR(IF(ISERROR('Model inputs'!B121=0),'Model inputs'!B121=0,IF('Model inputs'!B121="","",'Model inputs'!B121=0))="",'Model inputs'!B650=""),"",OR(IF(ISERROR('Model inputs'!B121=0),'Model inputs'!B121=0,IF('Model inputs'!B121="","",'Model inputs'!B121=0)),'Model inputs'!B650)))))</f>
      </c>
    </row>
    <row r="653">
      <c r="A653" t="inlineStr" s="16">
        <is>
          <t xml:space="preserve">Calculation</t>
        </is>
      </c>
      <c r="B653">
        <f>IF(ISERROR('Model inputs'!H32&lt;='Model inputs'!B121),'Model inputs'!H32&lt;='Model inputs'!B121,IF(OR('Model inputs'!H32="",'Model inputs'!B121=""),"",'Model inputs'!H32&lt;='Model inputs'!B121))</f>
      </c>
    </row>
    <row r="654">
      <c r="A654" t="inlineStr" s="16">
        <is>
          <t xml:space="preserve">Calculation</t>
        </is>
      </c>
      <c r="B654">
        <f>IF(ISERROR('Model inputs'!H32&gt;='Model inputs'!B157),'Model inputs'!H32&gt;='Model inputs'!B157,IF(OR('Model inputs'!H32="",'Model inputs'!B157=""),"",'Model inputs'!H32&gt;='Model inputs'!B157))</f>
      </c>
    </row>
    <row r="655">
      <c r="A655" t="inlineStr" s="16">
        <is>
          <t xml:space="preserve">Calculation</t>
        </is>
      </c>
      <c r="B655">
        <f>(IF(IFERROR(IF(ISERROR('Model inputs'!B121=0),'Model inputs'!B121=0,IF('Model inputs'!B121="","",'Model inputs'!B121=0))=TRUE,FALSE),TRUE,IF(IFERROR('Model inputs'!B653=TRUE,FALSE),TRUE,IF(OR(IF(ISERROR('Model inputs'!B121=0),'Model inputs'!B121=0,IF('Model inputs'!B121="","",'Model inputs'!B121=0))="",'Model inputs'!B653=""),"",OR(IF(ISERROR('Model inputs'!B121=0),'Model inputs'!B121=0,IF('Model inputs'!B121="","",'Model inputs'!B121=0)),'Model inputs'!B653)))))</f>
      </c>
    </row>
    <row r="656">
      <c r="A656" t="inlineStr" s="16">
        <is>
          <t xml:space="preserve">Calculation</t>
        </is>
      </c>
      <c r="B656">
        <f>IF(ISERROR('Model inputs'!I32&lt;='Model inputs'!B121),'Model inputs'!I32&lt;='Model inputs'!B121,IF(OR('Model inputs'!I32="",'Model inputs'!B121=""),"",'Model inputs'!I32&lt;='Model inputs'!B121))</f>
      </c>
    </row>
    <row r="657">
      <c r="A657" t="inlineStr" s="16">
        <is>
          <t xml:space="preserve">Calculation</t>
        </is>
      </c>
      <c r="B657">
        <f>IF(ISERROR('Model inputs'!I32&gt;='Model inputs'!B157),'Model inputs'!I32&gt;='Model inputs'!B157,IF(OR('Model inputs'!I32="",'Model inputs'!B157=""),"",'Model inputs'!I32&gt;='Model inputs'!B157))</f>
      </c>
    </row>
    <row r="658">
      <c r="A658" t="inlineStr" s="16">
        <is>
          <t xml:space="preserve">Calculation</t>
        </is>
      </c>
      <c r="B658">
        <f>(IF(IFERROR(IF(ISERROR('Model inputs'!B121=0),'Model inputs'!B121=0,IF('Model inputs'!B121="","",'Model inputs'!B121=0))=TRUE,FALSE),TRUE,IF(IFERROR('Model inputs'!B656=TRUE,FALSE),TRUE,IF(OR(IF(ISERROR('Model inputs'!B121=0),'Model inputs'!B121=0,IF('Model inputs'!B121="","",'Model inputs'!B121=0))="",'Model inputs'!B656=""),"",OR(IF(ISERROR('Model inputs'!B121=0),'Model inputs'!B121=0,IF('Model inputs'!B121="","",'Model inputs'!B121=0)),'Model inputs'!B656)))))</f>
      </c>
    </row>
    <row r="659">
      <c r="A659" t="inlineStr" s="16">
        <is>
          <t xml:space="preserve">Calculation</t>
        </is>
      </c>
      <c r="B659">
        <f>IF(ISERROR('Model inputs'!J32&lt;='Model inputs'!B121),'Model inputs'!J32&lt;='Model inputs'!B121,IF(OR('Model inputs'!J32="",'Model inputs'!B121=""),"",'Model inputs'!J32&lt;='Model inputs'!B121))</f>
      </c>
    </row>
    <row r="660">
      <c r="A660" t="inlineStr" s="16">
        <is>
          <t xml:space="preserve">Calculation</t>
        </is>
      </c>
      <c r="B660">
        <f>IF(ISERROR('Model inputs'!J32&gt;='Model inputs'!B157),'Model inputs'!J32&gt;='Model inputs'!B157,IF(OR('Model inputs'!J32="",'Model inputs'!B157=""),"",'Model inputs'!J32&gt;='Model inputs'!B157))</f>
      </c>
    </row>
    <row r="661">
      <c r="A661" t="inlineStr" s="16">
        <is>
          <t xml:space="preserve">Calculation</t>
        </is>
      </c>
      <c r="B661">
        <f>(IF(IFERROR(IF(ISERROR('Model inputs'!B121=0),'Model inputs'!B121=0,IF('Model inputs'!B121="","",'Model inputs'!B121=0))=TRUE,FALSE),TRUE,IF(IFERROR('Model inputs'!B659=TRUE,FALSE),TRUE,IF(OR(IF(ISERROR('Model inputs'!B121=0),'Model inputs'!B121=0,IF('Model inputs'!B121="","",'Model inputs'!B121=0))="",'Model inputs'!B659=""),"",OR(IF(ISERROR('Model inputs'!B121=0),'Model inputs'!B121=0,IF('Model inputs'!B121="","",'Model inputs'!B121=0)),'Model inputs'!B659)))))</f>
      </c>
    </row>
    <row r="662">
      <c r="A662" t="inlineStr" s="16">
        <is>
          <t xml:space="preserve">Calculation</t>
        </is>
      </c>
      <c r="B662">
        <f>IF(ISERROR('Model inputs'!K32&lt;='Model inputs'!B121),'Model inputs'!K32&lt;='Model inputs'!B121,IF(OR('Model inputs'!K32="",'Model inputs'!B121=""),"",'Model inputs'!K32&lt;='Model inputs'!B121))</f>
      </c>
    </row>
    <row r="663">
      <c r="A663" t="inlineStr" s="16">
        <is>
          <t xml:space="preserve">Calculation</t>
        </is>
      </c>
      <c r="B663">
        <f>IF(ISERROR('Model inputs'!K32&gt;='Model inputs'!B157),'Model inputs'!K32&gt;='Model inputs'!B157,IF(OR('Model inputs'!K32="",'Model inputs'!B157=""),"",'Model inputs'!K32&gt;='Model inputs'!B157))</f>
      </c>
    </row>
    <row r="664">
      <c r="A664" t="inlineStr" s="16">
        <is>
          <t xml:space="preserve">Calculation</t>
        </is>
      </c>
      <c r="B664">
        <f>(IF(IFERROR(IF(ISERROR('Model inputs'!B121=0),'Model inputs'!B121=0,IF('Model inputs'!B121="","",'Model inputs'!B121=0))=TRUE,FALSE),TRUE,IF(IFERROR('Model inputs'!B662=TRUE,FALSE),TRUE,IF(OR(IF(ISERROR('Model inputs'!B121=0),'Model inputs'!B121=0,IF('Model inputs'!B121="","",'Model inputs'!B121=0))="",'Model inputs'!B662=""),"",OR(IF(ISERROR('Model inputs'!B121=0),'Model inputs'!B121=0,IF('Model inputs'!B121="","",'Model inputs'!B121=0)),'Model inputs'!B662)))))</f>
      </c>
    </row>
    <row r="665">
      <c r="A665" t="inlineStr" s="16">
        <is>
          <t xml:space="preserve">Calculation</t>
        </is>
      </c>
      <c r="B665">
        <f>IF(ISERROR('Model inputs'!L32&lt;='Model inputs'!B121),'Model inputs'!L32&lt;='Model inputs'!B121,IF(OR('Model inputs'!L32="",'Model inputs'!B121=""),"",'Model inputs'!L32&lt;='Model inputs'!B121))</f>
      </c>
    </row>
    <row r="666">
      <c r="A666" t="inlineStr" s="16">
        <is>
          <t xml:space="preserve">Calculation</t>
        </is>
      </c>
      <c r="B666">
        <f>IF(ISERROR('Model inputs'!L32&gt;='Model inputs'!B157),'Model inputs'!L32&gt;='Model inputs'!B157,IF(OR('Model inputs'!L32="",'Model inputs'!B157=""),"",'Model inputs'!L32&gt;='Model inputs'!B157))</f>
      </c>
    </row>
    <row r="667">
      <c r="A667" t="inlineStr" s="16">
        <is>
          <t xml:space="preserve">Calculation</t>
        </is>
      </c>
      <c r="B667">
        <f>(IF(IFERROR(IF(ISERROR('Model inputs'!B121=0),'Model inputs'!B121=0,IF('Model inputs'!B121="","",'Model inputs'!B121=0))=TRUE,FALSE),TRUE,IF(IFERROR('Model inputs'!B665=TRUE,FALSE),TRUE,IF(OR(IF(ISERROR('Model inputs'!B121=0),'Model inputs'!B121=0,IF('Model inputs'!B121="","",'Model inputs'!B121=0))="",'Model inputs'!B665=""),"",OR(IF(ISERROR('Model inputs'!B121=0),'Model inputs'!B121=0,IF('Model inputs'!B121="","",'Model inputs'!B121=0)),'Model inputs'!B665)))))</f>
      </c>
    </row>
    <row r="668">
      <c r="A668" t="inlineStr" s="16">
        <is>
          <t xml:space="preserve">Calculation</t>
        </is>
      </c>
      <c r="B668">
        <f>IF(ISERROR('Model inputs'!M32&lt;='Model inputs'!B121),'Model inputs'!M32&lt;='Model inputs'!B121,IF(OR('Model inputs'!M32="",'Model inputs'!B121=""),"",'Model inputs'!M32&lt;='Model inputs'!B121))</f>
      </c>
    </row>
    <row r="669">
      <c r="A669" t="inlineStr" s="16">
        <is>
          <t xml:space="preserve">Calculation</t>
        </is>
      </c>
      <c r="B669">
        <f>IF(ISERROR('Model inputs'!M32&gt;='Model inputs'!B157),'Model inputs'!M32&gt;='Model inputs'!B157,IF(OR('Model inputs'!M32="",'Model inputs'!B157=""),"",'Model inputs'!M32&gt;='Model inputs'!B157))</f>
      </c>
    </row>
    <row r="670">
      <c r="A670" t="inlineStr" s="16">
        <is>
          <t xml:space="preserve">Calculation</t>
        </is>
      </c>
      <c r="B670">
        <f>(IF(IFERROR(IF(ISERROR('Model inputs'!B121=0),'Model inputs'!B121=0,IF('Model inputs'!B121="","",'Model inputs'!B121=0))=TRUE,FALSE),TRUE,IF(IFERROR('Model inputs'!B668=TRUE,FALSE),TRUE,IF(OR(IF(ISERROR('Model inputs'!B121=0),'Model inputs'!B121=0,IF('Model inputs'!B121="","",'Model inputs'!B121=0))="",'Model inputs'!B668=""),"",OR(IF(ISERROR('Model inputs'!B121=0),'Model inputs'!B121=0,IF('Model inputs'!B121="","",'Model inputs'!B121=0)),'Model inputs'!B668)))))</f>
      </c>
    </row>
    <row r="671">
      <c r="A671" t="inlineStr" s="16">
        <is>
          <t xml:space="preserve">Calculation</t>
        </is>
      </c>
      <c r="B671">
        <f>IF(ISERROR('Model inputs'!N32&lt;='Model inputs'!B121),'Model inputs'!N32&lt;='Model inputs'!B121,IF(OR('Model inputs'!N32="",'Model inputs'!B121=""),"",'Model inputs'!N32&lt;='Model inputs'!B121))</f>
      </c>
    </row>
    <row r="672">
      <c r="A672" t="inlineStr" s="16">
        <is>
          <t xml:space="preserve">Calculation</t>
        </is>
      </c>
      <c r="B672">
        <f>IF(ISERROR('Model inputs'!N32&gt;='Model inputs'!B157),'Model inputs'!N32&gt;='Model inputs'!B157,IF(OR('Model inputs'!N32="",'Model inputs'!B157=""),"",'Model inputs'!N32&gt;='Model inputs'!B157))</f>
      </c>
    </row>
    <row r="673">
      <c r="A673" t="inlineStr" s="16">
        <is>
          <t xml:space="preserve">Calculation</t>
        </is>
      </c>
      <c r="B673">
        <f>(IF(IFERROR(IF(ISERROR('Model inputs'!B121=0),'Model inputs'!B121=0,IF('Model inputs'!B121="","",'Model inputs'!B121=0))=TRUE,FALSE),TRUE,IF(IFERROR('Model inputs'!B671=TRUE,FALSE),TRUE,IF(OR(IF(ISERROR('Model inputs'!B121=0),'Model inputs'!B121=0,IF('Model inputs'!B121="","",'Model inputs'!B121=0))="",'Model inputs'!B671=""),"",OR(IF(ISERROR('Model inputs'!B121=0),'Model inputs'!B121=0,IF('Model inputs'!B121="","",'Model inputs'!B121=0)),'Model inputs'!B671)))))</f>
      </c>
    </row>
    <row r="674">
      <c r="A674" t="inlineStr" s="16">
        <is>
          <t xml:space="preserve">Calculation</t>
        </is>
      </c>
      <c r="B674">
        <f>IF(ISERROR('Model inputs'!O32&lt;='Model inputs'!B121),'Model inputs'!O32&lt;='Model inputs'!B121,IF(OR('Model inputs'!O32="",'Model inputs'!B121=""),"",'Model inputs'!O32&lt;='Model inputs'!B121))</f>
      </c>
    </row>
    <row r="675">
      <c r="A675" t="inlineStr" s="16">
        <is>
          <t xml:space="preserve">Calculation</t>
        </is>
      </c>
      <c r="B675">
        <f>IF(ISERROR('Model inputs'!O32&gt;='Model inputs'!B157),'Model inputs'!O32&gt;='Model inputs'!B157,IF(OR('Model inputs'!O32="",'Model inputs'!B157=""),"",'Model inputs'!O32&gt;='Model inputs'!B157))</f>
      </c>
    </row>
    <row r="676">
      <c r="A676" t="inlineStr" s="16">
        <is>
          <t xml:space="preserve">Calculation</t>
        </is>
      </c>
      <c r="B676">
        <f>(IF(IFERROR(IF(ISERROR('Model inputs'!B121=0),'Model inputs'!B121=0,IF('Model inputs'!B121="","",'Model inputs'!B121=0))=TRUE,FALSE),TRUE,IF(IFERROR('Model inputs'!B674=TRUE,FALSE),TRUE,IF(OR(IF(ISERROR('Model inputs'!B121=0),'Model inputs'!B121=0,IF('Model inputs'!B121="","",'Model inputs'!B121=0))="",'Model inputs'!B674=""),"",OR(IF(ISERROR('Model inputs'!B121=0),'Model inputs'!B121=0,IF('Model inputs'!B121="","",'Model inputs'!B121=0)),'Model inputs'!B674)))))</f>
      </c>
    </row>
    <row r="677">
      <c r="A677" t="inlineStr" s="16">
        <is>
          <t xml:space="preserve">Calculation</t>
        </is>
      </c>
      <c r="B677">
        <f>IF(ISERROR('Model inputs'!P32&lt;='Model inputs'!B121),'Model inputs'!P32&lt;='Model inputs'!B121,IF(OR('Model inputs'!P32="",'Model inputs'!B121=""),"",'Model inputs'!P32&lt;='Model inputs'!B121))</f>
      </c>
    </row>
    <row r="678">
      <c r="A678" t="inlineStr" s="16">
        <is>
          <t xml:space="preserve">Calculation</t>
        </is>
      </c>
      <c r="B678">
        <f>IF(ISERROR('Model inputs'!P32&gt;='Model inputs'!B157),'Model inputs'!P32&gt;='Model inputs'!B157,IF(OR('Model inputs'!P32="",'Model inputs'!B157=""),"",'Model inputs'!P32&gt;='Model inputs'!B157))</f>
      </c>
    </row>
    <row r="679">
      <c r="A679" t="inlineStr" s="16">
        <is>
          <t xml:space="preserve">Calculation</t>
        </is>
      </c>
      <c r="B679">
        <f>(IF(IFERROR(IF(ISERROR('Model inputs'!B121=0),'Model inputs'!B121=0,IF('Model inputs'!B121="","",'Model inputs'!B121=0))=TRUE,FALSE),TRUE,IF(IFERROR('Model inputs'!B677=TRUE,FALSE),TRUE,IF(OR(IF(ISERROR('Model inputs'!B121=0),'Model inputs'!B121=0,IF('Model inputs'!B121="","",'Model inputs'!B121=0))="",'Model inputs'!B677=""),"",OR(IF(ISERROR('Model inputs'!B121=0),'Model inputs'!B121=0,IF('Model inputs'!B121="","",'Model inputs'!B121=0)),'Model inputs'!B677)))))</f>
      </c>
    </row>
    <row r="680">
      <c r="A680" t="inlineStr" s="16">
        <is>
          <t xml:space="preserve">Calculation</t>
        </is>
      </c>
      <c r="B680">
        <f>IF(ISERROR('Model inputs'!Q32&lt;='Model inputs'!B121),'Model inputs'!Q32&lt;='Model inputs'!B121,IF(OR('Model inputs'!Q32="",'Model inputs'!B121=""),"",'Model inputs'!Q32&lt;='Model inputs'!B121))</f>
      </c>
    </row>
    <row r="681">
      <c r="A681" t="inlineStr" s="16">
        <is>
          <t xml:space="preserve">Calculation</t>
        </is>
      </c>
      <c r="B681">
        <f>IF(ISERROR('Model inputs'!Q32&gt;='Model inputs'!B157),'Model inputs'!Q32&gt;='Model inputs'!B157,IF(OR('Model inputs'!Q32="",'Model inputs'!B157=""),"",'Model inputs'!Q32&gt;='Model inputs'!B157))</f>
      </c>
    </row>
    <row r="682">
      <c r="A682" t="inlineStr" s="16">
        <is>
          <t xml:space="preserve">Calculation</t>
        </is>
      </c>
      <c r="B682">
        <f>(IF(IFERROR(IF(ISERROR('Model inputs'!B121=0),'Model inputs'!B121=0,IF('Model inputs'!B121="","",'Model inputs'!B121=0))=TRUE,FALSE),TRUE,IF(IFERROR('Model inputs'!B680=TRUE,FALSE),TRUE,IF(OR(IF(ISERROR('Model inputs'!B121=0),'Model inputs'!B121=0,IF('Model inputs'!B121="","",'Model inputs'!B121=0))="",'Model inputs'!B680=""),"",OR(IF(ISERROR('Model inputs'!B121=0),'Model inputs'!B121=0,IF('Model inputs'!B121="","",'Model inputs'!B121=0)),'Model inputs'!B680)))))</f>
      </c>
    </row>
    <row r="683">
      <c r="A683" t="inlineStr" s="16">
        <is>
          <t xml:space="preserve">Calculation</t>
        </is>
      </c>
      <c r="B683">
        <f>IF(ISERROR('Model inputs'!R32&lt;='Model inputs'!B121),'Model inputs'!R32&lt;='Model inputs'!B121,IF(OR('Model inputs'!R32="",'Model inputs'!B121=""),"",'Model inputs'!R32&lt;='Model inputs'!B121))</f>
      </c>
    </row>
    <row r="684">
      <c r="A684" t="inlineStr" s="16">
        <is>
          <t xml:space="preserve">Calculation</t>
        </is>
      </c>
      <c r="B684">
        <f>IF(ISERROR('Model inputs'!R32&gt;='Model inputs'!B157),'Model inputs'!R32&gt;='Model inputs'!B157,IF(OR('Model inputs'!R32="",'Model inputs'!B157=""),"",'Model inputs'!R32&gt;='Model inputs'!B157))</f>
      </c>
    </row>
    <row r="685">
      <c r="A685" t="inlineStr" s="16">
        <is>
          <t xml:space="preserve">Calculation</t>
        </is>
      </c>
      <c r="B685">
        <f>(IF(IFERROR(IF(ISERROR('Model inputs'!B121=0),'Model inputs'!B121=0,IF('Model inputs'!B121="","",'Model inputs'!B121=0))=TRUE,FALSE),TRUE,IF(IFERROR('Model inputs'!B683=TRUE,FALSE),TRUE,IF(OR(IF(ISERROR('Model inputs'!B121=0),'Model inputs'!B121=0,IF('Model inputs'!B121="","",'Model inputs'!B121=0))="",'Model inputs'!B683=""),"",OR(IF(ISERROR('Model inputs'!B121=0),'Model inputs'!B121=0,IF('Model inputs'!B121="","",'Model inputs'!B121=0)),'Model inputs'!B683)))))</f>
      </c>
    </row>
    <row r="686">
      <c r="A686" t="inlineStr" s="16">
        <is>
          <t xml:space="preserve">Calculation</t>
        </is>
      </c>
      <c r="B686">
        <f>IF(ISERROR('Model inputs'!S32&lt;='Model inputs'!B121),'Model inputs'!S32&lt;='Model inputs'!B121,IF(OR('Model inputs'!S32="",'Model inputs'!B121=""),"",'Model inputs'!S32&lt;='Model inputs'!B121))</f>
      </c>
    </row>
    <row r="687">
      <c r="A687" t="inlineStr" s="16">
        <is>
          <t xml:space="preserve">Calculation</t>
        </is>
      </c>
      <c r="B687">
        <f>IF(ISERROR('Model inputs'!S32&gt;='Model inputs'!B157),'Model inputs'!S32&gt;='Model inputs'!B157,IF(OR('Model inputs'!S32="",'Model inputs'!B157=""),"",'Model inputs'!S32&gt;='Model inputs'!B157))</f>
      </c>
    </row>
    <row r="688">
      <c r="A688" t="inlineStr" s="16">
        <is>
          <t xml:space="preserve">Calculation</t>
        </is>
      </c>
      <c r="B688">
        <f>(IF(IFERROR(IF(ISERROR('Model inputs'!B121=0),'Model inputs'!B121=0,IF('Model inputs'!B121="","",'Model inputs'!B121=0))=TRUE,FALSE),TRUE,IF(IFERROR('Model inputs'!B686=TRUE,FALSE),TRUE,IF(OR(IF(ISERROR('Model inputs'!B121=0),'Model inputs'!B121=0,IF('Model inputs'!B121="","",'Model inputs'!B121=0))="",'Model inputs'!B686=""),"",OR(IF(ISERROR('Model inputs'!B121=0),'Model inputs'!B121=0,IF('Model inputs'!B121="","",'Model inputs'!B121=0)),'Model inputs'!B686)))))</f>
      </c>
    </row>
    <row r="689">
      <c r="A689" t="inlineStr" s="16">
        <is>
          <t xml:space="preserve">Calculation</t>
        </is>
      </c>
      <c r="B689">
        <f>IF(ISERROR('Model inputs'!T32&lt;='Model inputs'!B121),'Model inputs'!T32&lt;='Model inputs'!B121,IF(OR('Model inputs'!T32="",'Model inputs'!B121=""),"",'Model inputs'!T32&lt;='Model inputs'!B121))</f>
      </c>
    </row>
    <row r="690">
      <c r="A690" t="inlineStr" s="16">
        <is>
          <t xml:space="preserve">Calculation</t>
        </is>
      </c>
      <c r="B690">
        <f>IF(ISERROR('Model inputs'!T32&gt;='Model inputs'!B157),'Model inputs'!T32&gt;='Model inputs'!B157,IF(OR('Model inputs'!T32="",'Model inputs'!B157=""),"",'Model inputs'!T32&gt;='Model inputs'!B157))</f>
      </c>
    </row>
    <row r="691">
      <c r="A691" t="inlineStr" s="16">
        <is>
          <t xml:space="preserve">Calculation</t>
        </is>
      </c>
      <c r="B691">
        <f>(IF(IFERROR(IF(ISERROR('Model inputs'!B121=0),'Model inputs'!B121=0,IF('Model inputs'!B121="","",'Model inputs'!B121=0))=TRUE,FALSE),TRUE,IF(IFERROR('Model inputs'!B689=TRUE,FALSE),TRUE,IF(OR(IF(ISERROR('Model inputs'!B121=0),'Model inputs'!B121=0,IF('Model inputs'!B121="","",'Model inputs'!B121=0))="",'Model inputs'!B689=""),"",OR(IF(ISERROR('Model inputs'!B121=0),'Model inputs'!B121=0,IF('Model inputs'!B121="","",'Model inputs'!B121=0)),'Model inputs'!B689)))))</f>
      </c>
    </row>
    <row r="692">
      <c r="A692" t="inlineStr" s="16">
        <is>
          <t xml:space="preserve">Calculation</t>
        </is>
      </c>
      <c r="B692">
        <f>IF(ISERROR('Model inputs'!U32&lt;='Model inputs'!B121),'Model inputs'!U32&lt;='Model inputs'!B121,IF(OR('Model inputs'!U32="",'Model inputs'!B121=""),"",'Model inputs'!U32&lt;='Model inputs'!B121))</f>
      </c>
    </row>
    <row r="693">
      <c r="A693" t="inlineStr" s="16">
        <is>
          <t xml:space="preserve">Calculation</t>
        </is>
      </c>
      <c r="B693">
        <f>IF(ISERROR('Model inputs'!U32&gt;='Model inputs'!B157),'Model inputs'!U32&gt;='Model inputs'!B157,IF(OR('Model inputs'!U32="",'Model inputs'!B157=""),"",'Model inputs'!U32&gt;='Model inputs'!B157))</f>
      </c>
    </row>
    <row r="694">
      <c r="A694" t="inlineStr" s="16">
        <is>
          <t xml:space="preserve">Calculation</t>
        </is>
      </c>
      <c r="B694">
        <f>(IF(IFERROR(IF(ISERROR('Model inputs'!B121=0),'Model inputs'!B121=0,IF('Model inputs'!B121="","",'Model inputs'!B121=0))=TRUE,FALSE),TRUE,IF(IFERROR('Model inputs'!B692=TRUE,FALSE),TRUE,IF(OR(IF(ISERROR('Model inputs'!B121=0),'Model inputs'!B121=0,IF('Model inputs'!B121="","",'Model inputs'!B121=0))="",'Model inputs'!B692=""),"",OR(IF(ISERROR('Model inputs'!B121=0),'Model inputs'!B121=0,IF('Model inputs'!B121="","",'Model inputs'!B121=0)),'Model inputs'!B692)))))</f>
      </c>
    </row>
    <row r="695">
      <c r="A695" t="inlineStr" s="16">
        <is>
          <t xml:space="preserve">Calculation</t>
        </is>
      </c>
      <c r="B695">
        <f>IF(ISERROR('Model inputs'!V32&lt;='Model inputs'!B121),'Model inputs'!V32&lt;='Model inputs'!B121,IF(OR('Model inputs'!V32="",'Model inputs'!B121=""),"",'Model inputs'!V32&lt;='Model inputs'!B121))</f>
      </c>
    </row>
    <row r="696">
      <c r="A696" t="inlineStr" s="16">
        <is>
          <t xml:space="preserve">Calculation</t>
        </is>
      </c>
      <c r="B696">
        <f>IF(ISERROR('Model inputs'!V32&gt;='Model inputs'!B157),'Model inputs'!V32&gt;='Model inputs'!B157,IF(OR('Model inputs'!V32="",'Model inputs'!B157=""),"",'Model inputs'!V32&gt;='Model inputs'!B157))</f>
      </c>
    </row>
    <row r="697">
      <c r="A697" t="inlineStr" s="16">
        <is>
          <t xml:space="preserve">Calculation</t>
        </is>
      </c>
      <c r="B697">
        <f>(IF(IFERROR(IF(ISERROR('Model inputs'!B121=0),'Model inputs'!B121=0,IF('Model inputs'!B121="","",'Model inputs'!B121=0))=TRUE,FALSE),TRUE,IF(IFERROR('Model inputs'!B695=TRUE,FALSE),TRUE,IF(OR(IF(ISERROR('Model inputs'!B121=0),'Model inputs'!B121=0,IF('Model inputs'!B121="","",'Model inputs'!B121=0))="",'Model inputs'!B695=""),"",OR(IF(ISERROR('Model inputs'!B121=0),'Model inputs'!B121=0,IF('Model inputs'!B121="","",'Model inputs'!B121=0)),'Model inputs'!B695)))))</f>
      </c>
    </row>
    <row r="698">
      <c r="A698" t="inlineStr" s="16">
        <is>
          <t xml:space="preserve">Calculation</t>
        </is>
      </c>
      <c r="B698">
        <f>IF(ISERROR('Model inputs'!C32&lt;='Model inputs'!B122),'Model inputs'!C32&lt;='Model inputs'!B122,IF(OR('Model inputs'!C32="",'Model inputs'!B122=""),"",'Model inputs'!C32&lt;='Model inputs'!B122))</f>
      </c>
    </row>
    <row r="699">
      <c r="A699" t="inlineStr" s="16">
        <is>
          <t xml:space="preserve">Calculation</t>
        </is>
      </c>
      <c r="B699">
        <f>IF(ISERROR('Model inputs'!C32&gt;='Model inputs'!B158),'Model inputs'!C32&gt;='Model inputs'!B158,IF(OR('Model inputs'!C32="",'Model inputs'!B158=""),"",'Model inputs'!C32&gt;='Model inputs'!B158))</f>
      </c>
    </row>
    <row r="700">
      <c r="A700" t="inlineStr" s="16">
        <is>
          <t xml:space="preserve">Calculation</t>
        </is>
      </c>
      <c r="B700">
        <f>(IF(IFERROR(IF(ISERROR('Model inputs'!B122=0),'Model inputs'!B122=0,IF('Model inputs'!B122="","",'Model inputs'!B122=0))=TRUE,FALSE),TRUE,IF(IFERROR('Model inputs'!B698=TRUE,FALSE),TRUE,IF(OR(IF(ISERROR('Model inputs'!B122=0),'Model inputs'!B122=0,IF('Model inputs'!B122="","",'Model inputs'!B122=0))="",'Model inputs'!B698=""),"",OR(IF(ISERROR('Model inputs'!B122=0),'Model inputs'!B122=0,IF('Model inputs'!B122="","",'Model inputs'!B122=0)),'Model inputs'!B698)))))</f>
      </c>
    </row>
    <row r="701">
      <c r="A701" t="inlineStr" s="16">
        <is>
          <t xml:space="preserve">Calculation</t>
        </is>
      </c>
      <c r="B701">
        <f>IF(ISERROR('Model inputs'!D32&lt;='Model inputs'!B122),'Model inputs'!D32&lt;='Model inputs'!B122,IF(OR('Model inputs'!D32="",'Model inputs'!B122=""),"",'Model inputs'!D32&lt;='Model inputs'!B122))</f>
      </c>
    </row>
    <row r="702">
      <c r="A702" t="inlineStr" s="16">
        <is>
          <t xml:space="preserve">Calculation</t>
        </is>
      </c>
      <c r="B702">
        <f>IF(ISERROR('Model inputs'!D32&gt;='Model inputs'!B158),'Model inputs'!D32&gt;='Model inputs'!B158,IF(OR('Model inputs'!D32="",'Model inputs'!B158=""),"",'Model inputs'!D32&gt;='Model inputs'!B158))</f>
      </c>
    </row>
    <row r="703">
      <c r="A703" t="inlineStr" s="16">
        <is>
          <t xml:space="preserve">Calculation</t>
        </is>
      </c>
      <c r="B703">
        <f>(IF(IFERROR(IF(ISERROR('Model inputs'!B122=0),'Model inputs'!B122=0,IF('Model inputs'!B122="","",'Model inputs'!B122=0))=TRUE,FALSE),TRUE,IF(IFERROR('Model inputs'!B701=TRUE,FALSE),TRUE,IF(OR(IF(ISERROR('Model inputs'!B122=0),'Model inputs'!B122=0,IF('Model inputs'!B122="","",'Model inputs'!B122=0))="",'Model inputs'!B701=""),"",OR(IF(ISERROR('Model inputs'!B122=0),'Model inputs'!B122=0,IF('Model inputs'!B122="","",'Model inputs'!B122=0)),'Model inputs'!B701)))))</f>
      </c>
    </row>
    <row r="704">
      <c r="A704" t="inlineStr" s="16">
        <is>
          <t xml:space="preserve">Calculation</t>
        </is>
      </c>
      <c r="B704">
        <f>IF(ISERROR('Model inputs'!E32&lt;='Model inputs'!B122),'Model inputs'!E32&lt;='Model inputs'!B122,IF(OR('Model inputs'!E32="",'Model inputs'!B122=""),"",'Model inputs'!E32&lt;='Model inputs'!B122))</f>
      </c>
    </row>
    <row r="705">
      <c r="A705" t="inlineStr" s="16">
        <is>
          <t xml:space="preserve">Calculation</t>
        </is>
      </c>
      <c r="B705">
        <f>IF(ISERROR('Model inputs'!E32&gt;='Model inputs'!B158),'Model inputs'!E32&gt;='Model inputs'!B158,IF(OR('Model inputs'!E32="",'Model inputs'!B158=""),"",'Model inputs'!E32&gt;='Model inputs'!B158))</f>
      </c>
    </row>
    <row r="706">
      <c r="A706" t="inlineStr" s="16">
        <is>
          <t xml:space="preserve">Calculation</t>
        </is>
      </c>
      <c r="B706">
        <f>(IF(IFERROR(IF(ISERROR('Model inputs'!B122=0),'Model inputs'!B122=0,IF('Model inputs'!B122="","",'Model inputs'!B122=0))=TRUE,FALSE),TRUE,IF(IFERROR('Model inputs'!B704=TRUE,FALSE),TRUE,IF(OR(IF(ISERROR('Model inputs'!B122=0),'Model inputs'!B122=0,IF('Model inputs'!B122="","",'Model inputs'!B122=0))="",'Model inputs'!B704=""),"",OR(IF(ISERROR('Model inputs'!B122=0),'Model inputs'!B122=0,IF('Model inputs'!B122="","",'Model inputs'!B122=0)),'Model inputs'!B704)))))</f>
      </c>
    </row>
    <row r="707">
      <c r="A707" t="inlineStr" s="16">
        <is>
          <t xml:space="preserve">Calculation</t>
        </is>
      </c>
      <c r="B707">
        <f>IF(ISERROR('Model inputs'!F32&lt;='Model inputs'!B122),'Model inputs'!F32&lt;='Model inputs'!B122,IF(OR('Model inputs'!F32="",'Model inputs'!B122=""),"",'Model inputs'!F32&lt;='Model inputs'!B122))</f>
      </c>
    </row>
    <row r="708">
      <c r="A708" t="inlineStr" s="16">
        <is>
          <t xml:space="preserve">Calculation</t>
        </is>
      </c>
      <c r="B708">
        <f>IF(ISERROR('Model inputs'!F32&gt;='Model inputs'!B158),'Model inputs'!F32&gt;='Model inputs'!B158,IF(OR('Model inputs'!F32="",'Model inputs'!B158=""),"",'Model inputs'!F32&gt;='Model inputs'!B158))</f>
      </c>
    </row>
    <row r="709">
      <c r="A709" t="inlineStr" s="16">
        <is>
          <t xml:space="preserve">Calculation</t>
        </is>
      </c>
      <c r="B709">
        <f>(IF(IFERROR(IF(ISERROR('Model inputs'!B122=0),'Model inputs'!B122=0,IF('Model inputs'!B122="","",'Model inputs'!B122=0))=TRUE,FALSE),TRUE,IF(IFERROR('Model inputs'!B707=TRUE,FALSE),TRUE,IF(OR(IF(ISERROR('Model inputs'!B122=0),'Model inputs'!B122=0,IF('Model inputs'!B122="","",'Model inputs'!B122=0))="",'Model inputs'!B707=""),"",OR(IF(ISERROR('Model inputs'!B122=0),'Model inputs'!B122=0,IF('Model inputs'!B122="","",'Model inputs'!B122=0)),'Model inputs'!B707)))))</f>
      </c>
    </row>
    <row r="710">
      <c r="A710" t="inlineStr" s="16">
        <is>
          <t xml:space="preserve">Calculation</t>
        </is>
      </c>
      <c r="B710">
        <f>IF(ISERROR('Model inputs'!G32&lt;='Model inputs'!B122),'Model inputs'!G32&lt;='Model inputs'!B122,IF(OR('Model inputs'!G32="",'Model inputs'!B122=""),"",'Model inputs'!G32&lt;='Model inputs'!B122))</f>
      </c>
    </row>
    <row r="711">
      <c r="A711" t="inlineStr" s="16">
        <is>
          <t xml:space="preserve">Calculation</t>
        </is>
      </c>
      <c r="B711">
        <f>IF(ISERROR('Model inputs'!G32&gt;='Model inputs'!B158),'Model inputs'!G32&gt;='Model inputs'!B158,IF(OR('Model inputs'!G32="",'Model inputs'!B158=""),"",'Model inputs'!G32&gt;='Model inputs'!B158))</f>
      </c>
    </row>
    <row r="712">
      <c r="A712" t="inlineStr" s="16">
        <is>
          <t xml:space="preserve">Calculation</t>
        </is>
      </c>
      <c r="B712">
        <f>(IF(IFERROR(IF(ISERROR('Model inputs'!B122=0),'Model inputs'!B122=0,IF('Model inputs'!B122="","",'Model inputs'!B122=0))=TRUE,FALSE),TRUE,IF(IFERROR('Model inputs'!B710=TRUE,FALSE),TRUE,IF(OR(IF(ISERROR('Model inputs'!B122=0),'Model inputs'!B122=0,IF('Model inputs'!B122="","",'Model inputs'!B122=0))="",'Model inputs'!B710=""),"",OR(IF(ISERROR('Model inputs'!B122=0),'Model inputs'!B122=0,IF('Model inputs'!B122="","",'Model inputs'!B122=0)),'Model inputs'!B710)))))</f>
      </c>
    </row>
    <row r="713">
      <c r="A713" t="inlineStr" s="16">
        <is>
          <t xml:space="preserve">Calculation</t>
        </is>
      </c>
      <c r="B713">
        <f>IF(ISERROR('Model inputs'!H32&lt;='Model inputs'!B122),'Model inputs'!H32&lt;='Model inputs'!B122,IF(OR('Model inputs'!H32="",'Model inputs'!B122=""),"",'Model inputs'!H32&lt;='Model inputs'!B122))</f>
      </c>
    </row>
    <row r="714">
      <c r="A714" t="inlineStr" s="16">
        <is>
          <t xml:space="preserve">Calculation</t>
        </is>
      </c>
      <c r="B714">
        <f>IF(ISERROR('Model inputs'!H32&gt;='Model inputs'!B158),'Model inputs'!H32&gt;='Model inputs'!B158,IF(OR('Model inputs'!H32="",'Model inputs'!B158=""),"",'Model inputs'!H32&gt;='Model inputs'!B158))</f>
      </c>
    </row>
    <row r="715">
      <c r="A715" t="inlineStr" s="16">
        <is>
          <t xml:space="preserve">Calculation</t>
        </is>
      </c>
      <c r="B715">
        <f>(IF(IFERROR(IF(ISERROR('Model inputs'!B122=0),'Model inputs'!B122=0,IF('Model inputs'!B122="","",'Model inputs'!B122=0))=TRUE,FALSE),TRUE,IF(IFERROR('Model inputs'!B713=TRUE,FALSE),TRUE,IF(OR(IF(ISERROR('Model inputs'!B122=0),'Model inputs'!B122=0,IF('Model inputs'!B122="","",'Model inputs'!B122=0))="",'Model inputs'!B713=""),"",OR(IF(ISERROR('Model inputs'!B122=0),'Model inputs'!B122=0,IF('Model inputs'!B122="","",'Model inputs'!B122=0)),'Model inputs'!B713)))))</f>
      </c>
    </row>
    <row r="716">
      <c r="A716" t="inlineStr" s="16">
        <is>
          <t xml:space="preserve">Calculation</t>
        </is>
      </c>
      <c r="B716">
        <f>IF(ISERROR('Model inputs'!I32&lt;='Model inputs'!B122),'Model inputs'!I32&lt;='Model inputs'!B122,IF(OR('Model inputs'!I32="",'Model inputs'!B122=""),"",'Model inputs'!I32&lt;='Model inputs'!B122))</f>
      </c>
    </row>
    <row r="717">
      <c r="A717" t="inlineStr" s="16">
        <is>
          <t xml:space="preserve">Calculation</t>
        </is>
      </c>
      <c r="B717">
        <f>IF(ISERROR('Model inputs'!I32&gt;='Model inputs'!B158),'Model inputs'!I32&gt;='Model inputs'!B158,IF(OR('Model inputs'!I32="",'Model inputs'!B158=""),"",'Model inputs'!I32&gt;='Model inputs'!B158))</f>
      </c>
    </row>
    <row r="718">
      <c r="A718" t="inlineStr" s="16">
        <is>
          <t xml:space="preserve">Calculation</t>
        </is>
      </c>
      <c r="B718">
        <f>(IF(IFERROR(IF(ISERROR('Model inputs'!B122=0),'Model inputs'!B122=0,IF('Model inputs'!B122="","",'Model inputs'!B122=0))=TRUE,FALSE),TRUE,IF(IFERROR('Model inputs'!B716=TRUE,FALSE),TRUE,IF(OR(IF(ISERROR('Model inputs'!B122=0),'Model inputs'!B122=0,IF('Model inputs'!B122="","",'Model inputs'!B122=0))="",'Model inputs'!B716=""),"",OR(IF(ISERROR('Model inputs'!B122=0),'Model inputs'!B122=0,IF('Model inputs'!B122="","",'Model inputs'!B122=0)),'Model inputs'!B716)))))</f>
      </c>
    </row>
    <row r="719">
      <c r="A719" t="inlineStr" s="16">
        <is>
          <t xml:space="preserve">Calculation</t>
        </is>
      </c>
      <c r="B719">
        <f>IF(ISERROR('Model inputs'!J32&lt;='Model inputs'!B122),'Model inputs'!J32&lt;='Model inputs'!B122,IF(OR('Model inputs'!J32="",'Model inputs'!B122=""),"",'Model inputs'!J32&lt;='Model inputs'!B122))</f>
      </c>
    </row>
    <row r="720">
      <c r="A720" t="inlineStr" s="16">
        <is>
          <t xml:space="preserve">Calculation</t>
        </is>
      </c>
      <c r="B720">
        <f>IF(ISERROR('Model inputs'!J32&gt;='Model inputs'!B158),'Model inputs'!J32&gt;='Model inputs'!B158,IF(OR('Model inputs'!J32="",'Model inputs'!B158=""),"",'Model inputs'!J32&gt;='Model inputs'!B158))</f>
      </c>
    </row>
    <row r="721">
      <c r="A721" t="inlineStr" s="16">
        <is>
          <t xml:space="preserve">Calculation</t>
        </is>
      </c>
      <c r="B721">
        <f>(IF(IFERROR(IF(ISERROR('Model inputs'!B122=0),'Model inputs'!B122=0,IF('Model inputs'!B122="","",'Model inputs'!B122=0))=TRUE,FALSE),TRUE,IF(IFERROR('Model inputs'!B719=TRUE,FALSE),TRUE,IF(OR(IF(ISERROR('Model inputs'!B122=0),'Model inputs'!B122=0,IF('Model inputs'!B122="","",'Model inputs'!B122=0))="",'Model inputs'!B719=""),"",OR(IF(ISERROR('Model inputs'!B122=0),'Model inputs'!B122=0,IF('Model inputs'!B122="","",'Model inputs'!B122=0)),'Model inputs'!B719)))))</f>
      </c>
    </row>
    <row r="722">
      <c r="A722" t="inlineStr" s="16">
        <is>
          <t xml:space="preserve">Calculation</t>
        </is>
      </c>
      <c r="B722">
        <f>IF(ISERROR('Model inputs'!K32&lt;='Model inputs'!B122),'Model inputs'!K32&lt;='Model inputs'!B122,IF(OR('Model inputs'!K32="",'Model inputs'!B122=""),"",'Model inputs'!K32&lt;='Model inputs'!B122))</f>
      </c>
    </row>
    <row r="723">
      <c r="A723" t="inlineStr" s="16">
        <is>
          <t xml:space="preserve">Calculation</t>
        </is>
      </c>
      <c r="B723">
        <f>IF(ISERROR('Model inputs'!K32&gt;='Model inputs'!B158),'Model inputs'!K32&gt;='Model inputs'!B158,IF(OR('Model inputs'!K32="",'Model inputs'!B158=""),"",'Model inputs'!K32&gt;='Model inputs'!B158))</f>
      </c>
    </row>
    <row r="724">
      <c r="A724" t="inlineStr" s="16">
        <is>
          <t xml:space="preserve">Calculation</t>
        </is>
      </c>
      <c r="B724">
        <f>(IF(IFERROR(IF(ISERROR('Model inputs'!B122=0),'Model inputs'!B122=0,IF('Model inputs'!B122="","",'Model inputs'!B122=0))=TRUE,FALSE),TRUE,IF(IFERROR('Model inputs'!B722=TRUE,FALSE),TRUE,IF(OR(IF(ISERROR('Model inputs'!B122=0),'Model inputs'!B122=0,IF('Model inputs'!B122="","",'Model inputs'!B122=0))="",'Model inputs'!B722=""),"",OR(IF(ISERROR('Model inputs'!B122=0),'Model inputs'!B122=0,IF('Model inputs'!B122="","",'Model inputs'!B122=0)),'Model inputs'!B722)))))</f>
      </c>
    </row>
    <row r="725">
      <c r="A725" t="inlineStr" s="16">
        <is>
          <t xml:space="preserve">Calculation</t>
        </is>
      </c>
      <c r="B725">
        <f>IF(ISERROR('Model inputs'!L32&lt;='Model inputs'!B122),'Model inputs'!L32&lt;='Model inputs'!B122,IF(OR('Model inputs'!L32="",'Model inputs'!B122=""),"",'Model inputs'!L32&lt;='Model inputs'!B122))</f>
      </c>
    </row>
    <row r="726">
      <c r="A726" t="inlineStr" s="16">
        <is>
          <t xml:space="preserve">Calculation</t>
        </is>
      </c>
      <c r="B726">
        <f>IF(ISERROR('Model inputs'!L32&gt;='Model inputs'!B158),'Model inputs'!L32&gt;='Model inputs'!B158,IF(OR('Model inputs'!L32="",'Model inputs'!B158=""),"",'Model inputs'!L32&gt;='Model inputs'!B158))</f>
      </c>
    </row>
    <row r="727">
      <c r="A727" t="inlineStr" s="16">
        <is>
          <t xml:space="preserve">Calculation</t>
        </is>
      </c>
      <c r="B727">
        <f>(IF(IFERROR(IF(ISERROR('Model inputs'!B122=0),'Model inputs'!B122=0,IF('Model inputs'!B122="","",'Model inputs'!B122=0))=TRUE,FALSE),TRUE,IF(IFERROR('Model inputs'!B725=TRUE,FALSE),TRUE,IF(OR(IF(ISERROR('Model inputs'!B122=0),'Model inputs'!B122=0,IF('Model inputs'!B122="","",'Model inputs'!B122=0))="",'Model inputs'!B725=""),"",OR(IF(ISERROR('Model inputs'!B122=0),'Model inputs'!B122=0,IF('Model inputs'!B122="","",'Model inputs'!B122=0)),'Model inputs'!B725)))))</f>
      </c>
    </row>
    <row r="728">
      <c r="A728" t="inlineStr" s="16">
        <is>
          <t xml:space="preserve">Calculation</t>
        </is>
      </c>
      <c r="B728">
        <f>IF(ISERROR('Model inputs'!M32&lt;='Model inputs'!B122),'Model inputs'!M32&lt;='Model inputs'!B122,IF(OR('Model inputs'!M32="",'Model inputs'!B122=""),"",'Model inputs'!M32&lt;='Model inputs'!B122))</f>
      </c>
    </row>
    <row r="729">
      <c r="A729" t="inlineStr" s="16">
        <is>
          <t xml:space="preserve">Calculation</t>
        </is>
      </c>
      <c r="B729">
        <f>IF(ISERROR('Model inputs'!M32&gt;='Model inputs'!B158),'Model inputs'!M32&gt;='Model inputs'!B158,IF(OR('Model inputs'!M32="",'Model inputs'!B158=""),"",'Model inputs'!M32&gt;='Model inputs'!B158))</f>
      </c>
    </row>
    <row r="730">
      <c r="A730" t="inlineStr" s="16">
        <is>
          <t xml:space="preserve">Calculation</t>
        </is>
      </c>
      <c r="B730">
        <f>(IF(IFERROR(IF(ISERROR('Model inputs'!B122=0),'Model inputs'!B122=0,IF('Model inputs'!B122="","",'Model inputs'!B122=0))=TRUE,FALSE),TRUE,IF(IFERROR('Model inputs'!B728=TRUE,FALSE),TRUE,IF(OR(IF(ISERROR('Model inputs'!B122=0),'Model inputs'!B122=0,IF('Model inputs'!B122="","",'Model inputs'!B122=0))="",'Model inputs'!B728=""),"",OR(IF(ISERROR('Model inputs'!B122=0),'Model inputs'!B122=0,IF('Model inputs'!B122="","",'Model inputs'!B122=0)),'Model inputs'!B728)))))</f>
      </c>
    </row>
    <row r="731">
      <c r="A731" t="inlineStr" s="16">
        <is>
          <t xml:space="preserve">Calculation</t>
        </is>
      </c>
      <c r="B731">
        <f>IF(ISERROR('Model inputs'!N32&lt;='Model inputs'!B122),'Model inputs'!N32&lt;='Model inputs'!B122,IF(OR('Model inputs'!N32="",'Model inputs'!B122=""),"",'Model inputs'!N32&lt;='Model inputs'!B122))</f>
      </c>
    </row>
    <row r="732">
      <c r="A732" t="inlineStr" s="16">
        <is>
          <t xml:space="preserve">Calculation</t>
        </is>
      </c>
      <c r="B732">
        <f>IF(ISERROR('Model inputs'!N32&gt;='Model inputs'!B158),'Model inputs'!N32&gt;='Model inputs'!B158,IF(OR('Model inputs'!N32="",'Model inputs'!B158=""),"",'Model inputs'!N32&gt;='Model inputs'!B158))</f>
      </c>
    </row>
    <row r="733">
      <c r="A733" t="inlineStr" s="16">
        <is>
          <t xml:space="preserve">Calculation</t>
        </is>
      </c>
      <c r="B733">
        <f>(IF(IFERROR(IF(ISERROR('Model inputs'!B122=0),'Model inputs'!B122=0,IF('Model inputs'!B122="","",'Model inputs'!B122=0))=TRUE,FALSE),TRUE,IF(IFERROR('Model inputs'!B731=TRUE,FALSE),TRUE,IF(OR(IF(ISERROR('Model inputs'!B122=0),'Model inputs'!B122=0,IF('Model inputs'!B122="","",'Model inputs'!B122=0))="",'Model inputs'!B731=""),"",OR(IF(ISERROR('Model inputs'!B122=0),'Model inputs'!B122=0,IF('Model inputs'!B122="","",'Model inputs'!B122=0)),'Model inputs'!B731)))))</f>
      </c>
    </row>
    <row r="734">
      <c r="A734" t="inlineStr" s="16">
        <is>
          <t xml:space="preserve">Calculation</t>
        </is>
      </c>
      <c r="B734">
        <f>IF(ISERROR('Model inputs'!O32&lt;='Model inputs'!B122),'Model inputs'!O32&lt;='Model inputs'!B122,IF(OR('Model inputs'!O32="",'Model inputs'!B122=""),"",'Model inputs'!O32&lt;='Model inputs'!B122))</f>
      </c>
    </row>
    <row r="735">
      <c r="A735" t="inlineStr" s="16">
        <is>
          <t xml:space="preserve">Calculation</t>
        </is>
      </c>
      <c r="B735">
        <f>IF(ISERROR('Model inputs'!O32&gt;='Model inputs'!B158),'Model inputs'!O32&gt;='Model inputs'!B158,IF(OR('Model inputs'!O32="",'Model inputs'!B158=""),"",'Model inputs'!O32&gt;='Model inputs'!B158))</f>
      </c>
    </row>
    <row r="736">
      <c r="A736" t="inlineStr" s="16">
        <is>
          <t xml:space="preserve">Calculation</t>
        </is>
      </c>
      <c r="B736">
        <f>(IF(IFERROR(IF(ISERROR('Model inputs'!B122=0),'Model inputs'!B122=0,IF('Model inputs'!B122="","",'Model inputs'!B122=0))=TRUE,FALSE),TRUE,IF(IFERROR('Model inputs'!B734=TRUE,FALSE),TRUE,IF(OR(IF(ISERROR('Model inputs'!B122=0),'Model inputs'!B122=0,IF('Model inputs'!B122="","",'Model inputs'!B122=0))="",'Model inputs'!B734=""),"",OR(IF(ISERROR('Model inputs'!B122=0),'Model inputs'!B122=0,IF('Model inputs'!B122="","",'Model inputs'!B122=0)),'Model inputs'!B734)))))</f>
      </c>
    </row>
    <row r="737">
      <c r="A737" t="inlineStr" s="16">
        <is>
          <t xml:space="preserve">Calculation</t>
        </is>
      </c>
      <c r="B737">
        <f>IF(ISERROR('Model inputs'!P32&lt;='Model inputs'!B122),'Model inputs'!P32&lt;='Model inputs'!B122,IF(OR('Model inputs'!P32="",'Model inputs'!B122=""),"",'Model inputs'!P32&lt;='Model inputs'!B122))</f>
      </c>
    </row>
    <row r="738">
      <c r="A738" t="inlineStr" s="16">
        <is>
          <t xml:space="preserve">Calculation</t>
        </is>
      </c>
      <c r="B738">
        <f>IF(ISERROR('Model inputs'!P32&gt;='Model inputs'!B158),'Model inputs'!P32&gt;='Model inputs'!B158,IF(OR('Model inputs'!P32="",'Model inputs'!B158=""),"",'Model inputs'!P32&gt;='Model inputs'!B158))</f>
      </c>
    </row>
    <row r="739">
      <c r="A739" t="inlineStr" s="16">
        <is>
          <t xml:space="preserve">Calculation</t>
        </is>
      </c>
      <c r="B739">
        <f>(IF(IFERROR(IF(ISERROR('Model inputs'!B122=0),'Model inputs'!B122=0,IF('Model inputs'!B122="","",'Model inputs'!B122=0))=TRUE,FALSE),TRUE,IF(IFERROR('Model inputs'!B737=TRUE,FALSE),TRUE,IF(OR(IF(ISERROR('Model inputs'!B122=0),'Model inputs'!B122=0,IF('Model inputs'!B122="","",'Model inputs'!B122=0))="",'Model inputs'!B737=""),"",OR(IF(ISERROR('Model inputs'!B122=0),'Model inputs'!B122=0,IF('Model inputs'!B122="","",'Model inputs'!B122=0)),'Model inputs'!B737)))))</f>
      </c>
    </row>
    <row r="740">
      <c r="A740" t="inlineStr" s="16">
        <is>
          <t xml:space="preserve">Calculation</t>
        </is>
      </c>
      <c r="B740">
        <f>IF(ISERROR('Model inputs'!Q32&lt;='Model inputs'!B122),'Model inputs'!Q32&lt;='Model inputs'!B122,IF(OR('Model inputs'!Q32="",'Model inputs'!B122=""),"",'Model inputs'!Q32&lt;='Model inputs'!B122))</f>
      </c>
    </row>
    <row r="741">
      <c r="A741" t="inlineStr" s="16">
        <is>
          <t xml:space="preserve">Calculation</t>
        </is>
      </c>
      <c r="B741">
        <f>IF(ISERROR('Model inputs'!Q32&gt;='Model inputs'!B158),'Model inputs'!Q32&gt;='Model inputs'!B158,IF(OR('Model inputs'!Q32="",'Model inputs'!B158=""),"",'Model inputs'!Q32&gt;='Model inputs'!B158))</f>
      </c>
    </row>
    <row r="742">
      <c r="A742" t="inlineStr" s="16">
        <is>
          <t xml:space="preserve">Calculation</t>
        </is>
      </c>
      <c r="B742">
        <f>(IF(IFERROR(IF(ISERROR('Model inputs'!B122=0),'Model inputs'!B122=0,IF('Model inputs'!B122="","",'Model inputs'!B122=0))=TRUE,FALSE),TRUE,IF(IFERROR('Model inputs'!B740=TRUE,FALSE),TRUE,IF(OR(IF(ISERROR('Model inputs'!B122=0),'Model inputs'!B122=0,IF('Model inputs'!B122="","",'Model inputs'!B122=0))="",'Model inputs'!B740=""),"",OR(IF(ISERROR('Model inputs'!B122=0),'Model inputs'!B122=0,IF('Model inputs'!B122="","",'Model inputs'!B122=0)),'Model inputs'!B740)))))</f>
      </c>
    </row>
    <row r="743">
      <c r="A743" t="inlineStr" s="16">
        <is>
          <t xml:space="preserve">Calculation</t>
        </is>
      </c>
      <c r="B743">
        <f>IF(ISERROR('Model inputs'!R32&lt;='Model inputs'!B122),'Model inputs'!R32&lt;='Model inputs'!B122,IF(OR('Model inputs'!R32="",'Model inputs'!B122=""),"",'Model inputs'!R32&lt;='Model inputs'!B122))</f>
      </c>
    </row>
    <row r="744">
      <c r="A744" t="inlineStr" s="16">
        <is>
          <t xml:space="preserve">Calculation</t>
        </is>
      </c>
      <c r="B744">
        <f>IF(ISERROR('Model inputs'!R32&gt;='Model inputs'!B158),'Model inputs'!R32&gt;='Model inputs'!B158,IF(OR('Model inputs'!R32="",'Model inputs'!B158=""),"",'Model inputs'!R32&gt;='Model inputs'!B158))</f>
      </c>
    </row>
    <row r="745">
      <c r="A745" t="inlineStr" s="16">
        <is>
          <t xml:space="preserve">Calculation</t>
        </is>
      </c>
      <c r="B745">
        <f>(IF(IFERROR(IF(ISERROR('Model inputs'!B122=0),'Model inputs'!B122=0,IF('Model inputs'!B122="","",'Model inputs'!B122=0))=TRUE,FALSE),TRUE,IF(IFERROR('Model inputs'!B743=TRUE,FALSE),TRUE,IF(OR(IF(ISERROR('Model inputs'!B122=0),'Model inputs'!B122=0,IF('Model inputs'!B122="","",'Model inputs'!B122=0))="",'Model inputs'!B743=""),"",OR(IF(ISERROR('Model inputs'!B122=0),'Model inputs'!B122=0,IF('Model inputs'!B122="","",'Model inputs'!B122=0)),'Model inputs'!B743)))))</f>
      </c>
    </row>
    <row r="746">
      <c r="A746" t="inlineStr" s="16">
        <is>
          <t xml:space="preserve">Calculation</t>
        </is>
      </c>
      <c r="B746">
        <f>IF(ISERROR('Model inputs'!S32&lt;='Model inputs'!B122),'Model inputs'!S32&lt;='Model inputs'!B122,IF(OR('Model inputs'!S32="",'Model inputs'!B122=""),"",'Model inputs'!S32&lt;='Model inputs'!B122))</f>
      </c>
    </row>
    <row r="747">
      <c r="A747" t="inlineStr" s="16">
        <is>
          <t xml:space="preserve">Calculation</t>
        </is>
      </c>
      <c r="B747">
        <f>IF(ISERROR('Model inputs'!S32&gt;='Model inputs'!B158),'Model inputs'!S32&gt;='Model inputs'!B158,IF(OR('Model inputs'!S32="",'Model inputs'!B158=""),"",'Model inputs'!S32&gt;='Model inputs'!B158))</f>
      </c>
    </row>
    <row r="748">
      <c r="A748" t="inlineStr" s="16">
        <is>
          <t xml:space="preserve">Calculation</t>
        </is>
      </c>
      <c r="B748">
        <f>(IF(IFERROR(IF(ISERROR('Model inputs'!B122=0),'Model inputs'!B122=0,IF('Model inputs'!B122="","",'Model inputs'!B122=0))=TRUE,FALSE),TRUE,IF(IFERROR('Model inputs'!B746=TRUE,FALSE),TRUE,IF(OR(IF(ISERROR('Model inputs'!B122=0),'Model inputs'!B122=0,IF('Model inputs'!B122="","",'Model inputs'!B122=0))="",'Model inputs'!B746=""),"",OR(IF(ISERROR('Model inputs'!B122=0),'Model inputs'!B122=0,IF('Model inputs'!B122="","",'Model inputs'!B122=0)),'Model inputs'!B746)))))</f>
      </c>
    </row>
    <row r="749">
      <c r="A749" t="inlineStr" s="16">
        <is>
          <t xml:space="preserve">Calculation</t>
        </is>
      </c>
      <c r="B749">
        <f>IF(ISERROR('Model inputs'!T32&lt;='Model inputs'!B122),'Model inputs'!T32&lt;='Model inputs'!B122,IF(OR('Model inputs'!T32="",'Model inputs'!B122=""),"",'Model inputs'!T32&lt;='Model inputs'!B122))</f>
      </c>
    </row>
    <row r="750">
      <c r="A750" t="inlineStr" s="16">
        <is>
          <t xml:space="preserve">Calculation</t>
        </is>
      </c>
      <c r="B750">
        <f>IF(ISERROR('Model inputs'!T32&gt;='Model inputs'!B158),'Model inputs'!T32&gt;='Model inputs'!B158,IF(OR('Model inputs'!T32="",'Model inputs'!B158=""),"",'Model inputs'!T32&gt;='Model inputs'!B158))</f>
      </c>
    </row>
    <row r="751">
      <c r="A751" t="inlineStr" s="16">
        <is>
          <t xml:space="preserve">Calculation</t>
        </is>
      </c>
      <c r="B751">
        <f>(IF(IFERROR(IF(ISERROR('Model inputs'!B122=0),'Model inputs'!B122=0,IF('Model inputs'!B122="","",'Model inputs'!B122=0))=TRUE,FALSE),TRUE,IF(IFERROR('Model inputs'!B749=TRUE,FALSE),TRUE,IF(OR(IF(ISERROR('Model inputs'!B122=0),'Model inputs'!B122=0,IF('Model inputs'!B122="","",'Model inputs'!B122=0))="",'Model inputs'!B749=""),"",OR(IF(ISERROR('Model inputs'!B122=0),'Model inputs'!B122=0,IF('Model inputs'!B122="","",'Model inputs'!B122=0)),'Model inputs'!B749)))))</f>
      </c>
    </row>
    <row r="752">
      <c r="A752" t="inlineStr" s="16">
        <is>
          <t xml:space="preserve">Calculation</t>
        </is>
      </c>
      <c r="B752">
        <f>IF(ISERROR('Model inputs'!U32&lt;='Model inputs'!B122),'Model inputs'!U32&lt;='Model inputs'!B122,IF(OR('Model inputs'!U32="",'Model inputs'!B122=""),"",'Model inputs'!U32&lt;='Model inputs'!B122))</f>
      </c>
    </row>
    <row r="753">
      <c r="A753" t="inlineStr" s="16">
        <is>
          <t xml:space="preserve">Calculation</t>
        </is>
      </c>
      <c r="B753">
        <f>IF(ISERROR('Model inputs'!U32&gt;='Model inputs'!B158),'Model inputs'!U32&gt;='Model inputs'!B158,IF(OR('Model inputs'!U32="",'Model inputs'!B158=""),"",'Model inputs'!U32&gt;='Model inputs'!B158))</f>
      </c>
    </row>
    <row r="754">
      <c r="A754" t="inlineStr" s="16">
        <is>
          <t xml:space="preserve">Calculation</t>
        </is>
      </c>
      <c r="B754">
        <f>(IF(IFERROR(IF(ISERROR('Model inputs'!B122=0),'Model inputs'!B122=0,IF('Model inputs'!B122="","",'Model inputs'!B122=0))=TRUE,FALSE),TRUE,IF(IFERROR('Model inputs'!B752=TRUE,FALSE),TRUE,IF(OR(IF(ISERROR('Model inputs'!B122=0),'Model inputs'!B122=0,IF('Model inputs'!B122="","",'Model inputs'!B122=0))="",'Model inputs'!B752=""),"",OR(IF(ISERROR('Model inputs'!B122=0),'Model inputs'!B122=0,IF('Model inputs'!B122="","",'Model inputs'!B122=0)),'Model inputs'!B752)))))</f>
      </c>
    </row>
    <row r="755">
      <c r="A755" t="inlineStr" s="16">
        <is>
          <t xml:space="preserve">Calculation</t>
        </is>
      </c>
      <c r="B755">
        <f>IF(ISERROR('Model inputs'!V32&lt;='Model inputs'!B122),'Model inputs'!V32&lt;='Model inputs'!B122,IF(OR('Model inputs'!V32="",'Model inputs'!B122=""),"",'Model inputs'!V32&lt;='Model inputs'!B122))</f>
      </c>
    </row>
    <row r="756">
      <c r="A756" t="inlineStr" s="16">
        <is>
          <t xml:space="preserve">Calculation</t>
        </is>
      </c>
      <c r="B756">
        <f>IF(ISERROR('Model inputs'!V32&gt;='Model inputs'!B158),'Model inputs'!V32&gt;='Model inputs'!B158,IF(OR('Model inputs'!V32="",'Model inputs'!B158=""),"",'Model inputs'!V32&gt;='Model inputs'!B158))</f>
      </c>
    </row>
    <row r="757">
      <c r="A757" t="inlineStr" s="16">
        <is>
          <t xml:space="preserve">Calculation</t>
        </is>
      </c>
      <c r="B757">
        <f>(IF(IFERROR(IF(ISERROR('Model inputs'!B122=0),'Model inputs'!B122=0,IF('Model inputs'!B122="","",'Model inputs'!B122=0))=TRUE,FALSE),TRUE,IF(IFERROR('Model inputs'!B755=TRUE,FALSE),TRUE,IF(OR(IF(ISERROR('Model inputs'!B122=0),'Model inputs'!B122=0,IF('Model inputs'!B122="","",'Model inputs'!B122=0))="",'Model inputs'!B755=""),"",OR(IF(ISERROR('Model inputs'!B122=0),'Model inputs'!B122=0,IF('Model inputs'!B122="","",'Model inputs'!B122=0)),'Model inputs'!B755)))))</f>
      </c>
    </row>
    <row r="758">
      <c r="A758" t="inlineStr" s="16">
        <is>
          <t xml:space="preserve">Calculation</t>
        </is>
      </c>
      <c r="B758">
        <f>IF(ISERROR('Model inputs'!C32&lt;='Model inputs'!B123),'Model inputs'!C32&lt;='Model inputs'!B123,IF(OR('Model inputs'!C32="",'Model inputs'!B123=""),"",'Model inputs'!C32&lt;='Model inputs'!B123))</f>
      </c>
    </row>
    <row r="759">
      <c r="A759" t="inlineStr" s="16">
        <is>
          <t xml:space="preserve">Calculation</t>
        </is>
      </c>
      <c r="B759">
        <f>IF(ISERROR('Model inputs'!C32&gt;='Model inputs'!B159),'Model inputs'!C32&gt;='Model inputs'!B159,IF(OR('Model inputs'!C32="",'Model inputs'!B159=""),"",'Model inputs'!C32&gt;='Model inputs'!B159))</f>
      </c>
    </row>
    <row r="760">
      <c r="A760" t="inlineStr" s="16">
        <is>
          <t xml:space="preserve">Calculation</t>
        </is>
      </c>
      <c r="B760">
        <f>(IF(IFERROR(IF(ISERROR('Model inputs'!B123=0),'Model inputs'!B123=0,IF('Model inputs'!B123="","",'Model inputs'!B123=0))=TRUE,FALSE),TRUE,IF(IFERROR('Model inputs'!B758=TRUE,FALSE),TRUE,IF(OR(IF(ISERROR('Model inputs'!B123=0),'Model inputs'!B123=0,IF('Model inputs'!B123="","",'Model inputs'!B123=0))="",'Model inputs'!B758=""),"",OR(IF(ISERROR('Model inputs'!B123=0),'Model inputs'!B123=0,IF('Model inputs'!B123="","",'Model inputs'!B123=0)),'Model inputs'!B758)))))</f>
      </c>
    </row>
    <row r="761">
      <c r="A761" t="inlineStr" s="16">
        <is>
          <t xml:space="preserve">Calculation</t>
        </is>
      </c>
      <c r="B761">
        <f>IF(ISERROR('Model inputs'!D32&lt;='Model inputs'!B123),'Model inputs'!D32&lt;='Model inputs'!B123,IF(OR('Model inputs'!D32="",'Model inputs'!B123=""),"",'Model inputs'!D32&lt;='Model inputs'!B123))</f>
      </c>
    </row>
    <row r="762">
      <c r="A762" t="inlineStr" s="16">
        <is>
          <t xml:space="preserve">Calculation</t>
        </is>
      </c>
      <c r="B762">
        <f>IF(ISERROR('Model inputs'!D32&gt;='Model inputs'!B159),'Model inputs'!D32&gt;='Model inputs'!B159,IF(OR('Model inputs'!D32="",'Model inputs'!B159=""),"",'Model inputs'!D32&gt;='Model inputs'!B159))</f>
      </c>
    </row>
    <row r="763">
      <c r="A763" t="inlineStr" s="16">
        <is>
          <t xml:space="preserve">Calculation</t>
        </is>
      </c>
      <c r="B763">
        <f>(IF(IFERROR(IF(ISERROR('Model inputs'!B123=0),'Model inputs'!B123=0,IF('Model inputs'!B123="","",'Model inputs'!B123=0))=TRUE,FALSE),TRUE,IF(IFERROR('Model inputs'!B761=TRUE,FALSE),TRUE,IF(OR(IF(ISERROR('Model inputs'!B123=0),'Model inputs'!B123=0,IF('Model inputs'!B123="","",'Model inputs'!B123=0))="",'Model inputs'!B761=""),"",OR(IF(ISERROR('Model inputs'!B123=0),'Model inputs'!B123=0,IF('Model inputs'!B123="","",'Model inputs'!B123=0)),'Model inputs'!B761)))))</f>
      </c>
    </row>
    <row r="764">
      <c r="A764" t="inlineStr" s="16">
        <is>
          <t xml:space="preserve">Calculation</t>
        </is>
      </c>
      <c r="B764">
        <f>IF(ISERROR('Model inputs'!E32&lt;='Model inputs'!B123),'Model inputs'!E32&lt;='Model inputs'!B123,IF(OR('Model inputs'!E32="",'Model inputs'!B123=""),"",'Model inputs'!E32&lt;='Model inputs'!B123))</f>
      </c>
    </row>
    <row r="765">
      <c r="A765" t="inlineStr" s="16">
        <is>
          <t xml:space="preserve">Calculation</t>
        </is>
      </c>
      <c r="B765">
        <f>IF(ISERROR('Model inputs'!E32&gt;='Model inputs'!B159),'Model inputs'!E32&gt;='Model inputs'!B159,IF(OR('Model inputs'!E32="",'Model inputs'!B159=""),"",'Model inputs'!E32&gt;='Model inputs'!B159))</f>
      </c>
    </row>
    <row r="766">
      <c r="A766" t="inlineStr" s="16">
        <is>
          <t xml:space="preserve">Calculation</t>
        </is>
      </c>
      <c r="B766">
        <f>(IF(IFERROR(IF(ISERROR('Model inputs'!B123=0),'Model inputs'!B123=0,IF('Model inputs'!B123="","",'Model inputs'!B123=0))=TRUE,FALSE),TRUE,IF(IFERROR('Model inputs'!B764=TRUE,FALSE),TRUE,IF(OR(IF(ISERROR('Model inputs'!B123=0),'Model inputs'!B123=0,IF('Model inputs'!B123="","",'Model inputs'!B123=0))="",'Model inputs'!B764=""),"",OR(IF(ISERROR('Model inputs'!B123=0),'Model inputs'!B123=0,IF('Model inputs'!B123="","",'Model inputs'!B123=0)),'Model inputs'!B764)))))</f>
      </c>
    </row>
    <row r="767">
      <c r="A767" t="inlineStr" s="16">
        <is>
          <t xml:space="preserve">Calculation</t>
        </is>
      </c>
      <c r="B767">
        <f>IF(ISERROR('Model inputs'!F32&lt;='Model inputs'!B123),'Model inputs'!F32&lt;='Model inputs'!B123,IF(OR('Model inputs'!F32="",'Model inputs'!B123=""),"",'Model inputs'!F32&lt;='Model inputs'!B123))</f>
      </c>
    </row>
    <row r="768">
      <c r="A768" t="inlineStr" s="16">
        <is>
          <t xml:space="preserve">Calculation</t>
        </is>
      </c>
      <c r="B768">
        <f>IF(ISERROR('Model inputs'!F32&gt;='Model inputs'!B159),'Model inputs'!F32&gt;='Model inputs'!B159,IF(OR('Model inputs'!F32="",'Model inputs'!B159=""),"",'Model inputs'!F32&gt;='Model inputs'!B159))</f>
      </c>
    </row>
    <row r="769">
      <c r="A769" t="inlineStr" s="16">
        <is>
          <t xml:space="preserve">Calculation</t>
        </is>
      </c>
      <c r="B769">
        <f>(IF(IFERROR(IF(ISERROR('Model inputs'!B123=0),'Model inputs'!B123=0,IF('Model inputs'!B123="","",'Model inputs'!B123=0))=TRUE,FALSE),TRUE,IF(IFERROR('Model inputs'!B767=TRUE,FALSE),TRUE,IF(OR(IF(ISERROR('Model inputs'!B123=0),'Model inputs'!B123=0,IF('Model inputs'!B123="","",'Model inputs'!B123=0))="",'Model inputs'!B767=""),"",OR(IF(ISERROR('Model inputs'!B123=0),'Model inputs'!B123=0,IF('Model inputs'!B123="","",'Model inputs'!B123=0)),'Model inputs'!B767)))))</f>
      </c>
    </row>
    <row r="770">
      <c r="A770" t="inlineStr" s="16">
        <is>
          <t xml:space="preserve">Calculation</t>
        </is>
      </c>
      <c r="B770">
        <f>IF(ISERROR('Model inputs'!G32&lt;='Model inputs'!B123),'Model inputs'!G32&lt;='Model inputs'!B123,IF(OR('Model inputs'!G32="",'Model inputs'!B123=""),"",'Model inputs'!G32&lt;='Model inputs'!B123))</f>
      </c>
    </row>
    <row r="771">
      <c r="A771" t="inlineStr" s="16">
        <is>
          <t xml:space="preserve">Calculation</t>
        </is>
      </c>
      <c r="B771">
        <f>IF(ISERROR('Model inputs'!G32&gt;='Model inputs'!B159),'Model inputs'!G32&gt;='Model inputs'!B159,IF(OR('Model inputs'!G32="",'Model inputs'!B159=""),"",'Model inputs'!G32&gt;='Model inputs'!B159))</f>
      </c>
    </row>
    <row r="772">
      <c r="A772" t="inlineStr" s="16">
        <is>
          <t xml:space="preserve">Calculation</t>
        </is>
      </c>
      <c r="B772">
        <f>(IF(IFERROR(IF(ISERROR('Model inputs'!B123=0),'Model inputs'!B123=0,IF('Model inputs'!B123="","",'Model inputs'!B123=0))=TRUE,FALSE),TRUE,IF(IFERROR('Model inputs'!B770=TRUE,FALSE),TRUE,IF(OR(IF(ISERROR('Model inputs'!B123=0),'Model inputs'!B123=0,IF('Model inputs'!B123="","",'Model inputs'!B123=0))="",'Model inputs'!B770=""),"",OR(IF(ISERROR('Model inputs'!B123=0),'Model inputs'!B123=0,IF('Model inputs'!B123="","",'Model inputs'!B123=0)),'Model inputs'!B770)))))</f>
      </c>
    </row>
    <row r="773">
      <c r="A773" t="inlineStr" s="16">
        <is>
          <t xml:space="preserve">Calculation</t>
        </is>
      </c>
      <c r="B773">
        <f>IF(ISERROR('Model inputs'!H32&lt;='Model inputs'!B123),'Model inputs'!H32&lt;='Model inputs'!B123,IF(OR('Model inputs'!H32="",'Model inputs'!B123=""),"",'Model inputs'!H32&lt;='Model inputs'!B123))</f>
      </c>
    </row>
    <row r="774">
      <c r="A774" t="inlineStr" s="16">
        <is>
          <t xml:space="preserve">Calculation</t>
        </is>
      </c>
      <c r="B774">
        <f>IF(ISERROR('Model inputs'!H32&gt;='Model inputs'!B159),'Model inputs'!H32&gt;='Model inputs'!B159,IF(OR('Model inputs'!H32="",'Model inputs'!B159=""),"",'Model inputs'!H32&gt;='Model inputs'!B159))</f>
      </c>
    </row>
    <row r="775">
      <c r="A775" t="inlineStr" s="16">
        <is>
          <t xml:space="preserve">Calculation</t>
        </is>
      </c>
      <c r="B775">
        <f>(IF(IFERROR(IF(ISERROR('Model inputs'!B123=0),'Model inputs'!B123=0,IF('Model inputs'!B123="","",'Model inputs'!B123=0))=TRUE,FALSE),TRUE,IF(IFERROR('Model inputs'!B773=TRUE,FALSE),TRUE,IF(OR(IF(ISERROR('Model inputs'!B123=0),'Model inputs'!B123=0,IF('Model inputs'!B123="","",'Model inputs'!B123=0))="",'Model inputs'!B773=""),"",OR(IF(ISERROR('Model inputs'!B123=0),'Model inputs'!B123=0,IF('Model inputs'!B123="","",'Model inputs'!B123=0)),'Model inputs'!B773)))))</f>
      </c>
    </row>
    <row r="776">
      <c r="A776" t="inlineStr" s="16">
        <is>
          <t xml:space="preserve">Calculation</t>
        </is>
      </c>
      <c r="B776">
        <f>IF(ISERROR('Model inputs'!I32&lt;='Model inputs'!B123),'Model inputs'!I32&lt;='Model inputs'!B123,IF(OR('Model inputs'!I32="",'Model inputs'!B123=""),"",'Model inputs'!I32&lt;='Model inputs'!B123))</f>
      </c>
    </row>
    <row r="777">
      <c r="A777" t="inlineStr" s="16">
        <is>
          <t xml:space="preserve">Calculation</t>
        </is>
      </c>
      <c r="B777">
        <f>IF(ISERROR('Model inputs'!I32&gt;='Model inputs'!B159),'Model inputs'!I32&gt;='Model inputs'!B159,IF(OR('Model inputs'!I32="",'Model inputs'!B159=""),"",'Model inputs'!I32&gt;='Model inputs'!B159))</f>
      </c>
    </row>
    <row r="778">
      <c r="A778" t="inlineStr" s="16">
        <is>
          <t xml:space="preserve">Calculation</t>
        </is>
      </c>
      <c r="B778">
        <f>(IF(IFERROR(IF(ISERROR('Model inputs'!B123=0),'Model inputs'!B123=0,IF('Model inputs'!B123="","",'Model inputs'!B123=0))=TRUE,FALSE),TRUE,IF(IFERROR('Model inputs'!B776=TRUE,FALSE),TRUE,IF(OR(IF(ISERROR('Model inputs'!B123=0),'Model inputs'!B123=0,IF('Model inputs'!B123="","",'Model inputs'!B123=0))="",'Model inputs'!B776=""),"",OR(IF(ISERROR('Model inputs'!B123=0),'Model inputs'!B123=0,IF('Model inputs'!B123="","",'Model inputs'!B123=0)),'Model inputs'!B776)))))</f>
      </c>
    </row>
    <row r="779">
      <c r="A779" t="inlineStr" s="16">
        <is>
          <t xml:space="preserve">Calculation</t>
        </is>
      </c>
      <c r="B779">
        <f>IF(ISERROR('Model inputs'!J32&lt;='Model inputs'!B123),'Model inputs'!J32&lt;='Model inputs'!B123,IF(OR('Model inputs'!J32="",'Model inputs'!B123=""),"",'Model inputs'!J32&lt;='Model inputs'!B123))</f>
      </c>
    </row>
    <row r="780">
      <c r="A780" t="inlineStr" s="16">
        <is>
          <t xml:space="preserve">Calculation</t>
        </is>
      </c>
      <c r="B780">
        <f>IF(ISERROR('Model inputs'!J32&gt;='Model inputs'!B159),'Model inputs'!J32&gt;='Model inputs'!B159,IF(OR('Model inputs'!J32="",'Model inputs'!B159=""),"",'Model inputs'!J32&gt;='Model inputs'!B159))</f>
      </c>
    </row>
    <row r="781">
      <c r="A781" t="inlineStr" s="16">
        <is>
          <t xml:space="preserve">Calculation</t>
        </is>
      </c>
      <c r="B781">
        <f>(IF(IFERROR(IF(ISERROR('Model inputs'!B123=0),'Model inputs'!B123=0,IF('Model inputs'!B123="","",'Model inputs'!B123=0))=TRUE,FALSE),TRUE,IF(IFERROR('Model inputs'!B779=TRUE,FALSE),TRUE,IF(OR(IF(ISERROR('Model inputs'!B123=0),'Model inputs'!B123=0,IF('Model inputs'!B123="","",'Model inputs'!B123=0))="",'Model inputs'!B779=""),"",OR(IF(ISERROR('Model inputs'!B123=0),'Model inputs'!B123=0,IF('Model inputs'!B123="","",'Model inputs'!B123=0)),'Model inputs'!B779)))))</f>
      </c>
    </row>
    <row r="782">
      <c r="A782" t="inlineStr" s="16">
        <is>
          <t xml:space="preserve">Calculation</t>
        </is>
      </c>
      <c r="B782">
        <f>IF(ISERROR('Model inputs'!K32&lt;='Model inputs'!B123),'Model inputs'!K32&lt;='Model inputs'!B123,IF(OR('Model inputs'!K32="",'Model inputs'!B123=""),"",'Model inputs'!K32&lt;='Model inputs'!B123))</f>
      </c>
    </row>
    <row r="783">
      <c r="A783" t="inlineStr" s="16">
        <is>
          <t xml:space="preserve">Calculation</t>
        </is>
      </c>
      <c r="B783">
        <f>IF(ISERROR('Model inputs'!K32&gt;='Model inputs'!B159),'Model inputs'!K32&gt;='Model inputs'!B159,IF(OR('Model inputs'!K32="",'Model inputs'!B159=""),"",'Model inputs'!K32&gt;='Model inputs'!B159))</f>
      </c>
    </row>
    <row r="784">
      <c r="A784" t="inlineStr" s="16">
        <is>
          <t xml:space="preserve">Calculation</t>
        </is>
      </c>
      <c r="B784">
        <f>(IF(IFERROR(IF(ISERROR('Model inputs'!B123=0),'Model inputs'!B123=0,IF('Model inputs'!B123="","",'Model inputs'!B123=0))=TRUE,FALSE),TRUE,IF(IFERROR('Model inputs'!B782=TRUE,FALSE),TRUE,IF(OR(IF(ISERROR('Model inputs'!B123=0),'Model inputs'!B123=0,IF('Model inputs'!B123="","",'Model inputs'!B123=0))="",'Model inputs'!B782=""),"",OR(IF(ISERROR('Model inputs'!B123=0),'Model inputs'!B123=0,IF('Model inputs'!B123="","",'Model inputs'!B123=0)),'Model inputs'!B782)))))</f>
      </c>
    </row>
    <row r="785">
      <c r="A785" t="inlineStr" s="16">
        <is>
          <t xml:space="preserve">Calculation</t>
        </is>
      </c>
      <c r="B785">
        <f>IF(ISERROR('Model inputs'!L32&lt;='Model inputs'!B123),'Model inputs'!L32&lt;='Model inputs'!B123,IF(OR('Model inputs'!L32="",'Model inputs'!B123=""),"",'Model inputs'!L32&lt;='Model inputs'!B123))</f>
      </c>
    </row>
    <row r="786">
      <c r="A786" t="inlineStr" s="16">
        <is>
          <t xml:space="preserve">Calculation</t>
        </is>
      </c>
      <c r="B786">
        <f>IF(ISERROR('Model inputs'!L32&gt;='Model inputs'!B159),'Model inputs'!L32&gt;='Model inputs'!B159,IF(OR('Model inputs'!L32="",'Model inputs'!B159=""),"",'Model inputs'!L32&gt;='Model inputs'!B159))</f>
      </c>
    </row>
    <row r="787">
      <c r="A787" t="inlineStr" s="16">
        <is>
          <t xml:space="preserve">Calculation</t>
        </is>
      </c>
      <c r="B787">
        <f>(IF(IFERROR(IF(ISERROR('Model inputs'!B123=0),'Model inputs'!B123=0,IF('Model inputs'!B123="","",'Model inputs'!B123=0))=TRUE,FALSE),TRUE,IF(IFERROR('Model inputs'!B785=TRUE,FALSE),TRUE,IF(OR(IF(ISERROR('Model inputs'!B123=0),'Model inputs'!B123=0,IF('Model inputs'!B123="","",'Model inputs'!B123=0))="",'Model inputs'!B785=""),"",OR(IF(ISERROR('Model inputs'!B123=0),'Model inputs'!B123=0,IF('Model inputs'!B123="","",'Model inputs'!B123=0)),'Model inputs'!B785)))))</f>
      </c>
    </row>
    <row r="788">
      <c r="A788" t="inlineStr" s="16">
        <is>
          <t xml:space="preserve">Calculation</t>
        </is>
      </c>
      <c r="B788">
        <f>IF(ISERROR('Model inputs'!M32&lt;='Model inputs'!B123),'Model inputs'!M32&lt;='Model inputs'!B123,IF(OR('Model inputs'!M32="",'Model inputs'!B123=""),"",'Model inputs'!M32&lt;='Model inputs'!B123))</f>
      </c>
    </row>
    <row r="789">
      <c r="A789" t="inlineStr" s="16">
        <is>
          <t xml:space="preserve">Calculation</t>
        </is>
      </c>
      <c r="B789">
        <f>IF(ISERROR('Model inputs'!M32&gt;='Model inputs'!B159),'Model inputs'!M32&gt;='Model inputs'!B159,IF(OR('Model inputs'!M32="",'Model inputs'!B159=""),"",'Model inputs'!M32&gt;='Model inputs'!B159))</f>
      </c>
    </row>
    <row r="790">
      <c r="A790" t="inlineStr" s="16">
        <is>
          <t xml:space="preserve">Calculation</t>
        </is>
      </c>
      <c r="B790">
        <f>(IF(IFERROR(IF(ISERROR('Model inputs'!B123=0),'Model inputs'!B123=0,IF('Model inputs'!B123="","",'Model inputs'!B123=0))=TRUE,FALSE),TRUE,IF(IFERROR('Model inputs'!B788=TRUE,FALSE),TRUE,IF(OR(IF(ISERROR('Model inputs'!B123=0),'Model inputs'!B123=0,IF('Model inputs'!B123="","",'Model inputs'!B123=0))="",'Model inputs'!B788=""),"",OR(IF(ISERROR('Model inputs'!B123=0),'Model inputs'!B123=0,IF('Model inputs'!B123="","",'Model inputs'!B123=0)),'Model inputs'!B788)))))</f>
      </c>
    </row>
    <row r="791">
      <c r="A791" t="inlineStr" s="16">
        <is>
          <t xml:space="preserve">Calculation</t>
        </is>
      </c>
      <c r="B791">
        <f>IF(ISERROR('Model inputs'!N32&lt;='Model inputs'!B123),'Model inputs'!N32&lt;='Model inputs'!B123,IF(OR('Model inputs'!N32="",'Model inputs'!B123=""),"",'Model inputs'!N32&lt;='Model inputs'!B123))</f>
      </c>
    </row>
    <row r="792">
      <c r="A792" t="inlineStr" s="16">
        <is>
          <t xml:space="preserve">Calculation</t>
        </is>
      </c>
      <c r="B792">
        <f>IF(ISERROR('Model inputs'!N32&gt;='Model inputs'!B159),'Model inputs'!N32&gt;='Model inputs'!B159,IF(OR('Model inputs'!N32="",'Model inputs'!B159=""),"",'Model inputs'!N32&gt;='Model inputs'!B159))</f>
      </c>
    </row>
    <row r="793">
      <c r="A793" t="inlineStr" s="16">
        <is>
          <t xml:space="preserve">Calculation</t>
        </is>
      </c>
      <c r="B793">
        <f>(IF(IFERROR(IF(ISERROR('Model inputs'!B123=0),'Model inputs'!B123=0,IF('Model inputs'!B123="","",'Model inputs'!B123=0))=TRUE,FALSE),TRUE,IF(IFERROR('Model inputs'!B791=TRUE,FALSE),TRUE,IF(OR(IF(ISERROR('Model inputs'!B123=0),'Model inputs'!B123=0,IF('Model inputs'!B123="","",'Model inputs'!B123=0))="",'Model inputs'!B791=""),"",OR(IF(ISERROR('Model inputs'!B123=0),'Model inputs'!B123=0,IF('Model inputs'!B123="","",'Model inputs'!B123=0)),'Model inputs'!B791)))))</f>
      </c>
    </row>
    <row r="794">
      <c r="A794" t="inlineStr" s="16">
        <is>
          <t xml:space="preserve">Calculation</t>
        </is>
      </c>
      <c r="B794">
        <f>IF(ISERROR('Model inputs'!O32&lt;='Model inputs'!B123),'Model inputs'!O32&lt;='Model inputs'!B123,IF(OR('Model inputs'!O32="",'Model inputs'!B123=""),"",'Model inputs'!O32&lt;='Model inputs'!B123))</f>
      </c>
    </row>
    <row r="795">
      <c r="A795" t="inlineStr" s="16">
        <is>
          <t xml:space="preserve">Calculation</t>
        </is>
      </c>
      <c r="B795">
        <f>IF(ISERROR('Model inputs'!O32&gt;='Model inputs'!B159),'Model inputs'!O32&gt;='Model inputs'!B159,IF(OR('Model inputs'!O32="",'Model inputs'!B159=""),"",'Model inputs'!O32&gt;='Model inputs'!B159))</f>
      </c>
    </row>
    <row r="796">
      <c r="A796" t="inlineStr" s="16">
        <is>
          <t xml:space="preserve">Calculation</t>
        </is>
      </c>
      <c r="B796">
        <f>(IF(IFERROR(IF(ISERROR('Model inputs'!B123=0),'Model inputs'!B123=0,IF('Model inputs'!B123="","",'Model inputs'!B123=0))=TRUE,FALSE),TRUE,IF(IFERROR('Model inputs'!B794=TRUE,FALSE),TRUE,IF(OR(IF(ISERROR('Model inputs'!B123=0),'Model inputs'!B123=0,IF('Model inputs'!B123="","",'Model inputs'!B123=0))="",'Model inputs'!B794=""),"",OR(IF(ISERROR('Model inputs'!B123=0),'Model inputs'!B123=0,IF('Model inputs'!B123="","",'Model inputs'!B123=0)),'Model inputs'!B794)))))</f>
      </c>
    </row>
    <row r="797">
      <c r="A797" t="inlineStr" s="16">
        <is>
          <t xml:space="preserve">Calculation</t>
        </is>
      </c>
      <c r="B797">
        <f>IF(ISERROR('Model inputs'!P32&lt;='Model inputs'!B123),'Model inputs'!P32&lt;='Model inputs'!B123,IF(OR('Model inputs'!P32="",'Model inputs'!B123=""),"",'Model inputs'!P32&lt;='Model inputs'!B123))</f>
      </c>
    </row>
    <row r="798">
      <c r="A798" t="inlineStr" s="16">
        <is>
          <t xml:space="preserve">Calculation</t>
        </is>
      </c>
      <c r="B798">
        <f>IF(ISERROR('Model inputs'!P32&gt;='Model inputs'!B159),'Model inputs'!P32&gt;='Model inputs'!B159,IF(OR('Model inputs'!P32="",'Model inputs'!B159=""),"",'Model inputs'!P32&gt;='Model inputs'!B159))</f>
      </c>
    </row>
    <row r="799">
      <c r="A799" t="inlineStr" s="16">
        <is>
          <t xml:space="preserve">Calculation</t>
        </is>
      </c>
      <c r="B799">
        <f>(IF(IFERROR(IF(ISERROR('Model inputs'!B123=0),'Model inputs'!B123=0,IF('Model inputs'!B123="","",'Model inputs'!B123=0))=TRUE,FALSE),TRUE,IF(IFERROR('Model inputs'!B797=TRUE,FALSE),TRUE,IF(OR(IF(ISERROR('Model inputs'!B123=0),'Model inputs'!B123=0,IF('Model inputs'!B123="","",'Model inputs'!B123=0))="",'Model inputs'!B797=""),"",OR(IF(ISERROR('Model inputs'!B123=0),'Model inputs'!B123=0,IF('Model inputs'!B123="","",'Model inputs'!B123=0)),'Model inputs'!B797)))))</f>
      </c>
    </row>
    <row r="800">
      <c r="A800" t="inlineStr" s="16">
        <is>
          <t xml:space="preserve">Calculation</t>
        </is>
      </c>
      <c r="B800">
        <f>IF(ISERROR('Model inputs'!Q32&lt;='Model inputs'!B123),'Model inputs'!Q32&lt;='Model inputs'!B123,IF(OR('Model inputs'!Q32="",'Model inputs'!B123=""),"",'Model inputs'!Q32&lt;='Model inputs'!B123))</f>
      </c>
    </row>
    <row r="801">
      <c r="A801" t="inlineStr" s="16">
        <is>
          <t xml:space="preserve">Calculation</t>
        </is>
      </c>
      <c r="B801">
        <f>IF(ISERROR('Model inputs'!Q32&gt;='Model inputs'!B159),'Model inputs'!Q32&gt;='Model inputs'!B159,IF(OR('Model inputs'!Q32="",'Model inputs'!B159=""),"",'Model inputs'!Q32&gt;='Model inputs'!B159))</f>
      </c>
    </row>
    <row r="802">
      <c r="A802" t="inlineStr" s="16">
        <is>
          <t xml:space="preserve">Calculation</t>
        </is>
      </c>
      <c r="B802">
        <f>(IF(IFERROR(IF(ISERROR('Model inputs'!B123=0),'Model inputs'!B123=0,IF('Model inputs'!B123="","",'Model inputs'!B123=0))=TRUE,FALSE),TRUE,IF(IFERROR('Model inputs'!B800=TRUE,FALSE),TRUE,IF(OR(IF(ISERROR('Model inputs'!B123=0),'Model inputs'!B123=0,IF('Model inputs'!B123="","",'Model inputs'!B123=0))="",'Model inputs'!B800=""),"",OR(IF(ISERROR('Model inputs'!B123=0),'Model inputs'!B123=0,IF('Model inputs'!B123="","",'Model inputs'!B123=0)),'Model inputs'!B800)))))</f>
      </c>
    </row>
    <row r="803">
      <c r="A803" t="inlineStr" s="16">
        <is>
          <t xml:space="preserve">Calculation</t>
        </is>
      </c>
      <c r="B803">
        <f>IF(ISERROR('Model inputs'!R32&lt;='Model inputs'!B123),'Model inputs'!R32&lt;='Model inputs'!B123,IF(OR('Model inputs'!R32="",'Model inputs'!B123=""),"",'Model inputs'!R32&lt;='Model inputs'!B123))</f>
      </c>
    </row>
    <row r="804">
      <c r="A804" t="inlineStr" s="16">
        <is>
          <t xml:space="preserve">Calculation</t>
        </is>
      </c>
      <c r="B804">
        <f>IF(ISERROR('Model inputs'!R32&gt;='Model inputs'!B159),'Model inputs'!R32&gt;='Model inputs'!B159,IF(OR('Model inputs'!R32="",'Model inputs'!B159=""),"",'Model inputs'!R32&gt;='Model inputs'!B159))</f>
      </c>
    </row>
    <row r="805">
      <c r="A805" t="inlineStr" s="16">
        <is>
          <t xml:space="preserve">Calculation</t>
        </is>
      </c>
      <c r="B805">
        <f>(IF(IFERROR(IF(ISERROR('Model inputs'!B123=0),'Model inputs'!B123=0,IF('Model inputs'!B123="","",'Model inputs'!B123=0))=TRUE,FALSE),TRUE,IF(IFERROR('Model inputs'!B803=TRUE,FALSE),TRUE,IF(OR(IF(ISERROR('Model inputs'!B123=0),'Model inputs'!B123=0,IF('Model inputs'!B123="","",'Model inputs'!B123=0))="",'Model inputs'!B803=""),"",OR(IF(ISERROR('Model inputs'!B123=0),'Model inputs'!B123=0,IF('Model inputs'!B123="","",'Model inputs'!B123=0)),'Model inputs'!B803)))))</f>
      </c>
    </row>
    <row r="806">
      <c r="A806" t="inlineStr" s="16">
        <is>
          <t xml:space="preserve">Calculation</t>
        </is>
      </c>
      <c r="B806">
        <f>IF(ISERROR('Model inputs'!S32&lt;='Model inputs'!B123),'Model inputs'!S32&lt;='Model inputs'!B123,IF(OR('Model inputs'!S32="",'Model inputs'!B123=""),"",'Model inputs'!S32&lt;='Model inputs'!B123))</f>
      </c>
    </row>
    <row r="807">
      <c r="A807" t="inlineStr" s="16">
        <is>
          <t xml:space="preserve">Calculation</t>
        </is>
      </c>
      <c r="B807">
        <f>IF(ISERROR('Model inputs'!S32&gt;='Model inputs'!B159),'Model inputs'!S32&gt;='Model inputs'!B159,IF(OR('Model inputs'!S32="",'Model inputs'!B159=""),"",'Model inputs'!S32&gt;='Model inputs'!B159))</f>
      </c>
    </row>
    <row r="808">
      <c r="A808" t="inlineStr" s="16">
        <is>
          <t xml:space="preserve">Calculation</t>
        </is>
      </c>
      <c r="B808">
        <f>(IF(IFERROR(IF(ISERROR('Model inputs'!B123=0),'Model inputs'!B123=0,IF('Model inputs'!B123="","",'Model inputs'!B123=0))=TRUE,FALSE),TRUE,IF(IFERROR('Model inputs'!B806=TRUE,FALSE),TRUE,IF(OR(IF(ISERROR('Model inputs'!B123=0),'Model inputs'!B123=0,IF('Model inputs'!B123="","",'Model inputs'!B123=0))="",'Model inputs'!B806=""),"",OR(IF(ISERROR('Model inputs'!B123=0),'Model inputs'!B123=0,IF('Model inputs'!B123="","",'Model inputs'!B123=0)),'Model inputs'!B806)))))</f>
      </c>
    </row>
    <row r="809">
      <c r="A809" t="inlineStr" s="16">
        <is>
          <t xml:space="preserve">Calculation</t>
        </is>
      </c>
      <c r="B809">
        <f>IF(ISERROR('Model inputs'!T32&lt;='Model inputs'!B123),'Model inputs'!T32&lt;='Model inputs'!B123,IF(OR('Model inputs'!T32="",'Model inputs'!B123=""),"",'Model inputs'!T32&lt;='Model inputs'!B123))</f>
      </c>
    </row>
    <row r="810">
      <c r="A810" t="inlineStr" s="16">
        <is>
          <t xml:space="preserve">Calculation</t>
        </is>
      </c>
      <c r="B810">
        <f>IF(ISERROR('Model inputs'!T32&gt;='Model inputs'!B159),'Model inputs'!T32&gt;='Model inputs'!B159,IF(OR('Model inputs'!T32="",'Model inputs'!B159=""),"",'Model inputs'!T32&gt;='Model inputs'!B159))</f>
      </c>
    </row>
    <row r="811">
      <c r="A811" t="inlineStr" s="16">
        <is>
          <t xml:space="preserve">Calculation</t>
        </is>
      </c>
      <c r="B811">
        <f>(IF(IFERROR(IF(ISERROR('Model inputs'!B123=0),'Model inputs'!B123=0,IF('Model inputs'!B123="","",'Model inputs'!B123=0))=TRUE,FALSE),TRUE,IF(IFERROR('Model inputs'!B809=TRUE,FALSE),TRUE,IF(OR(IF(ISERROR('Model inputs'!B123=0),'Model inputs'!B123=0,IF('Model inputs'!B123="","",'Model inputs'!B123=0))="",'Model inputs'!B809=""),"",OR(IF(ISERROR('Model inputs'!B123=0),'Model inputs'!B123=0,IF('Model inputs'!B123="","",'Model inputs'!B123=0)),'Model inputs'!B809)))))</f>
      </c>
    </row>
    <row r="812">
      <c r="A812" t="inlineStr" s="16">
        <is>
          <t xml:space="preserve">Calculation</t>
        </is>
      </c>
      <c r="B812">
        <f>IF(ISERROR('Model inputs'!U32&lt;='Model inputs'!B123),'Model inputs'!U32&lt;='Model inputs'!B123,IF(OR('Model inputs'!U32="",'Model inputs'!B123=""),"",'Model inputs'!U32&lt;='Model inputs'!B123))</f>
      </c>
    </row>
    <row r="813">
      <c r="A813" t="inlineStr" s="16">
        <is>
          <t xml:space="preserve">Calculation</t>
        </is>
      </c>
      <c r="B813">
        <f>IF(ISERROR('Model inputs'!U32&gt;='Model inputs'!B159),'Model inputs'!U32&gt;='Model inputs'!B159,IF(OR('Model inputs'!U32="",'Model inputs'!B159=""),"",'Model inputs'!U32&gt;='Model inputs'!B159))</f>
      </c>
    </row>
    <row r="814">
      <c r="A814" t="inlineStr" s="16">
        <is>
          <t xml:space="preserve">Calculation</t>
        </is>
      </c>
      <c r="B814">
        <f>(IF(IFERROR(IF(ISERROR('Model inputs'!B123=0),'Model inputs'!B123=0,IF('Model inputs'!B123="","",'Model inputs'!B123=0))=TRUE,FALSE),TRUE,IF(IFERROR('Model inputs'!B812=TRUE,FALSE),TRUE,IF(OR(IF(ISERROR('Model inputs'!B123=0),'Model inputs'!B123=0,IF('Model inputs'!B123="","",'Model inputs'!B123=0))="",'Model inputs'!B812=""),"",OR(IF(ISERROR('Model inputs'!B123=0),'Model inputs'!B123=0,IF('Model inputs'!B123="","",'Model inputs'!B123=0)),'Model inputs'!B812)))))</f>
      </c>
    </row>
    <row r="815">
      <c r="A815" t="inlineStr" s="16">
        <is>
          <t xml:space="preserve">Calculation</t>
        </is>
      </c>
      <c r="B815">
        <f>IF(ISERROR('Model inputs'!V32&lt;='Model inputs'!B123),'Model inputs'!V32&lt;='Model inputs'!B123,IF(OR('Model inputs'!V32="",'Model inputs'!B123=""),"",'Model inputs'!V32&lt;='Model inputs'!B123))</f>
      </c>
    </row>
    <row r="816">
      <c r="A816" t="inlineStr" s="16">
        <is>
          <t xml:space="preserve">Calculation</t>
        </is>
      </c>
      <c r="B816">
        <f>IF(ISERROR('Model inputs'!V32&gt;='Model inputs'!B159),'Model inputs'!V32&gt;='Model inputs'!B159,IF(OR('Model inputs'!V32="",'Model inputs'!B159=""),"",'Model inputs'!V32&gt;='Model inputs'!B159))</f>
      </c>
    </row>
    <row r="817">
      <c r="A817" t="inlineStr" s="16">
        <is>
          <t xml:space="preserve">Calculation</t>
        </is>
      </c>
      <c r="B817">
        <f>(IF(IFERROR(IF(ISERROR('Model inputs'!B123=0),'Model inputs'!B123=0,IF('Model inputs'!B123="","",'Model inputs'!B123=0))=TRUE,FALSE),TRUE,IF(IFERROR('Model inputs'!B815=TRUE,FALSE),TRUE,IF(OR(IF(ISERROR('Model inputs'!B123=0),'Model inputs'!B123=0,IF('Model inputs'!B123="","",'Model inputs'!B123=0))="",'Model inputs'!B815=""),"",OR(IF(ISERROR('Model inputs'!B123=0),'Model inputs'!B123=0,IF('Model inputs'!B123="","",'Model inputs'!B123=0)),'Model inputs'!B815)))))</f>
      </c>
    </row>
    <row r="818">
      <c r="A818" t="inlineStr" s="16">
        <is>
          <t xml:space="preserve">Calculation</t>
        </is>
      </c>
      <c r="B818">
        <f>IF(ISERROR('Model inputs'!C32&lt;='Model inputs'!B124),'Model inputs'!C32&lt;='Model inputs'!B124,IF(OR('Model inputs'!C32="",'Model inputs'!B124=""),"",'Model inputs'!C32&lt;='Model inputs'!B124))</f>
      </c>
    </row>
    <row r="819">
      <c r="A819" t="inlineStr" s="16">
        <is>
          <t xml:space="preserve">Calculation</t>
        </is>
      </c>
      <c r="B819">
        <f>IF(ISERROR('Model inputs'!C32&gt;='Model inputs'!B160),'Model inputs'!C32&gt;='Model inputs'!B160,IF(OR('Model inputs'!C32="",'Model inputs'!B160=""),"",'Model inputs'!C32&gt;='Model inputs'!B160))</f>
      </c>
    </row>
    <row r="820">
      <c r="A820" t="inlineStr" s="16">
        <is>
          <t xml:space="preserve">Calculation</t>
        </is>
      </c>
      <c r="B820">
        <f>(IF(IFERROR(IF(ISERROR('Model inputs'!B124=0),'Model inputs'!B124=0,IF('Model inputs'!B124="","",'Model inputs'!B124=0))=TRUE,FALSE),TRUE,IF(IFERROR('Model inputs'!B818=TRUE,FALSE),TRUE,IF(OR(IF(ISERROR('Model inputs'!B124=0),'Model inputs'!B124=0,IF('Model inputs'!B124="","",'Model inputs'!B124=0))="",'Model inputs'!B818=""),"",OR(IF(ISERROR('Model inputs'!B124=0),'Model inputs'!B124=0,IF('Model inputs'!B124="","",'Model inputs'!B124=0)),'Model inputs'!B818)))))</f>
      </c>
    </row>
    <row r="821">
      <c r="A821" t="inlineStr" s="16">
        <is>
          <t xml:space="preserve">Calculation</t>
        </is>
      </c>
      <c r="B821">
        <f>IF(ISERROR('Model inputs'!D32&lt;='Model inputs'!B124),'Model inputs'!D32&lt;='Model inputs'!B124,IF(OR('Model inputs'!D32="",'Model inputs'!B124=""),"",'Model inputs'!D32&lt;='Model inputs'!B124))</f>
      </c>
    </row>
    <row r="822">
      <c r="A822" t="inlineStr" s="16">
        <is>
          <t xml:space="preserve">Calculation</t>
        </is>
      </c>
      <c r="B822">
        <f>IF(ISERROR('Model inputs'!D32&gt;='Model inputs'!B160),'Model inputs'!D32&gt;='Model inputs'!B160,IF(OR('Model inputs'!D32="",'Model inputs'!B160=""),"",'Model inputs'!D32&gt;='Model inputs'!B160))</f>
      </c>
    </row>
    <row r="823">
      <c r="A823" t="inlineStr" s="16">
        <is>
          <t xml:space="preserve">Calculation</t>
        </is>
      </c>
      <c r="B823">
        <f>(IF(IFERROR(IF(ISERROR('Model inputs'!B124=0),'Model inputs'!B124=0,IF('Model inputs'!B124="","",'Model inputs'!B124=0))=TRUE,FALSE),TRUE,IF(IFERROR('Model inputs'!B821=TRUE,FALSE),TRUE,IF(OR(IF(ISERROR('Model inputs'!B124=0),'Model inputs'!B124=0,IF('Model inputs'!B124="","",'Model inputs'!B124=0))="",'Model inputs'!B821=""),"",OR(IF(ISERROR('Model inputs'!B124=0),'Model inputs'!B124=0,IF('Model inputs'!B124="","",'Model inputs'!B124=0)),'Model inputs'!B821)))))</f>
      </c>
    </row>
    <row r="824">
      <c r="A824" t="inlineStr" s="16">
        <is>
          <t xml:space="preserve">Calculation</t>
        </is>
      </c>
      <c r="B824">
        <f>IF(ISERROR('Model inputs'!E32&lt;='Model inputs'!B124),'Model inputs'!E32&lt;='Model inputs'!B124,IF(OR('Model inputs'!E32="",'Model inputs'!B124=""),"",'Model inputs'!E32&lt;='Model inputs'!B124))</f>
      </c>
    </row>
    <row r="825">
      <c r="A825" t="inlineStr" s="16">
        <is>
          <t xml:space="preserve">Calculation</t>
        </is>
      </c>
      <c r="B825">
        <f>IF(ISERROR('Model inputs'!E32&gt;='Model inputs'!B160),'Model inputs'!E32&gt;='Model inputs'!B160,IF(OR('Model inputs'!E32="",'Model inputs'!B160=""),"",'Model inputs'!E32&gt;='Model inputs'!B160))</f>
      </c>
    </row>
    <row r="826">
      <c r="A826" t="inlineStr" s="16">
        <is>
          <t xml:space="preserve">Calculation</t>
        </is>
      </c>
      <c r="B826">
        <f>(IF(IFERROR(IF(ISERROR('Model inputs'!B124=0),'Model inputs'!B124=0,IF('Model inputs'!B124="","",'Model inputs'!B124=0))=TRUE,FALSE),TRUE,IF(IFERROR('Model inputs'!B824=TRUE,FALSE),TRUE,IF(OR(IF(ISERROR('Model inputs'!B124=0),'Model inputs'!B124=0,IF('Model inputs'!B124="","",'Model inputs'!B124=0))="",'Model inputs'!B824=""),"",OR(IF(ISERROR('Model inputs'!B124=0),'Model inputs'!B124=0,IF('Model inputs'!B124="","",'Model inputs'!B124=0)),'Model inputs'!B824)))))</f>
      </c>
    </row>
    <row r="827">
      <c r="A827" t="inlineStr" s="16">
        <is>
          <t xml:space="preserve">Calculation</t>
        </is>
      </c>
      <c r="B827">
        <f>IF(ISERROR('Model inputs'!F32&lt;='Model inputs'!B124),'Model inputs'!F32&lt;='Model inputs'!B124,IF(OR('Model inputs'!F32="",'Model inputs'!B124=""),"",'Model inputs'!F32&lt;='Model inputs'!B124))</f>
      </c>
    </row>
    <row r="828">
      <c r="A828" t="inlineStr" s="16">
        <is>
          <t xml:space="preserve">Calculation</t>
        </is>
      </c>
      <c r="B828">
        <f>IF(ISERROR('Model inputs'!F32&gt;='Model inputs'!B160),'Model inputs'!F32&gt;='Model inputs'!B160,IF(OR('Model inputs'!F32="",'Model inputs'!B160=""),"",'Model inputs'!F32&gt;='Model inputs'!B160))</f>
      </c>
    </row>
    <row r="829">
      <c r="A829" t="inlineStr" s="16">
        <is>
          <t xml:space="preserve">Calculation</t>
        </is>
      </c>
      <c r="B829">
        <f>(IF(IFERROR(IF(ISERROR('Model inputs'!B124=0),'Model inputs'!B124=0,IF('Model inputs'!B124="","",'Model inputs'!B124=0))=TRUE,FALSE),TRUE,IF(IFERROR('Model inputs'!B827=TRUE,FALSE),TRUE,IF(OR(IF(ISERROR('Model inputs'!B124=0),'Model inputs'!B124=0,IF('Model inputs'!B124="","",'Model inputs'!B124=0))="",'Model inputs'!B827=""),"",OR(IF(ISERROR('Model inputs'!B124=0),'Model inputs'!B124=0,IF('Model inputs'!B124="","",'Model inputs'!B124=0)),'Model inputs'!B827)))))</f>
      </c>
    </row>
    <row r="830">
      <c r="A830" t="inlineStr" s="16">
        <is>
          <t xml:space="preserve">Calculation</t>
        </is>
      </c>
      <c r="B830">
        <f>IF(ISERROR('Model inputs'!G32&lt;='Model inputs'!B124),'Model inputs'!G32&lt;='Model inputs'!B124,IF(OR('Model inputs'!G32="",'Model inputs'!B124=""),"",'Model inputs'!G32&lt;='Model inputs'!B124))</f>
      </c>
    </row>
    <row r="831">
      <c r="A831" t="inlineStr" s="16">
        <is>
          <t xml:space="preserve">Calculation</t>
        </is>
      </c>
      <c r="B831">
        <f>IF(ISERROR('Model inputs'!G32&gt;='Model inputs'!B160),'Model inputs'!G32&gt;='Model inputs'!B160,IF(OR('Model inputs'!G32="",'Model inputs'!B160=""),"",'Model inputs'!G32&gt;='Model inputs'!B160))</f>
      </c>
    </row>
    <row r="832">
      <c r="A832" t="inlineStr" s="16">
        <is>
          <t xml:space="preserve">Calculation</t>
        </is>
      </c>
      <c r="B832">
        <f>(IF(IFERROR(IF(ISERROR('Model inputs'!B124=0),'Model inputs'!B124=0,IF('Model inputs'!B124="","",'Model inputs'!B124=0))=TRUE,FALSE),TRUE,IF(IFERROR('Model inputs'!B830=TRUE,FALSE),TRUE,IF(OR(IF(ISERROR('Model inputs'!B124=0),'Model inputs'!B124=0,IF('Model inputs'!B124="","",'Model inputs'!B124=0))="",'Model inputs'!B830=""),"",OR(IF(ISERROR('Model inputs'!B124=0),'Model inputs'!B124=0,IF('Model inputs'!B124="","",'Model inputs'!B124=0)),'Model inputs'!B830)))))</f>
      </c>
    </row>
    <row r="833">
      <c r="A833" t="inlineStr" s="16">
        <is>
          <t xml:space="preserve">Calculation</t>
        </is>
      </c>
      <c r="B833">
        <f>IF(ISERROR('Model inputs'!H32&lt;='Model inputs'!B124),'Model inputs'!H32&lt;='Model inputs'!B124,IF(OR('Model inputs'!H32="",'Model inputs'!B124=""),"",'Model inputs'!H32&lt;='Model inputs'!B124))</f>
      </c>
    </row>
    <row r="834">
      <c r="A834" t="inlineStr" s="16">
        <is>
          <t xml:space="preserve">Calculation</t>
        </is>
      </c>
      <c r="B834">
        <f>IF(ISERROR('Model inputs'!H32&gt;='Model inputs'!B160),'Model inputs'!H32&gt;='Model inputs'!B160,IF(OR('Model inputs'!H32="",'Model inputs'!B160=""),"",'Model inputs'!H32&gt;='Model inputs'!B160))</f>
      </c>
    </row>
    <row r="835">
      <c r="A835" t="inlineStr" s="16">
        <is>
          <t xml:space="preserve">Calculation</t>
        </is>
      </c>
      <c r="B835">
        <f>(IF(IFERROR(IF(ISERROR('Model inputs'!B124=0),'Model inputs'!B124=0,IF('Model inputs'!B124="","",'Model inputs'!B124=0))=TRUE,FALSE),TRUE,IF(IFERROR('Model inputs'!B833=TRUE,FALSE),TRUE,IF(OR(IF(ISERROR('Model inputs'!B124=0),'Model inputs'!B124=0,IF('Model inputs'!B124="","",'Model inputs'!B124=0))="",'Model inputs'!B833=""),"",OR(IF(ISERROR('Model inputs'!B124=0),'Model inputs'!B124=0,IF('Model inputs'!B124="","",'Model inputs'!B124=0)),'Model inputs'!B833)))))</f>
      </c>
    </row>
    <row r="836">
      <c r="A836" t="inlineStr" s="16">
        <is>
          <t xml:space="preserve">Calculation</t>
        </is>
      </c>
      <c r="B836">
        <f>IF(ISERROR('Model inputs'!I32&lt;='Model inputs'!B124),'Model inputs'!I32&lt;='Model inputs'!B124,IF(OR('Model inputs'!I32="",'Model inputs'!B124=""),"",'Model inputs'!I32&lt;='Model inputs'!B124))</f>
      </c>
    </row>
    <row r="837">
      <c r="A837" t="inlineStr" s="16">
        <is>
          <t xml:space="preserve">Calculation</t>
        </is>
      </c>
      <c r="B837">
        <f>IF(ISERROR('Model inputs'!I32&gt;='Model inputs'!B160),'Model inputs'!I32&gt;='Model inputs'!B160,IF(OR('Model inputs'!I32="",'Model inputs'!B160=""),"",'Model inputs'!I32&gt;='Model inputs'!B160))</f>
      </c>
    </row>
    <row r="838">
      <c r="A838" t="inlineStr" s="16">
        <is>
          <t xml:space="preserve">Calculation</t>
        </is>
      </c>
      <c r="B838">
        <f>(IF(IFERROR(IF(ISERROR('Model inputs'!B124=0),'Model inputs'!B124=0,IF('Model inputs'!B124="","",'Model inputs'!B124=0))=TRUE,FALSE),TRUE,IF(IFERROR('Model inputs'!B836=TRUE,FALSE),TRUE,IF(OR(IF(ISERROR('Model inputs'!B124=0),'Model inputs'!B124=0,IF('Model inputs'!B124="","",'Model inputs'!B124=0))="",'Model inputs'!B836=""),"",OR(IF(ISERROR('Model inputs'!B124=0),'Model inputs'!B124=0,IF('Model inputs'!B124="","",'Model inputs'!B124=0)),'Model inputs'!B836)))))</f>
      </c>
    </row>
    <row r="839">
      <c r="A839" t="inlineStr" s="16">
        <is>
          <t xml:space="preserve">Calculation</t>
        </is>
      </c>
      <c r="B839">
        <f>IF(ISERROR('Model inputs'!J32&lt;='Model inputs'!B124),'Model inputs'!J32&lt;='Model inputs'!B124,IF(OR('Model inputs'!J32="",'Model inputs'!B124=""),"",'Model inputs'!J32&lt;='Model inputs'!B124))</f>
      </c>
    </row>
    <row r="840">
      <c r="A840" t="inlineStr" s="16">
        <is>
          <t xml:space="preserve">Calculation</t>
        </is>
      </c>
      <c r="B840">
        <f>IF(ISERROR('Model inputs'!J32&gt;='Model inputs'!B160),'Model inputs'!J32&gt;='Model inputs'!B160,IF(OR('Model inputs'!J32="",'Model inputs'!B160=""),"",'Model inputs'!J32&gt;='Model inputs'!B160))</f>
      </c>
    </row>
    <row r="841">
      <c r="A841" t="inlineStr" s="16">
        <is>
          <t xml:space="preserve">Calculation</t>
        </is>
      </c>
      <c r="B841">
        <f>(IF(IFERROR(IF(ISERROR('Model inputs'!B124=0),'Model inputs'!B124=0,IF('Model inputs'!B124="","",'Model inputs'!B124=0))=TRUE,FALSE),TRUE,IF(IFERROR('Model inputs'!B839=TRUE,FALSE),TRUE,IF(OR(IF(ISERROR('Model inputs'!B124=0),'Model inputs'!B124=0,IF('Model inputs'!B124="","",'Model inputs'!B124=0))="",'Model inputs'!B839=""),"",OR(IF(ISERROR('Model inputs'!B124=0),'Model inputs'!B124=0,IF('Model inputs'!B124="","",'Model inputs'!B124=0)),'Model inputs'!B839)))))</f>
      </c>
    </row>
    <row r="842">
      <c r="A842" t="inlineStr" s="16">
        <is>
          <t xml:space="preserve">Calculation</t>
        </is>
      </c>
      <c r="B842">
        <f>IF(ISERROR('Model inputs'!K32&lt;='Model inputs'!B124),'Model inputs'!K32&lt;='Model inputs'!B124,IF(OR('Model inputs'!K32="",'Model inputs'!B124=""),"",'Model inputs'!K32&lt;='Model inputs'!B124))</f>
      </c>
    </row>
    <row r="843">
      <c r="A843" t="inlineStr" s="16">
        <is>
          <t xml:space="preserve">Calculation</t>
        </is>
      </c>
      <c r="B843">
        <f>IF(ISERROR('Model inputs'!K32&gt;='Model inputs'!B160),'Model inputs'!K32&gt;='Model inputs'!B160,IF(OR('Model inputs'!K32="",'Model inputs'!B160=""),"",'Model inputs'!K32&gt;='Model inputs'!B160))</f>
      </c>
    </row>
    <row r="844">
      <c r="A844" t="inlineStr" s="16">
        <is>
          <t xml:space="preserve">Calculation</t>
        </is>
      </c>
      <c r="B844">
        <f>(IF(IFERROR(IF(ISERROR('Model inputs'!B124=0),'Model inputs'!B124=0,IF('Model inputs'!B124="","",'Model inputs'!B124=0))=TRUE,FALSE),TRUE,IF(IFERROR('Model inputs'!B842=TRUE,FALSE),TRUE,IF(OR(IF(ISERROR('Model inputs'!B124=0),'Model inputs'!B124=0,IF('Model inputs'!B124="","",'Model inputs'!B124=0))="",'Model inputs'!B842=""),"",OR(IF(ISERROR('Model inputs'!B124=0),'Model inputs'!B124=0,IF('Model inputs'!B124="","",'Model inputs'!B124=0)),'Model inputs'!B842)))))</f>
      </c>
    </row>
    <row r="845">
      <c r="A845" t="inlineStr" s="16">
        <is>
          <t xml:space="preserve">Calculation</t>
        </is>
      </c>
      <c r="B845">
        <f>IF(ISERROR('Model inputs'!L32&lt;='Model inputs'!B124),'Model inputs'!L32&lt;='Model inputs'!B124,IF(OR('Model inputs'!L32="",'Model inputs'!B124=""),"",'Model inputs'!L32&lt;='Model inputs'!B124))</f>
      </c>
    </row>
    <row r="846">
      <c r="A846" t="inlineStr" s="16">
        <is>
          <t xml:space="preserve">Calculation</t>
        </is>
      </c>
      <c r="B846">
        <f>IF(ISERROR('Model inputs'!L32&gt;='Model inputs'!B160),'Model inputs'!L32&gt;='Model inputs'!B160,IF(OR('Model inputs'!L32="",'Model inputs'!B160=""),"",'Model inputs'!L32&gt;='Model inputs'!B160))</f>
      </c>
    </row>
    <row r="847">
      <c r="A847" t="inlineStr" s="16">
        <is>
          <t xml:space="preserve">Calculation</t>
        </is>
      </c>
      <c r="B847">
        <f>(IF(IFERROR(IF(ISERROR('Model inputs'!B124=0),'Model inputs'!B124=0,IF('Model inputs'!B124="","",'Model inputs'!B124=0))=TRUE,FALSE),TRUE,IF(IFERROR('Model inputs'!B845=TRUE,FALSE),TRUE,IF(OR(IF(ISERROR('Model inputs'!B124=0),'Model inputs'!B124=0,IF('Model inputs'!B124="","",'Model inputs'!B124=0))="",'Model inputs'!B845=""),"",OR(IF(ISERROR('Model inputs'!B124=0),'Model inputs'!B124=0,IF('Model inputs'!B124="","",'Model inputs'!B124=0)),'Model inputs'!B845)))))</f>
      </c>
    </row>
    <row r="848">
      <c r="A848" t="inlineStr" s="16">
        <is>
          <t xml:space="preserve">Calculation</t>
        </is>
      </c>
      <c r="B848">
        <f>IF(ISERROR('Model inputs'!M32&lt;='Model inputs'!B124),'Model inputs'!M32&lt;='Model inputs'!B124,IF(OR('Model inputs'!M32="",'Model inputs'!B124=""),"",'Model inputs'!M32&lt;='Model inputs'!B124))</f>
      </c>
    </row>
    <row r="849">
      <c r="A849" t="inlineStr" s="16">
        <is>
          <t xml:space="preserve">Calculation</t>
        </is>
      </c>
      <c r="B849">
        <f>IF(ISERROR('Model inputs'!M32&gt;='Model inputs'!B160),'Model inputs'!M32&gt;='Model inputs'!B160,IF(OR('Model inputs'!M32="",'Model inputs'!B160=""),"",'Model inputs'!M32&gt;='Model inputs'!B160))</f>
      </c>
    </row>
    <row r="850">
      <c r="A850" t="inlineStr" s="16">
        <is>
          <t xml:space="preserve">Calculation</t>
        </is>
      </c>
      <c r="B850">
        <f>(IF(IFERROR(IF(ISERROR('Model inputs'!B124=0),'Model inputs'!B124=0,IF('Model inputs'!B124="","",'Model inputs'!B124=0))=TRUE,FALSE),TRUE,IF(IFERROR('Model inputs'!B848=TRUE,FALSE),TRUE,IF(OR(IF(ISERROR('Model inputs'!B124=0),'Model inputs'!B124=0,IF('Model inputs'!B124="","",'Model inputs'!B124=0))="",'Model inputs'!B848=""),"",OR(IF(ISERROR('Model inputs'!B124=0),'Model inputs'!B124=0,IF('Model inputs'!B124="","",'Model inputs'!B124=0)),'Model inputs'!B848)))))</f>
      </c>
    </row>
    <row r="851">
      <c r="A851" t="inlineStr" s="16">
        <is>
          <t xml:space="preserve">Calculation</t>
        </is>
      </c>
      <c r="B851">
        <f>IF(ISERROR('Model inputs'!N32&lt;='Model inputs'!B124),'Model inputs'!N32&lt;='Model inputs'!B124,IF(OR('Model inputs'!N32="",'Model inputs'!B124=""),"",'Model inputs'!N32&lt;='Model inputs'!B124))</f>
      </c>
    </row>
    <row r="852">
      <c r="A852" t="inlineStr" s="16">
        <is>
          <t xml:space="preserve">Calculation</t>
        </is>
      </c>
      <c r="B852">
        <f>IF(ISERROR('Model inputs'!N32&gt;='Model inputs'!B160),'Model inputs'!N32&gt;='Model inputs'!B160,IF(OR('Model inputs'!N32="",'Model inputs'!B160=""),"",'Model inputs'!N32&gt;='Model inputs'!B160))</f>
      </c>
    </row>
    <row r="853">
      <c r="A853" t="inlineStr" s="16">
        <is>
          <t xml:space="preserve">Calculation</t>
        </is>
      </c>
      <c r="B853">
        <f>(IF(IFERROR(IF(ISERROR('Model inputs'!B124=0),'Model inputs'!B124=0,IF('Model inputs'!B124="","",'Model inputs'!B124=0))=TRUE,FALSE),TRUE,IF(IFERROR('Model inputs'!B851=TRUE,FALSE),TRUE,IF(OR(IF(ISERROR('Model inputs'!B124=0),'Model inputs'!B124=0,IF('Model inputs'!B124="","",'Model inputs'!B124=0))="",'Model inputs'!B851=""),"",OR(IF(ISERROR('Model inputs'!B124=0),'Model inputs'!B124=0,IF('Model inputs'!B124="","",'Model inputs'!B124=0)),'Model inputs'!B851)))))</f>
      </c>
    </row>
    <row r="854">
      <c r="A854" t="inlineStr" s="16">
        <is>
          <t xml:space="preserve">Calculation</t>
        </is>
      </c>
      <c r="B854">
        <f>IF(ISERROR('Model inputs'!O32&lt;='Model inputs'!B124),'Model inputs'!O32&lt;='Model inputs'!B124,IF(OR('Model inputs'!O32="",'Model inputs'!B124=""),"",'Model inputs'!O32&lt;='Model inputs'!B124))</f>
      </c>
    </row>
    <row r="855">
      <c r="A855" t="inlineStr" s="16">
        <is>
          <t xml:space="preserve">Calculation</t>
        </is>
      </c>
      <c r="B855">
        <f>IF(ISERROR('Model inputs'!O32&gt;='Model inputs'!B160),'Model inputs'!O32&gt;='Model inputs'!B160,IF(OR('Model inputs'!O32="",'Model inputs'!B160=""),"",'Model inputs'!O32&gt;='Model inputs'!B160))</f>
      </c>
    </row>
    <row r="856">
      <c r="A856" t="inlineStr" s="16">
        <is>
          <t xml:space="preserve">Calculation</t>
        </is>
      </c>
      <c r="B856">
        <f>(IF(IFERROR(IF(ISERROR('Model inputs'!B124=0),'Model inputs'!B124=0,IF('Model inputs'!B124="","",'Model inputs'!B124=0))=TRUE,FALSE),TRUE,IF(IFERROR('Model inputs'!B854=TRUE,FALSE),TRUE,IF(OR(IF(ISERROR('Model inputs'!B124=0),'Model inputs'!B124=0,IF('Model inputs'!B124="","",'Model inputs'!B124=0))="",'Model inputs'!B854=""),"",OR(IF(ISERROR('Model inputs'!B124=0),'Model inputs'!B124=0,IF('Model inputs'!B124="","",'Model inputs'!B124=0)),'Model inputs'!B854)))))</f>
      </c>
    </row>
    <row r="857">
      <c r="A857" t="inlineStr" s="16">
        <is>
          <t xml:space="preserve">Calculation</t>
        </is>
      </c>
      <c r="B857">
        <f>IF(ISERROR('Model inputs'!P32&lt;='Model inputs'!B124),'Model inputs'!P32&lt;='Model inputs'!B124,IF(OR('Model inputs'!P32="",'Model inputs'!B124=""),"",'Model inputs'!P32&lt;='Model inputs'!B124))</f>
      </c>
    </row>
    <row r="858">
      <c r="A858" t="inlineStr" s="16">
        <is>
          <t xml:space="preserve">Calculation</t>
        </is>
      </c>
      <c r="B858">
        <f>IF(ISERROR('Model inputs'!P32&gt;='Model inputs'!B160),'Model inputs'!P32&gt;='Model inputs'!B160,IF(OR('Model inputs'!P32="",'Model inputs'!B160=""),"",'Model inputs'!P32&gt;='Model inputs'!B160))</f>
      </c>
    </row>
    <row r="859">
      <c r="A859" t="inlineStr" s="16">
        <is>
          <t xml:space="preserve">Calculation</t>
        </is>
      </c>
      <c r="B859">
        <f>(IF(IFERROR(IF(ISERROR('Model inputs'!B124=0),'Model inputs'!B124=0,IF('Model inputs'!B124="","",'Model inputs'!B124=0))=TRUE,FALSE),TRUE,IF(IFERROR('Model inputs'!B857=TRUE,FALSE),TRUE,IF(OR(IF(ISERROR('Model inputs'!B124=0),'Model inputs'!B124=0,IF('Model inputs'!B124="","",'Model inputs'!B124=0))="",'Model inputs'!B857=""),"",OR(IF(ISERROR('Model inputs'!B124=0),'Model inputs'!B124=0,IF('Model inputs'!B124="","",'Model inputs'!B124=0)),'Model inputs'!B857)))))</f>
      </c>
    </row>
    <row r="860">
      <c r="A860" t="inlineStr" s="16">
        <is>
          <t xml:space="preserve">Calculation</t>
        </is>
      </c>
      <c r="B860">
        <f>IF(ISERROR('Model inputs'!Q32&lt;='Model inputs'!B124),'Model inputs'!Q32&lt;='Model inputs'!B124,IF(OR('Model inputs'!Q32="",'Model inputs'!B124=""),"",'Model inputs'!Q32&lt;='Model inputs'!B124))</f>
      </c>
    </row>
    <row r="861">
      <c r="A861" t="inlineStr" s="16">
        <is>
          <t xml:space="preserve">Calculation</t>
        </is>
      </c>
      <c r="B861">
        <f>IF(ISERROR('Model inputs'!Q32&gt;='Model inputs'!B160),'Model inputs'!Q32&gt;='Model inputs'!B160,IF(OR('Model inputs'!Q32="",'Model inputs'!B160=""),"",'Model inputs'!Q32&gt;='Model inputs'!B160))</f>
      </c>
    </row>
    <row r="862">
      <c r="A862" t="inlineStr" s="16">
        <is>
          <t xml:space="preserve">Calculation</t>
        </is>
      </c>
      <c r="B862">
        <f>(IF(IFERROR(IF(ISERROR('Model inputs'!B124=0),'Model inputs'!B124=0,IF('Model inputs'!B124="","",'Model inputs'!B124=0))=TRUE,FALSE),TRUE,IF(IFERROR('Model inputs'!B860=TRUE,FALSE),TRUE,IF(OR(IF(ISERROR('Model inputs'!B124=0),'Model inputs'!B124=0,IF('Model inputs'!B124="","",'Model inputs'!B124=0))="",'Model inputs'!B860=""),"",OR(IF(ISERROR('Model inputs'!B124=0),'Model inputs'!B124=0,IF('Model inputs'!B124="","",'Model inputs'!B124=0)),'Model inputs'!B860)))))</f>
      </c>
    </row>
    <row r="863">
      <c r="A863" t="inlineStr" s="16">
        <is>
          <t xml:space="preserve">Calculation</t>
        </is>
      </c>
      <c r="B863">
        <f>IF(ISERROR('Model inputs'!R32&lt;='Model inputs'!B124),'Model inputs'!R32&lt;='Model inputs'!B124,IF(OR('Model inputs'!R32="",'Model inputs'!B124=""),"",'Model inputs'!R32&lt;='Model inputs'!B124))</f>
      </c>
    </row>
    <row r="864">
      <c r="A864" t="inlineStr" s="16">
        <is>
          <t xml:space="preserve">Calculation</t>
        </is>
      </c>
      <c r="B864">
        <f>IF(ISERROR('Model inputs'!R32&gt;='Model inputs'!B160),'Model inputs'!R32&gt;='Model inputs'!B160,IF(OR('Model inputs'!R32="",'Model inputs'!B160=""),"",'Model inputs'!R32&gt;='Model inputs'!B160))</f>
      </c>
    </row>
    <row r="865">
      <c r="A865" t="inlineStr" s="16">
        <is>
          <t xml:space="preserve">Calculation</t>
        </is>
      </c>
      <c r="B865">
        <f>(IF(IFERROR(IF(ISERROR('Model inputs'!B124=0),'Model inputs'!B124=0,IF('Model inputs'!B124="","",'Model inputs'!B124=0))=TRUE,FALSE),TRUE,IF(IFERROR('Model inputs'!B863=TRUE,FALSE),TRUE,IF(OR(IF(ISERROR('Model inputs'!B124=0),'Model inputs'!B124=0,IF('Model inputs'!B124="","",'Model inputs'!B124=0))="",'Model inputs'!B863=""),"",OR(IF(ISERROR('Model inputs'!B124=0),'Model inputs'!B124=0,IF('Model inputs'!B124="","",'Model inputs'!B124=0)),'Model inputs'!B863)))))</f>
      </c>
    </row>
    <row r="866">
      <c r="A866" t="inlineStr" s="16">
        <is>
          <t xml:space="preserve">Calculation</t>
        </is>
      </c>
      <c r="B866">
        <f>IF(ISERROR('Model inputs'!S32&lt;='Model inputs'!B124),'Model inputs'!S32&lt;='Model inputs'!B124,IF(OR('Model inputs'!S32="",'Model inputs'!B124=""),"",'Model inputs'!S32&lt;='Model inputs'!B124))</f>
      </c>
    </row>
    <row r="867">
      <c r="A867" t="inlineStr" s="16">
        <is>
          <t xml:space="preserve">Calculation</t>
        </is>
      </c>
      <c r="B867">
        <f>IF(ISERROR('Model inputs'!S32&gt;='Model inputs'!B160),'Model inputs'!S32&gt;='Model inputs'!B160,IF(OR('Model inputs'!S32="",'Model inputs'!B160=""),"",'Model inputs'!S32&gt;='Model inputs'!B160))</f>
      </c>
    </row>
    <row r="868">
      <c r="A868" t="inlineStr" s="16">
        <is>
          <t xml:space="preserve">Calculation</t>
        </is>
      </c>
      <c r="B868">
        <f>(IF(IFERROR(IF(ISERROR('Model inputs'!B124=0),'Model inputs'!B124=0,IF('Model inputs'!B124="","",'Model inputs'!B124=0))=TRUE,FALSE),TRUE,IF(IFERROR('Model inputs'!B866=TRUE,FALSE),TRUE,IF(OR(IF(ISERROR('Model inputs'!B124=0),'Model inputs'!B124=0,IF('Model inputs'!B124="","",'Model inputs'!B124=0))="",'Model inputs'!B866=""),"",OR(IF(ISERROR('Model inputs'!B124=0),'Model inputs'!B124=0,IF('Model inputs'!B124="","",'Model inputs'!B124=0)),'Model inputs'!B866)))))</f>
      </c>
    </row>
    <row r="869">
      <c r="A869" t="inlineStr" s="16">
        <is>
          <t xml:space="preserve">Calculation</t>
        </is>
      </c>
      <c r="B869">
        <f>IF(ISERROR('Model inputs'!T32&lt;='Model inputs'!B124),'Model inputs'!T32&lt;='Model inputs'!B124,IF(OR('Model inputs'!T32="",'Model inputs'!B124=""),"",'Model inputs'!T32&lt;='Model inputs'!B124))</f>
      </c>
    </row>
    <row r="870">
      <c r="A870" t="inlineStr" s="16">
        <is>
          <t xml:space="preserve">Calculation</t>
        </is>
      </c>
      <c r="B870">
        <f>IF(ISERROR('Model inputs'!T32&gt;='Model inputs'!B160),'Model inputs'!T32&gt;='Model inputs'!B160,IF(OR('Model inputs'!T32="",'Model inputs'!B160=""),"",'Model inputs'!T32&gt;='Model inputs'!B160))</f>
      </c>
    </row>
    <row r="871">
      <c r="A871" t="inlineStr" s="16">
        <is>
          <t xml:space="preserve">Calculation</t>
        </is>
      </c>
      <c r="B871">
        <f>(IF(IFERROR(IF(ISERROR('Model inputs'!B124=0),'Model inputs'!B124=0,IF('Model inputs'!B124="","",'Model inputs'!B124=0))=TRUE,FALSE),TRUE,IF(IFERROR('Model inputs'!B869=TRUE,FALSE),TRUE,IF(OR(IF(ISERROR('Model inputs'!B124=0),'Model inputs'!B124=0,IF('Model inputs'!B124="","",'Model inputs'!B124=0))="",'Model inputs'!B869=""),"",OR(IF(ISERROR('Model inputs'!B124=0),'Model inputs'!B124=0,IF('Model inputs'!B124="","",'Model inputs'!B124=0)),'Model inputs'!B869)))))</f>
      </c>
    </row>
    <row r="872">
      <c r="A872" t="inlineStr" s="16">
        <is>
          <t xml:space="preserve">Calculation</t>
        </is>
      </c>
      <c r="B872">
        <f>IF(ISERROR('Model inputs'!U32&lt;='Model inputs'!B124),'Model inputs'!U32&lt;='Model inputs'!B124,IF(OR('Model inputs'!U32="",'Model inputs'!B124=""),"",'Model inputs'!U32&lt;='Model inputs'!B124))</f>
      </c>
    </row>
    <row r="873">
      <c r="A873" t="inlineStr" s="16">
        <is>
          <t xml:space="preserve">Calculation</t>
        </is>
      </c>
      <c r="B873">
        <f>IF(ISERROR('Model inputs'!U32&gt;='Model inputs'!B160),'Model inputs'!U32&gt;='Model inputs'!B160,IF(OR('Model inputs'!U32="",'Model inputs'!B160=""),"",'Model inputs'!U32&gt;='Model inputs'!B160))</f>
      </c>
    </row>
    <row r="874">
      <c r="A874" t="inlineStr" s="16">
        <is>
          <t xml:space="preserve">Calculation</t>
        </is>
      </c>
      <c r="B874">
        <f>(IF(IFERROR(IF(ISERROR('Model inputs'!B124=0),'Model inputs'!B124=0,IF('Model inputs'!B124="","",'Model inputs'!B124=0))=TRUE,FALSE),TRUE,IF(IFERROR('Model inputs'!B872=TRUE,FALSE),TRUE,IF(OR(IF(ISERROR('Model inputs'!B124=0),'Model inputs'!B124=0,IF('Model inputs'!B124="","",'Model inputs'!B124=0))="",'Model inputs'!B872=""),"",OR(IF(ISERROR('Model inputs'!B124=0),'Model inputs'!B124=0,IF('Model inputs'!B124="","",'Model inputs'!B124=0)),'Model inputs'!B872)))))</f>
      </c>
    </row>
    <row r="875">
      <c r="A875" t="inlineStr" s="16">
        <is>
          <t xml:space="preserve">Calculation</t>
        </is>
      </c>
      <c r="B875">
        <f>IF(ISERROR('Model inputs'!V32&lt;='Model inputs'!B124),'Model inputs'!V32&lt;='Model inputs'!B124,IF(OR('Model inputs'!V32="",'Model inputs'!B124=""),"",'Model inputs'!V32&lt;='Model inputs'!B124))</f>
      </c>
    </row>
    <row r="876">
      <c r="A876" t="inlineStr" s="16">
        <is>
          <t xml:space="preserve">Calculation</t>
        </is>
      </c>
      <c r="B876">
        <f>IF(ISERROR('Model inputs'!V32&gt;='Model inputs'!B160),'Model inputs'!V32&gt;='Model inputs'!B160,IF(OR('Model inputs'!V32="",'Model inputs'!B160=""),"",'Model inputs'!V32&gt;='Model inputs'!B160))</f>
      </c>
    </row>
    <row r="877">
      <c r="A877" t="inlineStr" s="16">
        <is>
          <t xml:space="preserve">Calculation</t>
        </is>
      </c>
      <c r="B877">
        <f>(IF(IFERROR(IF(ISERROR('Model inputs'!B124=0),'Model inputs'!B124=0,IF('Model inputs'!B124="","",'Model inputs'!B124=0))=TRUE,FALSE),TRUE,IF(IFERROR('Model inputs'!B875=TRUE,FALSE),TRUE,IF(OR(IF(ISERROR('Model inputs'!B124=0),'Model inputs'!B124=0,IF('Model inputs'!B124="","",'Model inputs'!B124=0))="",'Model inputs'!B875=""),"",OR(IF(ISERROR('Model inputs'!B124=0),'Model inputs'!B124=0,IF('Model inputs'!B124="","",'Model inputs'!B124=0)),'Model inputs'!B875)))))</f>
      </c>
    </row>
    <row r="878">
      <c r="A878" t="inlineStr" s="16">
        <is>
          <t xml:space="preserve">Calculation</t>
        </is>
      </c>
      <c r="B878">
        <f>IF(ISERROR('Model inputs'!C32&lt;='Model inputs'!B125),'Model inputs'!C32&lt;='Model inputs'!B125,IF(OR('Model inputs'!C32="",'Model inputs'!B125=""),"",'Model inputs'!C32&lt;='Model inputs'!B125))</f>
      </c>
    </row>
    <row r="879">
      <c r="A879" t="inlineStr" s="16">
        <is>
          <t xml:space="preserve">Calculation</t>
        </is>
      </c>
      <c r="B879">
        <f>IF(ISERROR('Model inputs'!C32&gt;='Model inputs'!B161),'Model inputs'!C32&gt;='Model inputs'!B161,IF(OR('Model inputs'!C32="",'Model inputs'!B161=""),"",'Model inputs'!C32&gt;='Model inputs'!B161))</f>
      </c>
    </row>
    <row r="880">
      <c r="A880" t="inlineStr" s="16">
        <is>
          <t xml:space="preserve">Calculation</t>
        </is>
      </c>
      <c r="B880">
        <f>(IF(IFERROR(IF(ISERROR('Model inputs'!B125=0),'Model inputs'!B125=0,IF('Model inputs'!B125="","",'Model inputs'!B125=0))=TRUE,FALSE),TRUE,IF(IFERROR('Model inputs'!B878=TRUE,FALSE),TRUE,IF(OR(IF(ISERROR('Model inputs'!B125=0),'Model inputs'!B125=0,IF('Model inputs'!B125="","",'Model inputs'!B125=0))="",'Model inputs'!B878=""),"",OR(IF(ISERROR('Model inputs'!B125=0),'Model inputs'!B125=0,IF('Model inputs'!B125="","",'Model inputs'!B125=0)),'Model inputs'!B878)))))</f>
      </c>
    </row>
    <row r="881">
      <c r="A881" t="inlineStr" s="16">
        <is>
          <t xml:space="preserve">Calculation</t>
        </is>
      </c>
      <c r="B881">
        <f>IF(ISERROR('Model inputs'!D32&lt;='Model inputs'!B125),'Model inputs'!D32&lt;='Model inputs'!B125,IF(OR('Model inputs'!D32="",'Model inputs'!B125=""),"",'Model inputs'!D32&lt;='Model inputs'!B125))</f>
      </c>
    </row>
    <row r="882">
      <c r="A882" t="inlineStr" s="16">
        <is>
          <t xml:space="preserve">Calculation</t>
        </is>
      </c>
      <c r="B882">
        <f>IF(ISERROR('Model inputs'!D32&gt;='Model inputs'!B161),'Model inputs'!D32&gt;='Model inputs'!B161,IF(OR('Model inputs'!D32="",'Model inputs'!B161=""),"",'Model inputs'!D32&gt;='Model inputs'!B161))</f>
      </c>
    </row>
    <row r="883">
      <c r="A883" t="inlineStr" s="16">
        <is>
          <t xml:space="preserve">Calculation</t>
        </is>
      </c>
      <c r="B883">
        <f>(IF(IFERROR(IF(ISERROR('Model inputs'!B125=0),'Model inputs'!B125=0,IF('Model inputs'!B125="","",'Model inputs'!B125=0))=TRUE,FALSE),TRUE,IF(IFERROR('Model inputs'!B881=TRUE,FALSE),TRUE,IF(OR(IF(ISERROR('Model inputs'!B125=0),'Model inputs'!B125=0,IF('Model inputs'!B125="","",'Model inputs'!B125=0))="",'Model inputs'!B881=""),"",OR(IF(ISERROR('Model inputs'!B125=0),'Model inputs'!B125=0,IF('Model inputs'!B125="","",'Model inputs'!B125=0)),'Model inputs'!B881)))))</f>
      </c>
    </row>
    <row r="884">
      <c r="A884" t="inlineStr" s="16">
        <is>
          <t xml:space="preserve">Calculation</t>
        </is>
      </c>
      <c r="B884">
        <f>IF(ISERROR('Model inputs'!E32&lt;='Model inputs'!B125),'Model inputs'!E32&lt;='Model inputs'!B125,IF(OR('Model inputs'!E32="",'Model inputs'!B125=""),"",'Model inputs'!E32&lt;='Model inputs'!B125))</f>
      </c>
    </row>
    <row r="885">
      <c r="A885" t="inlineStr" s="16">
        <is>
          <t xml:space="preserve">Calculation</t>
        </is>
      </c>
      <c r="B885">
        <f>IF(ISERROR('Model inputs'!E32&gt;='Model inputs'!B161),'Model inputs'!E32&gt;='Model inputs'!B161,IF(OR('Model inputs'!E32="",'Model inputs'!B161=""),"",'Model inputs'!E32&gt;='Model inputs'!B161))</f>
      </c>
    </row>
    <row r="886">
      <c r="A886" t="inlineStr" s="16">
        <is>
          <t xml:space="preserve">Calculation</t>
        </is>
      </c>
      <c r="B886">
        <f>(IF(IFERROR(IF(ISERROR('Model inputs'!B125=0),'Model inputs'!B125=0,IF('Model inputs'!B125="","",'Model inputs'!B125=0))=TRUE,FALSE),TRUE,IF(IFERROR('Model inputs'!B884=TRUE,FALSE),TRUE,IF(OR(IF(ISERROR('Model inputs'!B125=0),'Model inputs'!B125=0,IF('Model inputs'!B125="","",'Model inputs'!B125=0))="",'Model inputs'!B884=""),"",OR(IF(ISERROR('Model inputs'!B125=0),'Model inputs'!B125=0,IF('Model inputs'!B125="","",'Model inputs'!B125=0)),'Model inputs'!B884)))))</f>
      </c>
    </row>
    <row r="887">
      <c r="A887" t="inlineStr" s="16">
        <is>
          <t xml:space="preserve">Calculation</t>
        </is>
      </c>
      <c r="B887">
        <f>IF(ISERROR('Model inputs'!F32&lt;='Model inputs'!B125),'Model inputs'!F32&lt;='Model inputs'!B125,IF(OR('Model inputs'!F32="",'Model inputs'!B125=""),"",'Model inputs'!F32&lt;='Model inputs'!B125))</f>
      </c>
    </row>
    <row r="888">
      <c r="A888" t="inlineStr" s="16">
        <is>
          <t xml:space="preserve">Calculation</t>
        </is>
      </c>
      <c r="B888">
        <f>IF(ISERROR('Model inputs'!F32&gt;='Model inputs'!B161),'Model inputs'!F32&gt;='Model inputs'!B161,IF(OR('Model inputs'!F32="",'Model inputs'!B161=""),"",'Model inputs'!F32&gt;='Model inputs'!B161))</f>
      </c>
    </row>
    <row r="889">
      <c r="A889" t="inlineStr" s="16">
        <is>
          <t xml:space="preserve">Calculation</t>
        </is>
      </c>
      <c r="B889">
        <f>(IF(IFERROR(IF(ISERROR('Model inputs'!B125=0),'Model inputs'!B125=0,IF('Model inputs'!B125="","",'Model inputs'!B125=0))=TRUE,FALSE),TRUE,IF(IFERROR('Model inputs'!B887=TRUE,FALSE),TRUE,IF(OR(IF(ISERROR('Model inputs'!B125=0),'Model inputs'!B125=0,IF('Model inputs'!B125="","",'Model inputs'!B125=0))="",'Model inputs'!B887=""),"",OR(IF(ISERROR('Model inputs'!B125=0),'Model inputs'!B125=0,IF('Model inputs'!B125="","",'Model inputs'!B125=0)),'Model inputs'!B887)))))</f>
      </c>
    </row>
    <row r="890">
      <c r="A890" t="inlineStr" s="16">
        <is>
          <t xml:space="preserve">Calculation</t>
        </is>
      </c>
      <c r="B890">
        <f>IF(ISERROR('Model inputs'!G32&lt;='Model inputs'!B125),'Model inputs'!G32&lt;='Model inputs'!B125,IF(OR('Model inputs'!G32="",'Model inputs'!B125=""),"",'Model inputs'!G32&lt;='Model inputs'!B125))</f>
      </c>
    </row>
    <row r="891">
      <c r="A891" t="inlineStr" s="16">
        <is>
          <t xml:space="preserve">Calculation</t>
        </is>
      </c>
      <c r="B891">
        <f>IF(ISERROR('Model inputs'!G32&gt;='Model inputs'!B161),'Model inputs'!G32&gt;='Model inputs'!B161,IF(OR('Model inputs'!G32="",'Model inputs'!B161=""),"",'Model inputs'!G32&gt;='Model inputs'!B161))</f>
      </c>
    </row>
    <row r="892">
      <c r="A892" t="inlineStr" s="16">
        <is>
          <t xml:space="preserve">Calculation</t>
        </is>
      </c>
      <c r="B892">
        <f>(IF(IFERROR(IF(ISERROR('Model inputs'!B125=0),'Model inputs'!B125=0,IF('Model inputs'!B125="","",'Model inputs'!B125=0))=TRUE,FALSE),TRUE,IF(IFERROR('Model inputs'!B890=TRUE,FALSE),TRUE,IF(OR(IF(ISERROR('Model inputs'!B125=0),'Model inputs'!B125=0,IF('Model inputs'!B125="","",'Model inputs'!B125=0))="",'Model inputs'!B890=""),"",OR(IF(ISERROR('Model inputs'!B125=0),'Model inputs'!B125=0,IF('Model inputs'!B125="","",'Model inputs'!B125=0)),'Model inputs'!B890)))))</f>
      </c>
    </row>
    <row r="893">
      <c r="A893" t="inlineStr" s="16">
        <is>
          <t xml:space="preserve">Calculation</t>
        </is>
      </c>
      <c r="B893">
        <f>IF(ISERROR('Model inputs'!H32&lt;='Model inputs'!B125),'Model inputs'!H32&lt;='Model inputs'!B125,IF(OR('Model inputs'!H32="",'Model inputs'!B125=""),"",'Model inputs'!H32&lt;='Model inputs'!B125))</f>
      </c>
    </row>
    <row r="894">
      <c r="A894" t="inlineStr" s="16">
        <is>
          <t xml:space="preserve">Calculation</t>
        </is>
      </c>
      <c r="B894">
        <f>IF(ISERROR('Model inputs'!H32&gt;='Model inputs'!B161),'Model inputs'!H32&gt;='Model inputs'!B161,IF(OR('Model inputs'!H32="",'Model inputs'!B161=""),"",'Model inputs'!H32&gt;='Model inputs'!B161))</f>
      </c>
    </row>
    <row r="895">
      <c r="A895" t="inlineStr" s="16">
        <is>
          <t xml:space="preserve">Calculation</t>
        </is>
      </c>
      <c r="B895">
        <f>(IF(IFERROR(IF(ISERROR('Model inputs'!B125=0),'Model inputs'!B125=0,IF('Model inputs'!B125="","",'Model inputs'!B125=0))=TRUE,FALSE),TRUE,IF(IFERROR('Model inputs'!B893=TRUE,FALSE),TRUE,IF(OR(IF(ISERROR('Model inputs'!B125=0),'Model inputs'!B125=0,IF('Model inputs'!B125="","",'Model inputs'!B125=0))="",'Model inputs'!B893=""),"",OR(IF(ISERROR('Model inputs'!B125=0),'Model inputs'!B125=0,IF('Model inputs'!B125="","",'Model inputs'!B125=0)),'Model inputs'!B893)))))</f>
      </c>
    </row>
    <row r="896">
      <c r="A896" t="inlineStr" s="16">
        <is>
          <t xml:space="preserve">Calculation</t>
        </is>
      </c>
      <c r="B896">
        <f>IF(ISERROR('Model inputs'!I32&lt;='Model inputs'!B125),'Model inputs'!I32&lt;='Model inputs'!B125,IF(OR('Model inputs'!I32="",'Model inputs'!B125=""),"",'Model inputs'!I32&lt;='Model inputs'!B125))</f>
      </c>
    </row>
    <row r="897">
      <c r="A897" t="inlineStr" s="16">
        <is>
          <t xml:space="preserve">Calculation</t>
        </is>
      </c>
      <c r="B897">
        <f>IF(ISERROR('Model inputs'!I32&gt;='Model inputs'!B161),'Model inputs'!I32&gt;='Model inputs'!B161,IF(OR('Model inputs'!I32="",'Model inputs'!B161=""),"",'Model inputs'!I32&gt;='Model inputs'!B161))</f>
      </c>
    </row>
    <row r="898">
      <c r="A898" t="inlineStr" s="16">
        <is>
          <t xml:space="preserve">Calculation</t>
        </is>
      </c>
      <c r="B898">
        <f>(IF(IFERROR(IF(ISERROR('Model inputs'!B125=0),'Model inputs'!B125=0,IF('Model inputs'!B125="","",'Model inputs'!B125=0))=TRUE,FALSE),TRUE,IF(IFERROR('Model inputs'!B896=TRUE,FALSE),TRUE,IF(OR(IF(ISERROR('Model inputs'!B125=0),'Model inputs'!B125=0,IF('Model inputs'!B125="","",'Model inputs'!B125=0))="",'Model inputs'!B896=""),"",OR(IF(ISERROR('Model inputs'!B125=0),'Model inputs'!B125=0,IF('Model inputs'!B125="","",'Model inputs'!B125=0)),'Model inputs'!B896)))))</f>
      </c>
    </row>
    <row r="899">
      <c r="A899" t="inlineStr" s="16">
        <is>
          <t xml:space="preserve">Calculation</t>
        </is>
      </c>
      <c r="B899">
        <f>IF(ISERROR('Model inputs'!J32&lt;='Model inputs'!B125),'Model inputs'!J32&lt;='Model inputs'!B125,IF(OR('Model inputs'!J32="",'Model inputs'!B125=""),"",'Model inputs'!J32&lt;='Model inputs'!B125))</f>
      </c>
    </row>
    <row r="900">
      <c r="A900" t="inlineStr" s="16">
        <is>
          <t xml:space="preserve">Calculation</t>
        </is>
      </c>
      <c r="B900">
        <f>IF(ISERROR('Model inputs'!J32&gt;='Model inputs'!B161),'Model inputs'!J32&gt;='Model inputs'!B161,IF(OR('Model inputs'!J32="",'Model inputs'!B161=""),"",'Model inputs'!J32&gt;='Model inputs'!B161))</f>
      </c>
    </row>
    <row r="901">
      <c r="A901" t="inlineStr" s="16">
        <is>
          <t xml:space="preserve">Calculation</t>
        </is>
      </c>
      <c r="B901">
        <f>(IF(IFERROR(IF(ISERROR('Model inputs'!B125=0),'Model inputs'!B125=0,IF('Model inputs'!B125="","",'Model inputs'!B125=0))=TRUE,FALSE),TRUE,IF(IFERROR('Model inputs'!B899=TRUE,FALSE),TRUE,IF(OR(IF(ISERROR('Model inputs'!B125=0),'Model inputs'!B125=0,IF('Model inputs'!B125="","",'Model inputs'!B125=0))="",'Model inputs'!B899=""),"",OR(IF(ISERROR('Model inputs'!B125=0),'Model inputs'!B125=0,IF('Model inputs'!B125="","",'Model inputs'!B125=0)),'Model inputs'!B899)))))</f>
      </c>
    </row>
    <row r="902">
      <c r="A902" t="inlineStr" s="16">
        <is>
          <t xml:space="preserve">Calculation</t>
        </is>
      </c>
      <c r="B902">
        <f>IF(ISERROR('Model inputs'!K32&lt;='Model inputs'!B125),'Model inputs'!K32&lt;='Model inputs'!B125,IF(OR('Model inputs'!K32="",'Model inputs'!B125=""),"",'Model inputs'!K32&lt;='Model inputs'!B125))</f>
      </c>
    </row>
    <row r="903">
      <c r="A903" t="inlineStr" s="16">
        <is>
          <t xml:space="preserve">Calculation</t>
        </is>
      </c>
      <c r="B903">
        <f>IF(ISERROR('Model inputs'!K32&gt;='Model inputs'!B161),'Model inputs'!K32&gt;='Model inputs'!B161,IF(OR('Model inputs'!K32="",'Model inputs'!B161=""),"",'Model inputs'!K32&gt;='Model inputs'!B161))</f>
      </c>
    </row>
    <row r="904">
      <c r="A904" t="inlineStr" s="16">
        <is>
          <t xml:space="preserve">Calculation</t>
        </is>
      </c>
      <c r="B904">
        <f>(IF(IFERROR(IF(ISERROR('Model inputs'!B125=0),'Model inputs'!B125=0,IF('Model inputs'!B125="","",'Model inputs'!B125=0))=TRUE,FALSE),TRUE,IF(IFERROR('Model inputs'!B902=TRUE,FALSE),TRUE,IF(OR(IF(ISERROR('Model inputs'!B125=0),'Model inputs'!B125=0,IF('Model inputs'!B125="","",'Model inputs'!B125=0))="",'Model inputs'!B902=""),"",OR(IF(ISERROR('Model inputs'!B125=0),'Model inputs'!B125=0,IF('Model inputs'!B125="","",'Model inputs'!B125=0)),'Model inputs'!B902)))))</f>
      </c>
    </row>
    <row r="905">
      <c r="A905" t="inlineStr" s="16">
        <is>
          <t xml:space="preserve">Calculation</t>
        </is>
      </c>
      <c r="B905">
        <f>IF(ISERROR('Model inputs'!L32&lt;='Model inputs'!B125),'Model inputs'!L32&lt;='Model inputs'!B125,IF(OR('Model inputs'!L32="",'Model inputs'!B125=""),"",'Model inputs'!L32&lt;='Model inputs'!B125))</f>
      </c>
    </row>
    <row r="906">
      <c r="A906" t="inlineStr" s="16">
        <is>
          <t xml:space="preserve">Calculation</t>
        </is>
      </c>
      <c r="B906">
        <f>IF(ISERROR('Model inputs'!L32&gt;='Model inputs'!B161),'Model inputs'!L32&gt;='Model inputs'!B161,IF(OR('Model inputs'!L32="",'Model inputs'!B161=""),"",'Model inputs'!L32&gt;='Model inputs'!B161))</f>
      </c>
    </row>
    <row r="907">
      <c r="A907" t="inlineStr" s="16">
        <is>
          <t xml:space="preserve">Calculation</t>
        </is>
      </c>
      <c r="B907">
        <f>(IF(IFERROR(IF(ISERROR('Model inputs'!B125=0),'Model inputs'!B125=0,IF('Model inputs'!B125="","",'Model inputs'!B125=0))=TRUE,FALSE),TRUE,IF(IFERROR('Model inputs'!B905=TRUE,FALSE),TRUE,IF(OR(IF(ISERROR('Model inputs'!B125=0),'Model inputs'!B125=0,IF('Model inputs'!B125="","",'Model inputs'!B125=0))="",'Model inputs'!B905=""),"",OR(IF(ISERROR('Model inputs'!B125=0),'Model inputs'!B125=0,IF('Model inputs'!B125="","",'Model inputs'!B125=0)),'Model inputs'!B905)))))</f>
      </c>
    </row>
    <row r="908">
      <c r="A908" t="inlineStr" s="16">
        <is>
          <t xml:space="preserve">Calculation</t>
        </is>
      </c>
      <c r="B908">
        <f>IF(ISERROR('Model inputs'!M32&lt;='Model inputs'!B125),'Model inputs'!M32&lt;='Model inputs'!B125,IF(OR('Model inputs'!M32="",'Model inputs'!B125=""),"",'Model inputs'!M32&lt;='Model inputs'!B125))</f>
      </c>
    </row>
    <row r="909">
      <c r="A909" t="inlineStr" s="16">
        <is>
          <t xml:space="preserve">Calculation</t>
        </is>
      </c>
      <c r="B909">
        <f>IF(ISERROR('Model inputs'!M32&gt;='Model inputs'!B161),'Model inputs'!M32&gt;='Model inputs'!B161,IF(OR('Model inputs'!M32="",'Model inputs'!B161=""),"",'Model inputs'!M32&gt;='Model inputs'!B161))</f>
      </c>
    </row>
    <row r="910">
      <c r="A910" t="inlineStr" s="16">
        <is>
          <t xml:space="preserve">Calculation</t>
        </is>
      </c>
      <c r="B910">
        <f>(IF(IFERROR(IF(ISERROR('Model inputs'!B125=0),'Model inputs'!B125=0,IF('Model inputs'!B125="","",'Model inputs'!B125=0))=TRUE,FALSE),TRUE,IF(IFERROR('Model inputs'!B908=TRUE,FALSE),TRUE,IF(OR(IF(ISERROR('Model inputs'!B125=0),'Model inputs'!B125=0,IF('Model inputs'!B125="","",'Model inputs'!B125=0))="",'Model inputs'!B908=""),"",OR(IF(ISERROR('Model inputs'!B125=0),'Model inputs'!B125=0,IF('Model inputs'!B125="","",'Model inputs'!B125=0)),'Model inputs'!B908)))))</f>
      </c>
    </row>
    <row r="911">
      <c r="A911" t="inlineStr" s="16">
        <is>
          <t xml:space="preserve">Calculation</t>
        </is>
      </c>
      <c r="B911">
        <f>IF(ISERROR('Model inputs'!N32&lt;='Model inputs'!B125),'Model inputs'!N32&lt;='Model inputs'!B125,IF(OR('Model inputs'!N32="",'Model inputs'!B125=""),"",'Model inputs'!N32&lt;='Model inputs'!B125))</f>
      </c>
    </row>
    <row r="912">
      <c r="A912" t="inlineStr" s="16">
        <is>
          <t xml:space="preserve">Calculation</t>
        </is>
      </c>
      <c r="B912">
        <f>IF(ISERROR('Model inputs'!N32&gt;='Model inputs'!B161),'Model inputs'!N32&gt;='Model inputs'!B161,IF(OR('Model inputs'!N32="",'Model inputs'!B161=""),"",'Model inputs'!N32&gt;='Model inputs'!B161))</f>
      </c>
    </row>
    <row r="913">
      <c r="A913" t="inlineStr" s="16">
        <is>
          <t xml:space="preserve">Calculation</t>
        </is>
      </c>
      <c r="B913">
        <f>(IF(IFERROR(IF(ISERROR('Model inputs'!B125=0),'Model inputs'!B125=0,IF('Model inputs'!B125="","",'Model inputs'!B125=0))=TRUE,FALSE),TRUE,IF(IFERROR('Model inputs'!B911=TRUE,FALSE),TRUE,IF(OR(IF(ISERROR('Model inputs'!B125=0),'Model inputs'!B125=0,IF('Model inputs'!B125="","",'Model inputs'!B125=0))="",'Model inputs'!B911=""),"",OR(IF(ISERROR('Model inputs'!B125=0),'Model inputs'!B125=0,IF('Model inputs'!B125="","",'Model inputs'!B125=0)),'Model inputs'!B911)))))</f>
      </c>
    </row>
    <row r="914">
      <c r="A914" t="inlineStr" s="16">
        <is>
          <t xml:space="preserve">Calculation</t>
        </is>
      </c>
      <c r="B914">
        <f>IF(ISERROR('Model inputs'!O32&lt;='Model inputs'!B125),'Model inputs'!O32&lt;='Model inputs'!B125,IF(OR('Model inputs'!O32="",'Model inputs'!B125=""),"",'Model inputs'!O32&lt;='Model inputs'!B125))</f>
      </c>
    </row>
    <row r="915">
      <c r="A915" t="inlineStr" s="16">
        <is>
          <t xml:space="preserve">Calculation</t>
        </is>
      </c>
      <c r="B915">
        <f>IF(ISERROR('Model inputs'!O32&gt;='Model inputs'!B161),'Model inputs'!O32&gt;='Model inputs'!B161,IF(OR('Model inputs'!O32="",'Model inputs'!B161=""),"",'Model inputs'!O32&gt;='Model inputs'!B161))</f>
      </c>
    </row>
    <row r="916">
      <c r="A916" t="inlineStr" s="16">
        <is>
          <t xml:space="preserve">Calculation</t>
        </is>
      </c>
      <c r="B916">
        <f>(IF(IFERROR(IF(ISERROR('Model inputs'!B125=0),'Model inputs'!B125=0,IF('Model inputs'!B125="","",'Model inputs'!B125=0))=TRUE,FALSE),TRUE,IF(IFERROR('Model inputs'!B914=TRUE,FALSE),TRUE,IF(OR(IF(ISERROR('Model inputs'!B125=0),'Model inputs'!B125=0,IF('Model inputs'!B125="","",'Model inputs'!B125=0))="",'Model inputs'!B914=""),"",OR(IF(ISERROR('Model inputs'!B125=0),'Model inputs'!B125=0,IF('Model inputs'!B125="","",'Model inputs'!B125=0)),'Model inputs'!B914)))))</f>
      </c>
    </row>
    <row r="917">
      <c r="A917" t="inlineStr" s="16">
        <is>
          <t xml:space="preserve">Calculation</t>
        </is>
      </c>
      <c r="B917">
        <f>IF(ISERROR('Model inputs'!P32&lt;='Model inputs'!B125),'Model inputs'!P32&lt;='Model inputs'!B125,IF(OR('Model inputs'!P32="",'Model inputs'!B125=""),"",'Model inputs'!P32&lt;='Model inputs'!B125))</f>
      </c>
    </row>
    <row r="918">
      <c r="A918" t="inlineStr" s="16">
        <is>
          <t xml:space="preserve">Calculation</t>
        </is>
      </c>
      <c r="B918">
        <f>IF(ISERROR('Model inputs'!P32&gt;='Model inputs'!B161),'Model inputs'!P32&gt;='Model inputs'!B161,IF(OR('Model inputs'!P32="",'Model inputs'!B161=""),"",'Model inputs'!P32&gt;='Model inputs'!B161))</f>
      </c>
    </row>
    <row r="919">
      <c r="A919" t="inlineStr" s="16">
        <is>
          <t xml:space="preserve">Calculation</t>
        </is>
      </c>
      <c r="B919">
        <f>(IF(IFERROR(IF(ISERROR('Model inputs'!B125=0),'Model inputs'!B125=0,IF('Model inputs'!B125="","",'Model inputs'!B125=0))=TRUE,FALSE),TRUE,IF(IFERROR('Model inputs'!B917=TRUE,FALSE),TRUE,IF(OR(IF(ISERROR('Model inputs'!B125=0),'Model inputs'!B125=0,IF('Model inputs'!B125="","",'Model inputs'!B125=0))="",'Model inputs'!B917=""),"",OR(IF(ISERROR('Model inputs'!B125=0),'Model inputs'!B125=0,IF('Model inputs'!B125="","",'Model inputs'!B125=0)),'Model inputs'!B917)))))</f>
      </c>
    </row>
    <row r="920">
      <c r="A920" t="inlineStr" s="16">
        <is>
          <t xml:space="preserve">Calculation</t>
        </is>
      </c>
      <c r="B920">
        <f>IF(ISERROR('Model inputs'!Q32&lt;='Model inputs'!B125),'Model inputs'!Q32&lt;='Model inputs'!B125,IF(OR('Model inputs'!Q32="",'Model inputs'!B125=""),"",'Model inputs'!Q32&lt;='Model inputs'!B125))</f>
      </c>
    </row>
    <row r="921">
      <c r="A921" t="inlineStr" s="16">
        <is>
          <t xml:space="preserve">Calculation</t>
        </is>
      </c>
      <c r="B921">
        <f>IF(ISERROR('Model inputs'!Q32&gt;='Model inputs'!B161),'Model inputs'!Q32&gt;='Model inputs'!B161,IF(OR('Model inputs'!Q32="",'Model inputs'!B161=""),"",'Model inputs'!Q32&gt;='Model inputs'!B161))</f>
      </c>
    </row>
    <row r="922">
      <c r="A922" t="inlineStr" s="16">
        <is>
          <t xml:space="preserve">Calculation</t>
        </is>
      </c>
      <c r="B922">
        <f>(IF(IFERROR(IF(ISERROR('Model inputs'!B125=0),'Model inputs'!B125=0,IF('Model inputs'!B125="","",'Model inputs'!B125=0))=TRUE,FALSE),TRUE,IF(IFERROR('Model inputs'!B920=TRUE,FALSE),TRUE,IF(OR(IF(ISERROR('Model inputs'!B125=0),'Model inputs'!B125=0,IF('Model inputs'!B125="","",'Model inputs'!B125=0))="",'Model inputs'!B920=""),"",OR(IF(ISERROR('Model inputs'!B125=0),'Model inputs'!B125=0,IF('Model inputs'!B125="","",'Model inputs'!B125=0)),'Model inputs'!B920)))))</f>
      </c>
    </row>
    <row r="923">
      <c r="A923" t="inlineStr" s="16">
        <is>
          <t xml:space="preserve">Calculation</t>
        </is>
      </c>
      <c r="B923">
        <f>IF(ISERROR('Model inputs'!R32&lt;='Model inputs'!B125),'Model inputs'!R32&lt;='Model inputs'!B125,IF(OR('Model inputs'!R32="",'Model inputs'!B125=""),"",'Model inputs'!R32&lt;='Model inputs'!B125))</f>
      </c>
    </row>
    <row r="924">
      <c r="A924" t="inlineStr" s="16">
        <is>
          <t xml:space="preserve">Calculation</t>
        </is>
      </c>
      <c r="B924">
        <f>IF(ISERROR('Model inputs'!R32&gt;='Model inputs'!B161),'Model inputs'!R32&gt;='Model inputs'!B161,IF(OR('Model inputs'!R32="",'Model inputs'!B161=""),"",'Model inputs'!R32&gt;='Model inputs'!B161))</f>
      </c>
    </row>
    <row r="925">
      <c r="A925" t="inlineStr" s="16">
        <is>
          <t xml:space="preserve">Calculation</t>
        </is>
      </c>
      <c r="B925">
        <f>(IF(IFERROR(IF(ISERROR('Model inputs'!B125=0),'Model inputs'!B125=0,IF('Model inputs'!B125="","",'Model inputs'!B125=0))=TRUE,FALSE),TRUE,IF(IFERROR('Model inputs'!B923=TRUE,FALSE),TRUE,IF(OR(IF(ISERROR('Model inputs'!B125=0),'Model inputs'!B125=0,IF('Model inputs'!B125="","",'Model inputs'!B125=0))="",'Model inputs'!B923=""),"",OR(IF(ISERROR('Model inputs'!B125=0),'Model inputs'!B125=0,IF('Model inputs'!B125="","",'Model inputs'!B125=0)),'Model inputs'!B923)))))</f>
      </c>
    </row>
    <row r="926">
      <c r="A926" t="inlineStr" s="16">
        <is>
          <t xml:space="preserve">Calculation</t>
        </is>
      </c>
      <c r="B926">
        <f>IF(ISERROR('Model inputs'!S32&lt;='Model inputs'!B125),'Model inputs'!S32&lt;='Model inputs'!B125,IF(OR('Model inputs'!S32="",'Model inputs'!B125=""),"",'Model inputs'!S32&lt;='Model inputs'!B125))</f>
      </c>
    </row>
    <row r="927">
      <c r="A927" t="inlineStr" s="16">
        <is>
          <t xml:space="preserve">Calculation</t>
        </is>
      </c>
      <c r="B927">
        <f>IF(ISERROR('Model inputs'!S32&gt;='Model inputs'!B161),'Model inputs'!S32&gt;='Model inputs'!B161,IF(OR('Model inputs'!S32="",'Model inputs'!B161=""),"",'Model inputs'!S32&gt;='Model inputs'!B161))</f>
      </c>
    </row>
    <row r="928">
      <c r="A928" t="inlineStr" s="16">
        <is>
          <t xml:space="preserve">Calculation</t>
        </is>
      </c>
      <c r="B928">
        <f>(IF(IFERROR(IF(ISERROR('Model inputs'!B125=0),'Model inputs'!B125=0,IF('Model inputs'!B125="","",'Model inputs'!B125=0))=TRUE,FALSE),TRUE,IF(IFERROR('Model inputs'!B926=TRUE,FALSE),TRUE,IF(OR(IF(ISERROR('Model inputs'!B125=0),'Model inputs'!B125=0,IF('Model inputs'!B125="","",'Model inputs'!B125=0))="",'Model inputs'!B926=""),"",OR(IF(ISERROR('Model inputs'!B125=0),'Model inputs'!B125=0,IF('Model inputs'!B125="","",'Model inputs'!B125=0)),'Model inputs'!B926)))))</f>
      </c>
    </row>
    <row r="929">
      <c r="A929" t="inlineStr" s="16">
        <is>
          <t xml:space="preserve">Calculation</t>
        </is>
      </c>
      <c r="B929">
        <f>IF(ISERROR('Model inputs'!T32&lt;='Model inputs'!B125),'Model inputs'!T32&lt;='Model inputs'!B125,IF(OR('Model inputs'!T32="",'Model inputs'!B125=""),"",'Model inputs'!T32&lt;='Model inputs'!B125))</f>
      </c>
    </row>
    <row r="930">
      <c r="A930" t="inlineStr" s="16">
        <is>
          <t xml:space="preserve">Calculation</t>
        </is>
      </c>
      <c r="B930">
        <f>IF(ISERROR('Model inputs'!T32&gt;='Model inputs'!B161),'Model inputs'!T32&gt;='Model inputs'!B161,IF(OR('Model inputs'!T32="",'Model inputs'!B161=""),"",'Model inputs'!T32&gt;='Model inputs'!B161))</f>
      </c>
    </row>
    <row r="931">
      <c r="A931" t="inlineStr" s="16">
        <is>
          <t xml:space="preserve">Calculation</t>
        </is>
      </c>
      <c r="B931">
        <f>(IF(IFERROR(IF(ISERROR('Model inputs'!B125=0),'Model inputs'!B125=0,IF('Model inputs'!B125="","",'Model inputs'!B125=0))=TRUE,FALSE),TRUE,IF(IFERROR('Model inputs'!B929=TRUE,FALSE),TRUE,IF(OR(IF(ISERROR('Model inputs'!B125=0),'Model inputs'!B125=0,IF('Model inputs'!B125="","",'Model inputs'!B125=0))="",'Model inputs'!B929=""),"",OR(IF(ISERROR('Model inputs'!B125=0),'Model inputs'!B125=0,IF('Model inputs'!B125="","",'Model inputs'!B125=0)),'Model inputs'!B929)))))</f>
      </c>
    </row>
    <row r="932">
      <c r="A932" t="inlineStr" s="16">
        <is>
          <t xml:space="preserve">Calculation</t>
        </is>
      </c>
      <c r="B932">
        <f>IF(ISERROR('Model inputs'!U32&lt;='Model inputs'!B125),'Model inputs'!U32&lt;='Model inputs'!B125,IF(OR('Model inputs'!U32="",'Model inputs'!B125=""),"",'Model inputs'!U32&lt;='Model inputs'!B125))</f>
      </c>
    </row>
    <row r="933">
      <c r="A933" t="inlineStr" s="16">
        <is>
          <t xml:space="preserve">Calculation</t>
        </is>
      </c>
      <c r="B933">
        <f>IF(ISERROR('Model inputs'!U32&gt;='Model inputs'!B161),'Model inputs'!U32&gt;='Model inputs'!B161,IF(OR('Model inputs'!U32="",'Model inputs'!B161=""),"",'Model inputs'!U32&gt;='Model inputs'!B161))</f>
      </c>
    </row>
    <row r="934">
      <c r="A934" t="inlineStr" s="16">
        <is>
          <t xml:space="preserve">Calculation</t>
        </is>
      </c>
      <c r="B934">
        <f>(IF(IFERROR(IF(ISERROR('Model inputs'!B125=0),'Model inputs'!B125=0,IF('Model inputs'!B125="","",'Model inputs'!B125=0))=TRUE,FALSE),TRUE,IF(IFERROR('Model inputs'!B932=TRUE,FALSE),TRUE,IF(OR(IF(ISERROR('Model inputs'!B125=0),'Model inputs'!B125=0,IF('Model inputs'!B125="","",'Model inputs'!B125=0))="",'Model inputs'!B932=""),"",OR(IF(ISERROR('Model inputs'!B125=0),'Model inputs'!B125=0,IF('Model inputs'!B125="","",'Model inputs'!B125=0)),'Model inputs'!B932)))))</f>
      </c>
    </row>
    <row r="935">
      <c r="A935" t="inlineStr" s="16">
        <is>
          <t xml:space="preserve">Calculation</t>
        </is>
      </c>
      <c r="B935">
        <f>IF(ISERROR('Model inputs'!V32&lt;='Model inputs'!B125),'Model inputs'!V32&lt;='Model inputs'!B125,IF(OR('Model inputs'!V32="",'Model inputs'!B125=""),"",'Model inputs'!V32&lt;='Model inputs'!B125))</f>
      </c>
    </row>
    <row r="936">
      <c r="A936" t="inlineStr" s="16">
        <is>
          <t xml:space="preserve">Calculation</t>
        </is>
      </c>
      <c r="B936">
        <f>IF(ISERROR('Model inputs'!V32&gt;='Model inputs'!B161),'Model inputs'!V32&gt;='Model inputs'!B161,IF(OR('Model inputs'!V32="",'Model inputs'!B161=""),"",'Model inputs'!V32&gt;='Model inputs'!B161))</f>
      </c>
    </row>
    <row r="937">
      <c r="A937" t="inlineStr" s="16">
        <is>
          <t xml:space="preserve">Calculation</t>
        </is>
      </c>
      <c r="B937">
        <f>(IF(IFERROR(IF(ISERROR('Model inputs'!B125=0),'Model inputs'!B125=0,IF('Model inputs'!B125="","",'Model inputs'!B125=0))=TRUE,FALSE),TRUE,IF(IFERROR('Model inputs'!B935=TRUE,FALSE),TRUE,IF(OR(IF(ISERROR('Model inputs'!B125=0),'Model inputs'!B125=0,IF('Model inputs'!B125="","",'Model inputs'!B125=0))="",'Model inputs'!B935=""),"",OR(IF(ISERROR('Model inputs'!B125=0),'Model inputs'!B125=0,IF('Model inputs'!B125="","",'Model inputs'!B125=0)),'Model inputs'!B935)))))</f>
      </c>
    </row>
    <row r="938">
      <c r="A938" t="inlineStr" s="16">
        <is>
          <t xml:space="preserve">Calculation</t>
        </is>
      </c>
      <c r="B938">
        <f>IF(ISERROR('Model inputs'!C32&lt;='Model inputs'!B126),'Model inputs'!C32&lt;='Model inputs'!B126,IF(OR('Model inputs'!C32="",'Model inputs'!B126=""),"",'Model inputs'!C32&lt;='Model inputs'!B126))</f>
      </c>
    </row>
    <row r="939">
      <c r="A939" t="inlineStr" s="16">
        <is>
          <t xml:space="preserve">Calculation</t>
        </is>
      </c>
      <c r="B939">
        <f>IF(ISERROR('Model inputs'!C32&gt;='Model inputs'!B162),'Model inputs'!C32&gt;='Model inputs'!B162,IF(OR('Model inputs'!C32="",'Model inputs'!B162=""),"",'Model inputs'!C32&gt;='Model inputs'!B162))</f>
      </c>
    </row>
    <row r="940">
      <c r="A940" t="inlineStr" s="16">
        <is>
          <t xml:space="preserve">Calculation</t>
        </is>
      </c>
      <c r="B940">
        <f>(IF(IFERROR(IF(ISERROR('Model inputs'!B126=0),'Model inputs'!B126=0,IF('Model inputs'!B126="","",'Model inputs'!B126=0))=TRUE,FALSE),TRUE,IF(IFERROR('Model inputs'!B938=TRUE,FALSE),TRUE,IF(OR(IF(ISERROR('Model inputs'!B126=0),'Model inputs'!B126=0,IF('Model inputs'!B126="","",'Model inputs'!B126=0))="",'Model inputs'!B938=""),"",OR(IF(ISERROR('Model inputs'!B126=0),'Model inputs'!B126=0,IF('Model inputs'!B126="","",'Model inputs'!B126=0)),'Model inputs'!B938)))))</f>
      </c>
    </row>
    <row r="941">
      <c r="A941" t="inlineStr" s="16">
        <is>
          <t xml:space="preserve">Calculation</t>
        </is>
      </c>
      <c r="B941">
        <f>IF(ISERROR('Model inputs'!D32&lt;='Model inputs'!B126),'Model inputs'!D32&lt;='Model inputs'!B126,IF(OR('Model inputs'!D32="",'Model inputs'!B126=""),"",'Model inputs'!D32&lt;='Model inputs'!B126))</f>
      </c>
    </row>
    <row r="942">
      <c r="A942" t="inlineStr" s="16">
        <is>
          <t xml:space="preserve">Calculation</t>
        </is>
      </c>
      <c r="B942">
        <f>IF(ISERROR('Model inputs'!D32&gt;='Model inputs'!B162),'Model inputs'!D32&gt;='Model inputs'!B162,IF(OR('Model inputs'!D32="",'Model inputs'!B162=""),"",'Model inputs'!D32&gt;='Model inputs'!B162))</f>
      </c>
    </row>
    <row r="943">
      <c r="A943" t="inlineStr" s="16">
        <is>
          <t xml:space="preserve">Calculation</t>
        </is>
      </c>
      <c r="B943">
        <f>(IF(IFERROR(IF(ISERROR('Model inputs'!B126=0),'Model inputs'!B126=0,IF('Model inputs'!B126="","",'Model inputs'!B126=0))=TRUE,FALSE),TRUE,IF(IFERROR('Model inputs'!B941=TRUE,FALSE),TRUE,IF(OR(IF(ISERROR('Model inputs'!B126=0),'Model inputs'!B126=0,IF('Model inputs'!B126="","",'Model inputs'!B126=0))="",'Model inputs'!B941=""),"",OR(IF(ISERROR('Model inputs'!B126=0),'Model inputs'!B126=0,IF('Model inputs'!B126="","",'Model inputs'!B126=0)),'Model inputs'!B941)))))</f>
      </c>
    </row>
    <row r="944">
      <c r="A944" t="inlineStr" s="16">
        <is>
          <t xml:space="preserve">Calculation</t>
        </is>
      </c>
      <c r="B944">
        <f>IF(ISERROR('Model inputs'!E32&lt;='Model inputs'!B126),'Model inputs'!E32&lt;='Model inputs'!B126,IF(OR('Model inputs'!E32="",'Model inputs'!B126=""),"",'Model inputs'!E32&lt;='Model inputs'!B126))</f>
      </c>
    </row>
    <row r="945">
      <c r="A945" t="inlineStr" s="16">
        <is>
          <t xml:space="preserve">Calculation</t>
        </is>
      </c>
      <c r="B945">
        <f>IF(ISERROR('Model inputs'!E32&gt;='Model inputs'!B162),'Model inputs'!E32&gt;='Model inputs'!B162,IF(OR('Model inputs'!E32="",'Model inputs'!B162=""),"",'Model inputs'!E32&gt;='Model inputs'!B162))</f>
      </c>
    </row>
    <row r="946">
      <c r="A946" t="inlineStr" s="16">
        <is>
          <t xml:space="preserve">Calculation</t>
        </is>
      </c>
      <c r="B946">
        <f>(IF(IFERROR(IF(ISERROR('Model inputs'!B126=0),'Model inputs'!B126=0,IF('Model inputs'!B126="","",'Model inputs'!B126=0))=TRUE,FALSE),TRUE,IF(IFERROR('Model inputs'!B944=TRUE,FALSE),TRUE,IF(OR(IF(ISERROR('Model inputs'!B126=0),'Model inputs'!B126=0,IF('Model inputs'!B126="","",'Model inputs'!B126=0))="",'Model inputs'!B944=""),"",OR(IF(ISERROR('Model inputs'!B126=0),'Model inputs'!B126=0,IF('Model inputs'!B126="","",'Model inputs'!B126=0)),'Model inputs'!B944)))))</f>
      </c>
    </row>
    <row r="947">
      <c r="A947" t="inlineStr" s="16">
        <is>
          <t xml:space="preserve">Calculation</t>
        </is>
      </c>
      <c r="B947">
        <f>IF(ISERROR('Model inputs'!F32&lt;='Model inputs'!B126),'Model inputs'!F32&lt;='Model inputs'!B126,IF(OR('Model inputs'!F32="",'Model inputs'!B126=""),"",'Model inputs'!F32&lt;='Model inputs'!B126))</f>
      </c>
    </row>
    <row r="948">
      <c r="A948" t="inlineStr" s="16">
        <is>
          <t xml:space="preserve">Calculation</t>
        </is>
      </c>
      <c r="B948">
        <f>IF(ISERROR('Model inputs'!F32&gt;='Model inputs'!B162),'Model inputs'!F32&gt;='Model inputs'!B162,IF(OR('Model inputs'!F32="",'Model inputs'!B162=""),"",'Model inputs'!F32&gt;='Model inputs'!B162))</f>
      </c>
    </row>
    <row r="949">
      <c r="A949" t="inlineStr" s="16">
        <is>
          <t xml:space="preserve">Calculation</t>
        </is>
      </c>
      <c r="B949">
        <f>(IF(IFERROR(IF(ISERROR('Model inputs'!B126=0),'Model inputs'!B126=0,IF('Model inputs'!B126="","",'Model inputs'!B126=0))=TRUE,FALSE),TRUE,IF(IFERROR('Model inputs'!B947=TRUE,FALSE),TRUE,IF(OR(IF(ISERROR('Model inputs'!B126=0),'Model inputs'!B126=0,IF('Model inputs'!B126="","",'Model inputs'!B126=0))="",'Model inputs'!B947=""),"",OR(IF(ISERROR('Model inputs'!B126=0),'Model inputs'!B126=0,IF('Model inputs'!B126="","",'Model inputs'!B126=0)),'Model inputs'!B947)))))</f>
      </c>
    </row>
    <row r="950">
      <c r="A950" t="inlineStr" s="16">
        <is>
          <t xml:space="preserve">Calculation</t>
        </is>
      </c>
      <c r="B950">
        <f>IF(ISERROR('Model inputs'!G32&lt;='Model inputs'!B126),'Model inputs'!G32&lt;='Model inputs'!B126,IF(OR('Model inputs'!G32="",'Model inputs'!B126=""),"",'Model inputs'!G32&lt;='Model inputs'!B126))</f>
      </c>
    </row>
    <row r="951">
      <c r="A951" t="inlineStr" s="16">
        <is>
          <t xml:space="preserve">Calculation</t>
        </is>
      </c>
      <c r="B951">
        <f>IF(ISERROR('Model inputs'!G32&gt;='Model inputs'!B162),'Model inputs'!G32&gt;='Model inputs'!B162,IF(OR('Model inputs'!G32="",'Model inputs'!B162=""),"",'Model inputs'!G32&gt;='Model inputs'!B162))</f>
      </c>
    </row>
    <row r="952">
      <c r="A952" t="inlineStr" s="16">
        <is>
          <t xml:space="preserve">Calculation</t>
        </is>
      </c>
      <c r="B952">
        <f>(IF(IFERROR(IF(ISERROR('Model inputs'!B126=0),'Model inputs'!B126=0,IF('Model inputs'!B126="","",'Model inputs'!B126=0))=TRUE,FALSE),TRUE,IF(IFERROR('Model inputs'!B950=TRUE,FALSE),TRUE,IF(OR(IF(ISERROR('Model inputs'!B126=0),'Model inputs'!B126=0,IF('Model inputs'!B126="","",'Model inputs'!B126=0))="",'Model inputs'!B950=""),"",OR(IF(ISERROR('Model inputs'!B126=0),'Model inputs'!B126=0,IF('Model inputs'!B126="","",'Model inputs'!B126=0)),'Model inputs'!B950)))))</f>
      </c>
    </row>
    <row r="953">
      <c r="A953" t="inlineStr" s="16">
        <is>
          <t xml:space="preserve">Calculation</t>
        </is>
      </c>
      <c r="B953">
        <f>IF(ISERROR('Model inputs'!H32&lt;='Model inputs'!B126),'Model inputs'!H32&lt;='Model inputs'!B126,IF(OR('Model inputs'!H32="",'Model inputs'!B126=""),"",'Model inputs'!H32&lt;='Model inputs'!B126))</f>
      </c>
    </row>
    <row r="954">
      <c r="A954" t="inlineStr" s="16">
        <is>
          <t xml:space="preserve">Calculation</t>
        </is>
      </c>
      <c r="B954">
        <f>IF(ISERROR('Model inputs'!H32&gt;='Model inputs'!B162),'Model inputs'!H32&gt;='Model inputs'!B162,IF(OR('Model inputs'!H32="",'Model inputs'!B162=""),"",'Model inputs'!H32&gt;='Model inputs'!B162))</f>
      </c>
    </row>
    <row r="955">
      <c r="A955" t="inlineStr" s="16">
        <is>
          <t xml:space="preserve">Calculation</t>
        </is>
      </c>
      <c r="B955">
        <f>(IF(IFERROR(IF(ISERROR('Model inputs'!B126=0),'Model inputs'!B126=0,IF('Model inputs'!B126="","",'Model inputs'!B126=0))=TRUE,FALSE),TRUE,IF(IFERROR('Model inputs'!B953=TRUE,FALSE),TRUE,IF(OR(IF(ISERROR('Model inputs'!B126=0),'Model inputs'!B126=0,IF('Model inputs'!B126="","",'Model inputs'!B126=0))="",'Model inputs'!B953=""),"",OR(IF(ISERROR('Model inputs'!B126=0),'Model inputs'!B126=0,IF('Model inputs'!B126="","",'Model inputs'!B126=0)),'Model inputs'!B953)))))</f>
      </c>
    </row>
    <row r="956">
      <c r="A956" t="inlineStr" s="16">
        <is>
          <t xml:space="preserve">Calculation</t>
        </is>
      </c>
      <c r="B956">
        <f>IF(ISERROR('Model inputs'!I32&lt;='Model inputs'!B126),'Model inputs'!I32&lt;='Model inputs'!B126,IF(OR('Model inputs'!I32="",'Model inputs'!B126=""),"",'Model inputs'!I32&lt;='Model inputs'!B126))</f>
      </c>
    </row>
    <row r="957">
      <c r="A957" t="inlineStr" s="16">
        <is>
          <t xml:space="preserve">Calculation</t>
        </is>
      </c>
      <c r="B957">
        <f>IF(ISERROR('Model inputs'!I32&gt;='Model inputs'!B162),'Model inputs'!I32&gt;='Model inputs'!B162,IF(OR('Model inputs'!I32="",'Model inputs'!B162=""),"",'Model inputs'!I32&gt;='Model inputs'!B162))</f>
      </c>
    </row>
    <row r="958">
      <c r="A958" t="inlineStr" s="16">
        <is>
          <t xml:space="preserve">Calculation</t>
        </is>
      </c>
      <c r="B958">
        <f>(IF(IFERROR(IF(ISERROR('Model inputs'!B126=0),'Model inputs'!B126=0,IF('Model inputs'!B126="","",'Model inputs'!B126=0))=TRUE,FALSE),TRUE,IF(IFERROR('Model inputs'!B956=TRUE,FALSE),TRUE,IF(OR(IF(ISERROR('Model inputs'!B126=0),'Model inputs'!B126=0,IF('Model inputs'!B126="","",'Model inputs'!B126=0))="",'Model inputs'!B956=""),"",OR(IF(ISERROR('Model inputs'!B126=0),'Model inputs'!B126=0,IF('Model inputs'!B126="","",'Model inputs'!B126=0)),'Model inputs'!B956)))))</f>
      </c>
    </row>
    <row r="959">
      <c r="A959" t="inlineStr" s="16">
        <is>
          <t xml:space="preserve">Calculation</t>
        </is>
      </c>
      <c r="B959">
        <f>IF(ISERROR('Model inputs'!J32&lt;='Model inputs'!B126),'Model inputs'!J32&lt;='Model inputs'!B126,IF(OR('Model inputs'!J32="",'Model inputs'!B126=""),"",'Model inputs'!J32&lt;='Model inputs'!B126))</f>
      </c>
    </row>
    <row r="960">
      <c r="A960" t="inlineStr" s="16">
        <is>
          <t xml:space="preserve">Calculation</t>
        </is>
      </c>
      <c r="B960">
        <f>IF(ISERROR('Model inputs'!J32&gt;='Model inputs'!B162),'Model inputs'!J32&gt;='Model inputs'!B162,IF(OR('Model inputs'!J32="",'Model inputs'!B162=""),"",'Model inputs'!J32&gt;='Model inputs'!B162))</f>
      </c>
    </row>
    <row r="961">
      <c r="A961" t="inlineStr" s="16">
        <is>
          <t xml:space="preserve">Calculation</t>
        </is>
      </c>
      <c r="B961">
        <f>(IF(IFERROR(IF(ISERROR('Model inputs'!B126=0),'Model inputs'!B126=0,IF('Model inputs'!B126="","",'Model inputs'!B126=0))=TRUE,FALSE),TRUE,IF(IFERROR('Model inputs'!B959=TRUE,FALSE),TRUE,IF(OR(IF(ISERROR('Model inputs'!B126=0),'Model inputs'!B126=0,IF('Model inputs'!B126="","",'Model inputs'!B126=0))="",'Model inputs'!B959=""),"",OR(IF(ISERROR('Model inputs'!B126=0),'Model inputs'!B126=0,IF('Model inputs'!B126="","",'Model inputs'!B126=0)),'Model inputs'!B959)))))</f>
      </c>
    </row>
    <row r="962">
      <c r="A962" t="inlineStr" s="16">
        <is>
          <t xml:space="preserve">Calculation</t>
        </is>
      </c>
      <c r="B962">
        <f>IF(ISERROR('Model inputs'!K32&lt;='Model inputs'!B126),'Model inputs'!K32&lt;='Model inputs'!B126,IF(OR('Model inputs'!K32="",'Model inputs'!B126=""),"",'Model inputs'!K32&lt;='Model inputs'!B126))</f>
      </c>
    </row>
    <row r="963">
      <c r="A963" t="inlineStr" s="16">
        <is>
          <t xml:space="preserve">Calculation</t>
        </is>
      </c>
      <c r="B963">
        <f>IF(ISERROR('Model inputs'!K32&gt;='Model inputs'!B162),'Model inputs'!K32&gt;='Model inputs'!B162,IF(OR('Model inputs'!K32="",'Model inputs'!B162=""),"",'Model inputs'!K32&gt;='Model inputs'!B162))</f>
      </c>
    </row>
    <row r="964">
      <c r="A964" t="inlineStr" s="16">
        <is>
          <t xml:space="preserve">Calculation</t>
        </is>
      </c>
      <c r="B964">
        <f>(IF(IFERROR(IF(ISERROR('Model inputs'!B126=0),'Model inputs'!B126=0,IF('Model inputs'!B126="","",'Model inputs'!B126=0))=TRUE,FALSE),TRUE,IF(IFERROR('Model inputs'!B962=TRUE,FALSE),TRUE,IF(OR(IF(ISERROR('Model inputs'!B126=0),'Model inputs'!B126=0,IF('Model inputs'!B126="","",'Model inputs'!B126=0))="",'Model inputs'!B962=""),"",OR(IF(ISERROR('Model inputs'!B126=0),'Model inputs'!B126=0,IF('Model inputs'!B126="","",'Model inputs'!B126=0)),'Model inputs'!B962)))))</f>
      </c>
    </row>
    <row r="965">
      <c r="A965" t="inlineStr" s="16">
        <is>
          <t xml:space="preserve">Calculation</t>
        </is>
      </c>
      <c r="B965">
        <f>IF(ISERROR('Model inputs'!L32&lt;='Model inputs'!B126),'Model inputs'!L32&lt;='Model inputs'!B126,IF(OR('Model inputs'!L32="",'Model inputs'!B126=""),"",'Model inputs'!L32&lt;='Model inputs'!B126))</f>
      </c>
    </row>
    <row r="966">
      <c r="A966" t="inlineStr" s="16">
        <is>
          <t xml:space="preserve">Calculation</t>
        </is>
      </c>
      <c r="B966">
        <f>IF(ISERROR('Model inputs'!L32&gt;='Model inputs'!B162),'Model inputs'!L32&gt;='Model inputs'!B162,IF(OR('Model inputs'!L32="",'Model inputs'!B162=""),"",'Model inputs'!L32&gt;='Model inputs'!B162))</f>
      </c>
    </row>
    <row r="967">
      <c r="A967" t="inlineStr" s="16">
        <is>
          <t xml:space="preserve">Calculation</t>
        </is>
      </c>
      <c r="B967">
        <f>(IF(IFERROR(IF(ISERROR('Model inputs'!B126=0),'Model inputs'!B126=0,IF('Model inputs'!B126="","",'Model inputs'!B126=0))=TRUE,FALSE),TRUE,IF(IFERROR('Model inputs'!B965=TRUE,FALSE),TRUE,IF(OR(IF(ISERROR('Model inputs'!B126=0),'Model inputs'!B126=0,IF('Model inputs'!B126="","",'Model inputs'!B126=0))="",'Model inputs'!B965=""),"",OR(IF(ISERROR('Model inputs'!B126=0),'Model inputs'!B126=0,IF('Model inputs'!B126="","",'Model inputs'!B126=0)),'Model inputs'!B965)))))</f>
      </c>
    </row>
    <row r="968">
      <c r="A968" t="inlineStr" s="16">
        <is>
          <t xml:space="preserve">Calculation</t>
        </is>
      </c>
      <c r="B968">
        <f>IF(ISERROR('Model inputs'!M32&lt;='Model inputs'!B126),'Model inputs'!M32&lt;='Model inputs'!B126,IF(OR('Model inputs'!M32="",'Model inputs'!B126=""),"",'Model inputs'!M32&lt;='Model inputs'!B126))</f>
      </c>
    </row>
    <row r="969">
      <c r="A969" t="inlineStr" s="16">
        <is>
          <t xml:space="preserve">Calculation</t>
        </is>
      </c>
      <c r="B969">
        <f>IF(ISERROR('Model inputs'!M32&gt;='Model inputs'!B162),'Model inputs'!M32&gt;='Model inputs'!B162,IF(OR('Model inputs'!M32="",'Model inputs'!B162=""),"",'Model inputs'!M32&gt;='Model inputs'!B162))</f>
      </c>
    </row>
    <row r="970">
      <c r="A970" t="inlineStr" s="16">
        <is>
          <t xml:space="preserve">Calculation</t>
        </is>
      </c>
      <c r="B970">
        <f>(IF(IFERROR(IF(ISERROR('Model inputs'!B126=0),'Model inputs'!B126=0,IF('Model inputs'!B126="","",'Model inputs'!B126=0))=TRUE,FALSE),TRUE,IF(IFERROR('Model inputs'!B968=TRUE,FALSE),TRUE,IF(OR(IF(ISERROR('Model inputs'!B126=0),'Model inputs'!B126=0,IF('Model inputs'!B126="","",'Model inputs'!B126=0))="",'Model inputs'!B968=""),"",OR(IF(ISERROR('Model inputs'!B126=0),'Model inputs'!B126=0,IF('Model inputs'!B126="","",'Model inputs'!B126=0)),'Model inputs'!B968)))))</f>
      </c>
    </row>
    <row r="971">
      <c r="A971" t="inlineStr" s="16">
        <is>
          <t xml:space="preserve">Calculation</t>
        </is>
      </c>
      <c r="B971">
        <f>IF(ISERROR('Model inputs'!N32&lt;='Model inputs'!B126),'Model inputs'!N32&lt;='Model inputs'!B126,IF(OR('Model inputs'!N32="",'Model inputs'!B126=""),"",'Model inputs'!N32&lt;='Model inputs'!B126))</f>
      </c>
    </row>
    <row r="972">
      <c r="A972" t="inlineStr" s="16">
        <is>
          <t xml:space="preserve">Calculation</t>
        </is>
      </c>
      <c r="B972">
        <f>IF(ISERROR('Model inputs'!N32&gt;='Model inputs'!B162),'Model inputs'!N32&gt;='Model inputs'!B162,IF(OR('Model inputs'!N32="",'Model inputs'!B162=""),"",'Model inputs'!N32&gt;='Model inputs'!B162))</f>
      </c>
    </row>
    <row r="973">
      <c r="A973" t="inlineStr" s="16">
        <is>
          <t xml:space="preserve">Calculation</t>
        </is>
      </c>
      <c r="B973">
        <f>(IF(IFERROR(IF(ISERROR('Model inputs'!B126=0),'Model inputs'!B126=0,IF('Model inputs'!B126="","",'Model inputs'!B126=0))=TRUE,FALSE),TRUE,IF(IFERROR('Model inputs'!B971=TRUE,FALSE),TRUE,IF(OR(IF(ISERROR('Model inputs'!B126=0),'Model inputs'!B126=0,IF('Model inputs'!B126="","",'Model inputs'!B126=0))="",'Model inputs'!B971=""),"",OR(IF(ISERROR('Model inputs'!B126=0),'Model inputs'!B126=0,IF('Model inputs'!B126="","",'Model inputs'!B126=0)),'Model inputs'!B971)))))</f>
      </c>
    </row>
    <row r="974">
      <c r="A974" t="inlineStr" s="16">
        <is>
          <t xml:space="preserve">Calculation</t>
        </is>
      </c>
      <c r="B974">
        <f>IF(ISERROR('Model inputs'!O32&lt;='Model inputs'!B126),'Model inputs'!O32&lt;='Model inputs'!B126,IF(OR('Model inputs'!O32="",'Model inputs'!B126=""),"",'Model inputs'!O32&lt;='Model inputs'!B126))</f>
      </c>
    </row>
    <row r="975">
      <c r="A975" t="inlineStr" s="16">
        <is>
          <t xml:space="preserve">Calculation</t>
        </is>
      </c>
      <c r="B975">
        <f>IF(ISERROR('Model inputs'!O32&gt;='Model inputs'!B162),'Model inputs'!O32&gt;='Model inputs'!B162,IF(OR('Model inputs'!O32="",'Model inputs'!B162=""),"",'Model inputs'!O32&gt;='Model inputs'!B162))</f>
      </c>
    </row>
    <row r="976">
      <c r="A976" t="inlineStr" s="16">
        <is>
          <t xml:space="preserve">Calculation</t>
        </is>
      </c>
      <c r="B976">
        <f>(IF(IFERROR(IF(ISERROR('Model inputs'!B126=0),'Model inputs'!B126=0,IF('Model inputs'!B126="","",'Model inputs'!B126=0))=TRUE,FALSE),TRUE,IF(IFERROR('Model inputs'!B974=TRUE,FALSE),TRUE,IF(OR(IF(ISERROR('Model inputs'!B126=0),'Model inputs'!B126=0,IF('Model inputs'!B126="","",'Model inputs'!B126=0))="",'Model inputs'!B974=""),"",OR(IF(ISERROR('Model inputs'!B126=0),'Model inputs'!B126=0,IF('Model inputs'!B126="","",'Model inputs'!B126=0)),'Model inputs'!B974)))))</f>
      </c>
    </row>
    <row r="977">
      <c r="A977" t="inlineStr" s="16">
        <is>
          <t xml:space="preserve">Calculation</t>
        </is>
      </c>
      <c r="B977">
        <f>IF(ISERROR('Model inputs'!P32&lt;='Model inputs'!B126),'Model inputs'!P32&lt;='Model inputs'!B126,IF(OR('Model inputs'!P32="",'Model inputs'!B126=""),"",'Model inputs'!P32&lt;='Model inputs'!B126))</f>
      </c>
    </row>
    <row r="978">
      <c r="A978" t="inlineStr" s="16">
        <is>
          <t xml:space="preserve">Calculation</t>
        </is>
      </c>
      <c r="B978">
        <f>IF(ISERROR('Model inputs'!P32&gt;='Model inputs'!B162),'Model inputs'!P32&gt;='Model inputs'!B162,IF(OR('Model inputs'!P32="",'Model inputs'!B162=""),"",'Model inputs'!P32&gt;='Model inputs'!B162))</f>
      </c>
    </row>
    <row r="979">
      <c r="A979" t="inlineStr" s="16">
        <is>
          <t xml:space="preserve">Calculation</t>
        </is>
      </c>
      <c r="B979">
        <f>(IF(IFERROR(IF(ISERROR('Model inputs'!B126=0),'Model inputs'!B126=0,IF('Model inputs'!B126="","",'Model inputs'!B126=0))=TRUE,FALSE),TRUE,IF(IFERROR('Model inputs'!B977=TRUE,FALSE),TRUE,IF(OR(IF(ISERROR('Model inputs'!B126=0),'Model inputs'!B126=0,IF('Model inputs'!B126="","",'Model inputs'!B126=0))="",'Model inputs'!B977=""),"",OR(IF(ISERROR('Model inputs'!B126=0),'Model inputs'!B126=0,IF('Model inputs'!B126="","",'Model inputs'!B126=0)),'Model inputs'!B977)))))</f>
      </c>
    </row>
    <row r="980">
      <c r="A980" t="inlineStr" s="16">
        <is>
          <t xml:space="preserve">Calculation</t>
        </is>
      </c>
      <c r="B980">
        <f>IF(ISERROR('Model inputs'!Q32&lt;='Model inputs'!B126),'Model inputs'!Q32&lt;='Model inputs'!B126,IF(OR('Model inputs'!Q32="",'Model inputs'!B126=""),"",'Model inputs'!Q32&lt;='Model inputs'!B126))</f>
      </c>
    </row>
    <row r="981">
      <c r="A981" t="inlineStr" s="16">
        <is>
          <t xml:space="preserve">Calculation</t>
        </is>
      </c>
      <c r="B981">
        <f>IF(ISERROR('Model inputs'!Q32&gt;='Model inputs'!B162),'Model inputs'!Q32&gt;='Model inputs'!B162,IF(OR('Model inputs'!Q32="",'Model inputs'!B162=""),"",'Model inputs'!Q32&gt;='Model inputs'!B162))</f>
      </c>
    </row>
    <row r="982">
      <c r="A982" t="inlineStr" s="16">
        <is>
          <t xml:space="preserve">Calculation</t>
        </is>
      </c>
      <c r="B982">
        <f>(IF(IFERROR(IF(ISERROR('Model inputs'!B126=0),'Model inputs'!B126=0,IF('Model inputs'!B126="","",'Model inputs'!B126=0))=TRUE,FALSE),TRUE,IF(IFERROR('Model inputs'!B980=TRUE,FALSE),TRUE,IF(OR(IF(ISERROR('Model inputs'!B126=0),'Model inputs'!B126=0,IF('Model inputs'!B126="","",'Model inputs'!B126=0))="",'Model inputs'!B980=""),"",OR(IF(ISERROR('Model inputs'!B126=0),'Model inputs'!B126=0,IF('Model inputs'!B126="","",'Model inputs'!B126=0)),'Model inputs'!B980)))))</f>
      </c>
    </row>
    <row r="983">
      <c r="A983" t="inlineStr" s="16">
        <is>
          <t xml:space="preserve">Calculation</t>
        </is>
      </c>
      <c r="B983">
        <f>IF(ISERROR('Model inputs'!R32&lt;='Model inputs'!B126),'Model inputs'!R32&lt;='Model inputs'!B126,IF(OR('Model inputs'!R32="",'Model inputs'!B126=""),"",'Model inputs'!R32&lt;='Model inputs'!B126))</f>
      </c>
    </row>
    <row r="984">
      <c r="A984" t="inlineStr" s="16">
        <is>
          <t xml:space="preserve">Calculation</t>
        </is>
      </c>
      <c r="B984">
        <f>IF(ISERROR('Model inputs'!R32&gt;='Model inputs'!B162),'Model inputs'!R32&gt;='Model inputs'!B162,IF(OR('Model inputs'!R32="",'Model inputs'!B162=""),"",'Model inputs'!R32&gt;='Model inputs'!B162))</f>
      </c>
    </row>
    <row r="985">
      <c r="A985" t="inlineStr" s="16">
        <is>
          <t xml:space="preserve">Calculation</t>
        </is>
      </c>
      <c r="B985">
        <f>(IF(IFERROR(IF(ISERROR('Model inputs'!B126=0),'Model inputs'!B126=0,IF('Model inputs'!B126="","",'Model inputs'!B126=0))=TRUE,FALSE),TRUE,IF(IFERROR('Model inputs'!B983=TRUE,FALSE),TRUE,IF(OR(IF(ISERROR('Model inputs'!B126=0),'Model inputs'!B126=0,IF('Model inputs'!B126="","",'Model inputs'!B126=0))="",'Model inputs'!B983=""),"",OR(IF(ISERROR('Model inputs'!B126=0),'Model inputs'!B126=0,IF('Model inputs'!B126="","",'Model inputs'!B126=0)),'Model inputs'!B983)))))</f>
      </c>
    </row>
    <row r="986">
      <c r="A986" t="inlineStr" s="16">
        <is>
          <t xml:space="preserve">Calculation</t>
        </is>
      </c>
      <c r="B986">
        <f>IF(ISERROR('Model inputs'!S32&lt;='Model inputs'!B126),'Model inputs'!S32&lt;='Model inputs'!B126,IF(OR('Model inputs'!S32="",'Model inputs'!B126=""),"",'Model inputs'!S32&lt;='Model inputs'!B126))</f>
      </c>
    </row>
    <row r="987">
      <c r="A987" t="inlineStr" s="16">
        <is>
          <t xml:space="preserve">Calculation</t>
        </is>
      </c>
      <c r="B987">
        <f>IF(ISERROR('Model inputs'!S32&gt;='Model inputs'!B162),'Model inputs'!S32&gt;='Model inputs'!B162,IF(OR('Model inputs'!S32="",'Model inputs'!B162=""),"",'Model inputs'!S32&gt;='Model inputs'!B162))</f>
      </c>
    </row>
    <row r="988">
      <c r="A988" t="inlineStr" s="16">
        <is>
          <t xml:space="preserve">Calculation</t>
        </is>
      </c>
      <c r="B988">
        <f>(IF(IFERROR(IF(ISERROR('Model inputs'!B126=0),'Model inputs'!B126=0,IF('Model inputs'!B126="","",'Model inputs'!B126=0))=TRUE,FALSE),TRUE,IF(IFERROR('Model inputs'!B986=TRUE,FALSE),TRUE,IF(OR(IF(ISERROR('Model inputs'!B126=0),'Model inputs'!B126=0,IF('Model inputs'!B126="","",'Model inputs'!B126=0))="",'Model inputs'!B986=""),"",OR(IF(ISERROR('Model inputs'!B126=0),'Model inputs'!B126=0,IF('Model inputs'!B126="","",'Model inputs'!B126=0)),'Model inputs'!B986)))))</f>
      </c>
    </row>
    <row r="989">
      <c r="A989" t="inlineStr" s="16">
        <is>
          <t xml:space="preserve">Calculation</t>
        </is>
      </c>
      <c r="B989">
        <f>IF(ISERROR('Model inputs'!T32&lt;='Model inputs'!B126),'Model inputs'!T32&lt;='Model inputs'!B126,IF(OR('Model inputs'!T32="",'Model inputs'!B126=""),"",'Model inputs'!T32&lt;='Model inputs'!B126))</f>
      </c>
    </row>
    <row r="990">
      <c r="A990" t="inlineStr" s="16">
        <is>
          <t xml:space="preserve">Calculation</t>
        </is>
      </c>
      <c r="B990">
        <f>IF(ISERROR('Model inputs'!T32&gt;='Model inputs'!B162),'Model inputs'!T32&gt;='Model inputs'!B162,IF(OR('Model inputs'!T32="",'Model inputs'!B162=""),"",'Model inputs'!T32&gt;='Model inputs'!B162))</f>
      </c>
    </row>
    <row r="991">
      <c r="A991" t="inlineStr" s="16">
        <is>
          <t xml:space="preserve">Calculation</t>
        </is>
      </c>
      <c r="B991">
        <f>(IF(IFERROR(IF(ISERROR('Model inputs'!B126=0),'Model inputs'!B126=0,IF('Model inputs'!B126="","",'Model inputs'!B126=0))=TRUE,FALSE),TRUE,IF(IFERROR('Model inputs'!B989=TRUE,FALSE),TRUE,IF(OR(IF(ISERROR('Model inputs'!B126=0),'Model inputs'!B126=0,IF('Model inputs'!B126="","",'Model inputs'!B126=0))="",'Model inputs'!B989=""),"",OR(IF(ISERROR('Model inputs'!B126=0),'Model inputs'!B126=0,IF('Model inputs'!B126="","",'Model inputs'!B126=0)),'Model inputs'!B989)))))</f>
      </c>
    </row>
    <row r="992">
      <c r="A992" t="inlineStr" s="16">
        <is>
          <t xml:space="preserve">Calculation</t>
        </is>
      </c>
      <c r="B992">
        <f>IF(ISERROR('Model inputs'!U32&lt;='Model inputs'!B126),'Model inputs'!U32&lt;='Model inputs'!B126,IF(OR('Model inputs'!U32="",'Model inputs'!B126=""),"",'Model inputs'!U32&lt;='Model inputs'!B126))</f>
      </c>
    </row>
    <row r="993">
      <c r="A993" t="inlineStr" s="16">
        <is>
          <t xml:space="preserve">Calculation</t>
        </is>
      </c>
      <c r="B993">
        <f>IF(ISERROR('Model inputs'!U32&gt;='Model inputs'!B162),'Model inputs'!U32&gt;='Model inputs'!B162,IF(OR('Model inputs'!U32="",'Model inputs'!B162=""),"",'Model inputs'!U32&gt;='Model inputs'!B162))</f>
      </c>
    </row>
    <row r="994">
      <c r="A994" t="inlineStr" s="16">
        <is>
          <t xml:space="preserve">Calculation</t>
        </is>
      </c>
      <c r="B994">
        <f>(IF(IFERROR(IF(ISERROR('Model inputs'!B126=0),'Model inputs'!B126=0,IF('Model inputs'!B126="","",'Model inputs'!B126=0))=TRUE,FALSE),TRUE,IF(IFERROR('Model inputs'!B992=TRUE,FALSE),TRUE,IF(OR(IF(ISERROR('Model inputs'!B126=0),'Model inputs'!B126=0,IF('Model inputs'!B126="","",'Model inputs'!B126=0))="",'Model inputs'!B992=""),"",OR(IF(ISERROR('Model inputs'!B126=0),'Model inputs'!B126=0,IF('Model inputs'!B126="","",'Model inputs'!B126=0)),'Model inputs'!B992)))))</f>
      </c>
    </row>
    <row r="995">
      <c r="A995" t="inlineStr" s="16">
        <is>
          <t xml:space="preserve">Calculation</t>
        </is>
      </c>
      <c r="B995">
        <f>IF(ISERROR('Model inputs'!V32&lt;='Model inputs'!B126),'Model inputs'!V32&lt;='Model inputs'!B126,IF(OR('Model inputs'!V32="",'Model inputs'!B126=""),"",'Model inputs'!V32&lt;='Model inputs'!B126))</f>
      </c>
    </row>
    <row r="996">
      <c r="A996" t="inlineStr" s="16">
        <is>
          <t xml:space="preserve">Calculation</t>
        </is>
      </c>
      <c r="B996">
        <f>IF(ISERROR('Model inputs'!V32&gt;='Model inputs'!B162),'Model inputs'!V32&gt;='Model inputs'!B162,IF(OR('Model inputs'!V32="",'Model inputs'!B162=""),"",'Model inputs'!V32&gt;='Model inputs'!B162))</f>
      </c>
    </row>
    <row r="997">
      <c r="A997" t="inlineStr" s="16">
        <is>
          <t xml:space="preserve">Calculation</t>
        </is>
      </c>
      <c r="B997">
        <f>(IF(IFERROR(IF(ISERROR('Model inputs'!B126=0),'Model inputs'!B126=0,IF('Model inputs'!B126="","",'Model inputs'!B126=0))=TRUE,FALSE),TRUE,IF(IFERROR('Model inputs'!B995=TRUE,FALSE),TRUE,IF(OR(IF(ISERROR('Model inputs'!B126=0),'Model inputs'!B126=0,IF('Model inputs'!B126="","",'Model inputs'!B126=0))="",'Model inputs'!B995=""),"",OR(IF(ISERROR('Model inputs'!B126=0),'Model inputs'!B126=0,IF('Model inputs'!B126="","",'Model inputs'!B126=0)),'Model inputs'!B995)))))</f>
      </c>
    </row>
    <row r="998">
      <c r="A998" t="inlineStr" s="16">
        <is>
          <t xml:space="preserve">Calculation</t>
        </is>
      </c>
      <c r="B998">
        <f>IF(ISERROR('Model inputs'!C32&lt;='Model inputs'!B127),'Model inputs'!C32&lt;='Model inputs'!B127,IF(OR('Model inputs'!C32="",'Model inputs'!B127=""),"",'Model inputs'!C32&lt;='Model inputs'!B127))</f>
      </c>
    </row>
    <row r="999">
      <c r="A999" t="inlineStr" s="16">
        <is>
          <t xml:space="preserve">Calculation</t>
        </is>
      </c>
      <c r="B999">
        <f>IF(ISERROR('Model inputs'!C32&gt;='Model inputs'!B163),'Model inputs'!C32&gt;='Model inputs'!B163,IF(OR('Model inputs'!C32="",'Model inputs'!B163=""),"",'Model inputs'!C32&gt;='Model inputs'!B163))</f>
      </c>
    </row>
    <row r="1000">
      <c r="A1000" t="inlineStr" s="16">
        <is>
          <t xml:space="preserve">Calculation</t>
        </is>
      </c>
      <c r="B1000">
        <f>(IF(IFERROR(IF(ISERROR('Model inputs'!B127=0),'Model inputs'!B127=0,IF('Model inputs'!B127="","",'Model inputs'!B127=0))=TRUE,FALSE),TRUE,IF(IFERROR('Model inputs'!B998=TRUE,FALSE),TRUE,IF(OR(IF(ISERROR('Model inputs'!B127=0),'Model inputs'!B127=0,IF('Model inputs'!B127="","",'Model inputs'!B127=0))="",'Model inputs'!B998=""),"",OR(IF(ISERROR('Model inputs'!B127=0),'Model inputs'!B127=0,IF('Model inputs'!B127="","",'Model inputs'!B127=0)),'Model inputs'!B998)))))</f>
      </c>
    </row>
    <row r="1001">
      <c r="A1001" t="inlineStr" s="16">
        <is>
          <t xml:space="preserve">Calculation</t>
        </is>
      </c>
      <c r="B1001">
        <f>IF(ISERROR('Model inputs'!D32&lt;='Model inputs'!B127),'Model inputs'!D32&lt;='Model inputs'!B127,IF(OR('Model inputs'!D32="",'Model inputs'!B127=""),"",'Model inputs'!D32&lt;='Model inputs'!B127))</f>
      </c>
    </row>
    <row r="1002">
      <c r="A1002" t="inlineStr" s="16">
        <is>
          <t xml:space="preserve">Calculation</t>
        </is>
      </c>
      <c r="B1002">
        <f>IF(ISERROR('Model inputs'!D32&gt;='Model inputs'!B163),'Model inputs'!D32&gt;='Model inputs'!B163,IF(OR('Model inputs'!D32="",'Model inputs'!B163=""),"",'Model inputs'!D32&gt;='Model inputs'!B163))</f>
      </c>
    </row>
    <row r="1003">
      <c r="A1003" t="inlineStr" s="16">
        <is>
          <t xml:space="preserve">Calculation</t>
        </is>
      </c>
      <c r="B1003">
        <f>(IF(IFERROR(IF(ISERROR('Model inputs'!B127=0),'Model inputs'!B127=0,IF('Model inputs'!B127="","",'Model inputs'!B127=0))=TRUE,FALSE),TRUE,IF(IFERROR('Model inputs'!B1001=TRUE,FALSE),TRUE,IF(OR(IF(ISERROR('Model inputs'!B127=0),'Model inputs'!B127=0,IF('Model inputs'!B127="","",'Model inputs'!B127=0))="",'Model inputs'!B1001=""),"",OR(IF(ISERROR('Model inputs'!B127=0),'Model inputs'!B127=0,IF('Model inputs'!B127="","",'Model inputs'!B127=0)),'Model inputs'!B1001)))))</f>
      </c>
    </row>
    <row r="1004">
      <c r="A1004" t="inlineStr" s="16">
        <is>
          <t xml:space="preserve">Calculation</t>
        </is>
      </c>
      <c r="B1004">
        <f>IF(ISERROR('Model inputs'!E32&lt;='Model inputs'!B127),'Model inputs'!E32&lt;='Model inputs'!B127,IF(OR('Model inputs'!E32="",'Model inputs'!B127=""),"",'Model inputs'!E32&lt;='Model inputs'!B127))</f>
      </c>
    </row>
    <row r="1005">
      <c r="A1005" t="inlineStr" s="16">
        <is>
          <t xml:space="preserve">Calculation</t>
        </is>
      </c>
      <c r="B1005">
        <f>IF(ISERROR('Model inputs'!E32&gt;='Model inputs'!B163),'Model inputs'!E32&gt;='Model inputs'!B163,IF(OR('Model inputs'!E32="",'Model inputs'!B163=""),"",'Model inputs'!E32&gt;='Model inputs'!B163))</f>
      </c>
    </row>
    <row r="1006">
      <c r="A1006" t="inlineStr" s="16">
        <is>
          <t xml:space="preserve">Calculation</t>
        </is>
      </c>
      <c r="B1006">
        <f>(IF(IFERROR(IF(ISERROR('Model inputs'!B127=0),'Model inputs'!B127=0,IF('Model inputs'!B127="","",'Model inputs'!B127=0))=TRUE,FALSE),TRUE,IF(IFERROR('Model inputs'!B1004=TRUE,FALSE),TRUE,IF(OR(IF(ISERROR('Model inputs'!B127=0),'Model inputs'!B127=0,IF('Model inputs'!B127="","",'Model inputs'!B127=0))="",'Model inputs'!B1004=""),"",OR(IF(ISERROR('Model inputs'!B127=0),'Model inputs'!B127=0,IF('Model inputs'!B127="","",'Model inputs'!B127=0)),'Model inputs'!B1004)))))</f>
      </c>
    </row>
    <row r="1007">
      <c r="A1007" t="inlineStr" s="16">
        <is>
          <t xml:space="preserve">Calculation</t>
        </is>
      </c>
      <c r="B1007">
        <f>IF(ISERROR('Model inputs'!F32&lt;='Model inputs'!B127),'Model inputs'!F32&lt;='Model inputs'!B127,IF(OR('Model inputs'!F32="",'Model inputs'!B127=""),"",'Model inputs'!F32&lt;='Model inputs'!B127))</f>
      </c>
    </row>
    <row r="1008">
      <c r="A1008" t="inlineStr" s="16">
        <is>
          <t xml:space="preserve">Calculation</t>
        </is>
      </c>
      <c r="B1008">
        <f>IF(ISERROR('Model inputs'!F32&gt;='Model inputs'!B163),'Model inputs'!F32&gt;='Model inputs'!B163,IF(OR('Model inputs'!F32="",'Model inputs'!B163=""),"",'Model inputs'!F32&gt;='Model inputs'!B163))</f>
      </c>
    </row>
    <row r="1009">
      <c r="A1009" t="inlineStr" s="16">
        <is>
          <t xml:space="preserve">Calculation</t>
        </is>
      </c>
      <c r="B1009">
        <f>(IF(IFERROR(IF(ISERROR('Model inputs'!B127=0),'Model inputs'!B127=0,IF('Model inputs'!B127="","",'Model inputs'!B127=0))=TRUE,FALSE),TRUE,IF(IFERROR('Model inputs'!B1007=TRUE,FALSE),TRUE,IF(OR(IF(ISERROR('Model inputs'!B127=0),'Model inputs'!B127=0,IF('Model inputs'!B127="","",'Model inputs'!B127=0))="",'Model inputs'!B1007=""),"",OR(IF(ISERROR('Model inputs'!B127=0),'Model inputs'!B127=0,IF('Model inputs'!B127="","",'Model inputs'!B127=0)),'Model inputs'!B1007)))))</f>
      </c>
    </row>
    <row r="1010">
      <c r="A1010" t="inlineStr" s="16">
        <is>
          <t xml:space="preserve">Calculation</t>
        </is>
      </c>
      <c r="B1010">
        <f>IF(ISERROR('Model inputs'!G32&lt;='Model inputs'!B127),'Model inputs'!G32&lt;='Model inputs'!B127,IF(OR('Model inputs'!G32="",'Model inputs'!B127=""),"",'Model inputs'!G32&lt;='Model inputs'!B127))</f>
      </c>
    </row>
    <row r="1011">
      <c r="A1011" t="inlineStr" s="16">
        <is>
          <t xml:space="preserve">Calculation</t>
        </is>
      </c>
      <c r="B1011">
        <f>IF(ISERROR('Model inputs'!G32&gt;='Model inputs'!B163),'Model inputs'!G32&gt;='Model inputs'!B163,IF(OR('Model inputs'!G32="",'Model inputs'!B163=""),"",'Model inputs'!G32&gt;='Model inputs'!B163))</f>
      </c>
    </row>
    <row r="1012">
      <c r="A1012" t="inlineStr" s="16">
        <is>
          <t xml:space="preserve">Calculation</t>
        </is>
      </c>
      <c r="B1012">
        <f>(IF(IFERROR(IF(ISERROR('Model inputs'!B127=0),'Model inputs'!B127=0,IF('Model inputs'!B127="","",'Model inputs'!B127=0))=TRUE,FALSE),TRUE,IF(IFERROR('Model inputs'!B1010=TRUE,FALSE),TRUE,IF(OR(IF(ISERROR('Model inputs'!B127=0),'Model inputs'!B127=0,IF('Model inputs'!B127="","",'Model inputs'!B127=0))="",'Model inputs'!B1010=""),"",OR(IF(ISERROR('Model inputs'!B127=0),'Model inputs'!B127=0,IF('Model inputs'!B127="","",'Model inputs'!B127=0)),'Model inputs'!B1010)))))</f>
      </c>
    </row>
    <row r="1013">
      <c r="A1013" t="inlineStr" s="16">
        <is>
          <t xml:space="preserve">Calculation</t>
        </is>
      </c>
      <c r="B1013">
        <f>IF(ISERROR('Model inputs'!H32&lt;='Model inputs'!B127),'Model inputs'!H32&lt;='Model inputs'!B127,IF(OR('Model inputs'!H32="",'Model inputs'!B127=""),"",'Model inputs'!H32&lt;='Model inputs'!B127))</f>
      </c>
    </row>
    <row r="1014">
      <c r="A1014" t="inlineStr" s="16">
        <is>
          <t xml:space="preserve">Calculation</t>
        </is>
      </c>
      <c r="B1014">
        <f>IF(ISERROR('Model inputs'!H32&gt;='Model inputs'!B163),'Model inputs'!H32&gt;='Model inputs'!B163,IF(OR('Model inputs'!H32="",'Model inputs'!B163=""),"",'Model inputs'!H32&gt;='Model inputs'!B163))</f>
      </c>
    </row>
    <row r="1015">
      <c r="A1015" t="inlineStr" s="16">
        <is>
          <t xml:space="preserve">Calculation</t>
        </is>
      </c>
      <c r="B1015">
        <f>(IF(IFERROR(IF(ISERROR('Model inputs'!B127=0),'Model inputs'!B127=0,IF('Model inputs'!B127="","",'Model inputs'!B127=0))=TRUE,FALSE),TRUE,IF(IFERROR('Model inputs'!B1013=TRUE,FALSE),TRUE,IF(OR(IF(ISERROR('Model inputs'!B127=0),'Model inputs'!B127=0,IF('Model inputs'!B127="","",'Model inputs'!B127=0))="",'Model inputs'!B1013=""),"",OR(IF(ISERROR('Model inputs'!B127=0),'Model inputs'!B127=0,IF('Model inputs'!B127="","",'Model inputs'!B127=0)),'Model inputs'!B1013)))))</f>
      </c>
    </row>
    <row r="1016">
      <c r="A1016" t="inlineStr" s="16">
        <is>
          <t xml:space="preserve">Calculation</t>
        </is>
      </c>
      <c r="B1016">
        <f>IF(ISERROR('Model inputs'!I32&lt;='Model inputs'!B127),'Model inputs'!I32&lt;='Model inputs'!B127,IF(OR('Model inputs'!I32="",'Model inputs'!B127=""),"",'Model inputs'!I32&lt;='Model inputs'!B127))</f>
      </c>
    </row>
    <row r="1017">
      <c r="A1017" t="inlineStr" s="16">
        <is>
          <t xml:space="preserve">Calculation</t>
        </is>
      </c>
      <c r="B1017">
        <f>IF(ISERROR('Model inputs'!I32&gt;='Model inputs'!B163),'Model inputs'!I32&gt;='Model inputs'!B163,IF(OR('Model inputs'!I32="",'Model inputs'!B163=""),"",'Model inputs'!I32&gt;='Model inputs'!B163))</f>
      </c>
    </row>
    <row r="1018">
      <c r="A1018" t="inlineStr" s="16">
        <is>
          <t xml:space="preserve">Calculation</t>
        </is>
      </c>
      <c r="B1018">
        <f>(IF(IFERROR(IF(ISERROR('Model inputs'!B127=0),'Model inputs'!B127=0,IF('Model inputs'!B127="","",'Model inputs'!B127=0))=TRUE,FALSE),TRUE,IF(IFERROR('Model inputs'!B1016=TRUE,FALSE),TRUE,IF(OR(IF(ISERROR('Model inputs'!B127=0),'Model inputs'!B127=0,IF('Model inputs'!B127="","",'Model inputs'!B127=0))="",'Model inputs'!B1016=""),"",OR(IF(ISERROR('Model inputs'!B127=0),'Model inputs'!B127=0,IF('Model inputs'!B127="","",'Model inputs'!B127=0)),'Model inputs'!B1016)))))</f>
      </c>
    </row>
    <row r="1019">
      <c r="A1019" t="inlineStr" s="16">
        <is>
          <t xml:space="preserve">Calculation</t>
        </is>
      </c>
      <c r="B1019">
        <f>IF(ISERROR('Model inputs'!J32&lt;='Model inputs'!B127),'Model inputs'!J32&lt;='Model inputs'!B127,IF(OR('Model inputs'!J32="",'Model inputs'!B127=""),"",'Model inputs'!J32&lt;='Model inputs'!B127))</f>
      </c>
    </row>
    <row r="1020">
      <c r="A1020" t="inlineStr" s="16">
        <is>
          <t xml:space="preserve">Calculation</t>
        </is>
      </c>
      <c r="B1020">
        <f>IF(ISERROR('Model inputs'!J32&gt;='Model inputs'!B163),'Model inputs'!J32&gt;='Model inputs'!B163,IF(OR('Model inputs'!J32="",'Model inputs'!B163=""),"",'Model inputs'!J32&gt;='Model inputs'!B163))</f>
      </c>
    </row>
    <row r="1021">
      <c r="A1021" t="inlineStr" s="16">
        <is>
          <t xml:space="preserve">Calculation</t>
        </is>
      </c>
      <c r="B1021">
        <f>(IF(IFERROR(IF(ISERROR('Model inputs'!B127=0),'Model inputs'!B127=0,IF('Model inputs'!B127="","",'Model inputs'!B127=0))=TRUE,FALSE),TRUE,IF(IFERROR('Model inputs'!B1019=TRUE,FALSE),TRUE,IF(OR(IF(ISERROR('Model inputs'!B127=0),'Model inputs'!B127=0,IF('Model inputs'!B127="","",'Model inputs'!B127=0))="",'Model inputs'!B1019=""),"",OR(IF(ISERROR('Model inputs'!B127=0),'Model inputs'!B127=0,IF('Model inputs'!B127="","",'Model inputs'!B127=0)),'Model inputs'!B1019)))))</f>
      </c>
    </row>
    <row r="1022">
      <c r="A1022" t="inlineStr" s="16">
        <is>
          <t xml:space="preserve">Calculation</t>
        </is>
      </c>
      <c r="B1022">
        <f>IF(ISERROR('Model inputs'!K32&lt;='Model inputs'!B127),'Model inputs'!K32&lt;='Model inputs'!B127,IF(OR('Model inputs'!K32="",'Model inputs'!B127=""),"",'Model inputs'!K32&lt;='Model inputs'!B127))</f>
      </c>
    </row>
    <row r="1023">
      <c r="A1023" t="inlineStr" s="16">
        <is>
          <t xml:space="preserve">Calculation</t>
        </is>
      </c>
      <c r="B1023">
        <f>IF(ISERROR('Model inputs'!K32&gt;='Model inputs'!B163),'Model inputs'!K32&gt;='Model inputs'!B163,IF(OR('Model inputs'!K32="",'Model inputs'!B163=""),"",'Model inputs'!K32&gt;='Model inputs'!B163))</f>
      </c>
    </row>
    <row r="1024">
      <c r="A1024" t="inlineStr" s="16">
        <is>
          <t xml:space="preserve">Calculation</t>
        </is>
      </c>
      <c r="B1024">
        <f>(IF(IFERROR(IF(ISERROR('Model inputs'!B127=0),'Model inputs'!B127=0,IF('Model inputs'!B127="","",'Model inputs'!B127=0))=TRUE,FALSE),TRUE,IF(IFERROR('Model inputs'!B1022=TRUE,FALSE),TRUE,IF(OR(IF(ISERROR('Model inputs'!B127=0),'Model inputs'!B127=0,IF('Model inputs'!B127="","",'Model inputs'!B127=0))="",'Model inputs'!B1022=""),"",OR(IF(ISERROR('Model inputs'!B127=0),'Model inputs'!B127=0,IF('Model inputs'!B127="","",'Model inputs'!B127=0)),'Model inputs'!B1022)))))</f>
      </c>
    </row>
    <row r="1025">
      <c r="A1025" t="inlineStr" s="16">
        <is>
          <t xml:space="preserve">Calculation</t>
        </is>
      </c>
      <c r="B1025">
        <f>IF(ISERROR('Model inputs'!L32&lt;='Model inputs'!B127),'Model inputs'!L32&lt;='Model inputs'!B127,IF(OR('Model inputs'!L32="",'Model inputs'!B127=""),"",'Model inputs'!L32&lt;='Model inputs'!B127))</f>
      </c>
    </row>
    <row r="1026">
      <c r="A1026" t="inlineStr" s="16">
        <is>
          <t xml:space="preserve">Calculation</t>
        </is>
      </c>
      <c r="B1026">
        <f>IF(ISERROR('Model inputs'!L32&gt;='Model inputs'!B163),'Model inputs'!L32&gt;='Model inputs'!B163,IF(OR('Model inputs'!L32="",'Model inputs'!B163=""),"",'Model inputs'!L32&gt;='Model inputs'!B163))</f>
      </c>
    </row>
    <row r="1027">
      <c r="A1027" t="inlineStr" s="16">
        <is>
          <t xml:space="preserve">Calculation</t>
        </is>
      </c>
      <c r="B1027">
        <f>(IF(IFERROR(IF(ISERROR('Model inputs'!B127=0),'Model inputs'!B127=0,IF('Model inputs'!B127="","",'Model inputs'!B127=0))=TRUE,FALSE),TRUE,IF(IFERROR('Model inputs'!B1025=TRUE,FALSE),TRUE,IF(OR(IF(ISERROR('Model inputs'!B127=0),'Model inputs'!B127=0,IF('Model inputs'!B127="","",'Model inputs'!B127=0))="",'Model inputs'!B1025=""),"",OR(IF(ISERROR('Model inputs'!B127=0),'Model inputs'!B127=0,IF('Model inputs'!B127="","",'Model inputs'!B127=0)),'Model inputs'!B1025)))))</f>
      </c>
    </row>
    <row r="1028">
      <c r="A1028" t="inlineStr" s="16">
        <is>
          <t xml:space="preserve">Calculation</t>
        </is>
      </c>
      <c r="B1028">
        <f>IF(ISERROR('Model inputs'!M32&lt;='Model inputs'!B127),'Model inputs'!M32&lt;='Model inputs'!B127,IF(OR('Model inputs'!M32="",'Model inputs'!B127=""),"",'Model inputs'!M32&lt;='Model inputs'!B127))</f>
      </c>
    </row>
    <row r="1029">
      <c r="A1029" t="inlineStr" s="16">
        <is>
          <t xml:space="preserve">Calculation</t>
        </is>
      </c>
      <c r="B1029">
        <f>IF(ISERROR('Model inputs'!M32&gt;='Model inputs'!B163),'Model inputs'!M32&gt;='Model inputs'!B163,IF(OR('Model inputs'!M32="",'Model inputs'!B163=""),"",'Model inputs'!M32&gt;='Model inputs'!B163))</f>
      </c>
    </row>
    <row r="1030">
      <c r="A1030" t="inlineStr" s="16">
        <is>
          <t xml:space="preserve">Calculation</t>
        </is>
      </c>
      <c r="B1030">
        <f>(IF(IFERROR(IF(ISERROR('Model inputs'!B127=0),'Model inputs'!B127=0,IF('Model inputs'!B127="","",'Model inputs'!B127=0))=TRUE,FALSE),TRUE,IF(IFERROR('Model inputs'!B1028=TRUE,FALSE),TRUE,IF(OR(IF(ISERROR('Model inputs'!B127=0),'Model inputs'!B127=0,IF('Model inputs'!B127="","",'Model inputs'!B127=0))="",'Model inputs'!B1028=""),"",OR(IF(ISERROR('Model inputs'!B127=0),'Model inputs'!B127=0,IF('Model inputs'!B127="","",'Model inputs'!B127=0)),'Model inputs'!B1028)))))</f>
      </c>
    </row>
    <row r="1031">
      <c r="A1031" t="inlineStr" s="16">
        <is>
          <t xml:space="preserve">Calculation</t>
        </is>
      </c>
      <c r="B1031">
        <f>IF(ISERROR('Model inputs'!N32&lt;='Model inputs'!B127),'Model inputs'!N32&lt;='Model inputs'!B127,IF(OR('Model inputs'!N32="",'Model inputs'!B127=""),"",'Model inputs'!N32&lt;='Model inputs'!B127))</f>
      </c>
    </row>
    <row r="1032">
      <c r="A1032" t="inlineStr" s="16">
        <is>
          <t xml:space="preserve">Calculation</t>
        </is>
      </c>
      <c r="B1032">
        <f>IF(ISERROR('Model inputs'!N32&gt;='Model inputs'!B163),'Model inputs'!N32&gt;='Model inputs'!B163,IF(OR('Model inputs'!N32="",'Model inputs'!B163=""),"",'Model inputs'!N32&gt;='Model inputs'!B163))</f>
      </c>
    </row>
    <row r="1033">
      <c r="A1033" t="inlineStr" s="16">
        <is>
          <t xml:space="preserve">Calculation</t>
        </is>
      </c>
      <c r="B1033">
        <f>(IF(IFERROR(IF(ISERROR('Model inputs'!B127=0),'Model inputs'!B127=0,IF('Model inputs'!B127="","",'Model inputs'!B127=0))=TRUE,FALSE),TRUE,IF(IFERROR('Model inputs'!B1031=TRUE,FALSE),TRUE,IF(OR(IF(ISERROR('Model inputs'!B127=0),'Model inputs'!B127=0,IF('Model inputs'!B127="","",'Model inputs'!B127=0))="",'Model inputs'!B1031=""),"",OR(IF(ISERROR('Model inputs'!B127=0),'Model inputs'!B127=0,IF('Model inputs'!B127="","",'Model inputs'!B127=0)),'Model inputs'!B1031)))))</f>
      </c>
    </row>
    <row r="1034">
      <c r="A1034" t="inlineStr" s="16">
        <is>
          <t xml:space="preserve">Calculation</t>
        </is>
      </c>
      <c r="B1034">
        <f>IF(ISERROR('Model inputs'!O32&lt;='Model inputs'!B127),'Model inputs'!O32&lt;='Model inputs'!B127,IF(OR('Model inputs'!O32="",'Model inputs'!B127=""),"",'Model inputs'!O32&lt;='Model inputs'!B127))</f>
      </c>
    </row>
    <row r="1035">
      <c r="A1035" t="inlineStr" s="16">
        <is>
          <t xml:space="preserve">Calculation</t>
        </is>
      </c>
      <c r="B1035">
        <f>IF(ISERROR('Model inputs'!O32&gt;='Model inputs'!B163),'Model inputs'!O32&gt;='Model inputs'!B163,IF(OR('Model inputs'!O32="",'Model inputs'!B163=""),"",'Model inputs'!O32&gt;='Model inputs'!B163))</f>
      </c>
    </row>
    <row r="1036">
      <c r="A1036" t="inlineStr" s="16">
        <is>
          <t xml:space="preserve">Calculation</t>
        </is>
      </c>
      <c r="B1036">
        <f>(IF(IFERROR(IF(ISERROR('Model inputs'!B127=0),'Model inputs'!B127=0,IF('Model inputs'!B127="","",'Model inputs'!B127=0))=TRUE,FALSE),TRUE,IF(IFERROR('Model inputs'!B1034=TRUE,FALSE),TRUE,IF(OR(IF(ISERROR('Model inputs'!B127=0),'Model inputs'!B127=0,IF('Model inputs'!B127="","",'Model inputs'!B127=0))="",'Model inputs'!B1034=""),"",OR(IF(ISERROR('Model inputs'!B127=0),'Model inputs'!B127=0,IF('Model inputs'!B127="","",'Model inputs'!B127=0)),'Model inputs'!B1034)))))</f>
      </c>
    </row>
    <row r="1037">
      <c r="A1037" t="inlineStr" s="16">
        <is>
          <t xml:space="preserve">Calculation</t>
        </is>
      </c>
      <c r="B1037">
        <f>IF(ISERROR('Model inputs'!P32&lt;='Model inputs'!B127),'Model inputs'!P32&lt;='Model inputs'!B127,IF(OR('Model inputs'!P32="",'Model inputs'!B127=""),"",'Model inputs'!P32&lt;='Model inputs'!B127))</f>
      </c>
    </row>
    <row r="1038">
      <c r="A1038" t="inlineStr" s="16">
        <is>
          <t xml:space="preserve">Calculation</t>
        </is>
      </c>
      <c r="B1038">
        <f>IF(ISERROR('Model inputs'!P32&gt;='Model inputs'!B163),'Model inputs'!P32&gt;='Model inputs'!B163,IF(OR('Model inputs'!P32="",'Model inputs'!B163=""),"",'Model inputs'!P32&gt;='Model inputs'!B163))</f>
      </c>
    </row>
    <row r="1039">
      <c r="A1039" t="inlineStr" s="16">
        <is>
          <t xml:space="preserve">Calculation</t>
        </is>
      </c>
      <c r="B1039">
        <f>(IF(IFERROR(IF(ISERROR('Model inputs'!B127=0),'Model inputs'!B127=0,IF('Model inputs'!B127="","",'Model inputs'!B127=0))=TRUE,FALSE),TRUE,IF(IFERROR('Model inputs'!B1037=TRUE,FALSE),TRUE,IF(OR(IF(ISERROR('Model inputs'!B127=0),'Model inputs'!B127=0,IF('Model inputs'!B127="","",'Model inputs'!B127=0))="",'Model inputs'!B1037=""),"",OR(IF(ISERROR('Model inputs'!B127=0),'Model inputs'!B127=0,IF('Model inputs'!B127="","",'Model inputs'!B127=0)),'Model inputs'!B1037)))))</f>
      </c>
    </row>
    <row r="1040">
      <c r="A1040" t="inlineStr" s="16">
        <is>
          <t xml:space="preserve">Calculation</t>
        </is>
      </c>
      <c r="B1040">
        <f>IF(ISERROR('Model inputs'!Q32&lt;='Model inputs'!B127),'Model inputs'!Q32&lt;='Model inputs'!B127,IF(OR('Model inputs'!Q32="",'Model inputs'!B127=""),"",'Model inputs'!Q32&lt;='Model inputs'!B127))</f>
      </c>
    </row>
    <row r="1041">
      <c r="A1041" t="inlineStr" s="16">
        <is>
          <t xml:space="preserve">Calculation</t>
        </is>
      </c>
      <c r="B1041">
        <f>IF(ISERROR('Model inputs'!Q32&gt;='Model inputs'!B163),'Model inputs'!Q32&gt;='Model inputs'!B163,IF(OR('Model inputs'!Q32="",'Model inputs'!B163=""),"",'Model inputs'!Q32&gt;='Model inputs'!B163))</f>
      </c>
    </row>
    <row r="1042">
      <c r="A1042" t="inlineStr" s="16">
        <is>
          <t xml:space="preserve">Calculation</t>
        </is>
      </c>
      <c r="B1042">
        <f>(IF(IFERROR(IF(ISERROR('Model inputs'!B127=0),'Model inputs'!B127=0,IF('Model inputs'!B127="","",'Model inputs'!B127=0))=TRUE,FALSE),TRUE,IF(IFERROR('Model inputs'!B1040=TRUE,FALSE),TRUE,IF(OR(IF(ISERROR('Model inputs'!B127=0),'Model inputs'!B127=0,IF('Model inputs'!B127="","",'Model inputs'!B127=0))="",'Model inputs'!B1040=""),"",OR(IF(ISERROR('Model inputs'!B127=0),'Model inputs'!B127=0,IF('Model inputs'!B127="","",'Model inputs'!B127=0)),'Model inputs'!B1040)))))</f>
      </c>
    </row>
    <row r="1043">
      <c r="A1043" t="inlineStr" s="16">
        <is>
          <t xml:space="preserve">Calculation</t>
        </is>
      </c>
      <c r="B1043">
        <f>IF(ISERROR('Model inputs'!R32&lt;='Model inputs'!B127),'Model inputs'!R32&lt;='Model inputs'!B127,IF(OR('Model inputs'!R32="",'Model inputs'!B127=""),"",'Model inputs'!R32&lt;='Model inputs'!B127))</f>
      </c>
    </row>
    <row r="1044">
      <c r="A1044" t="inlineStr" s="16">
        <is>
          <t xml:space="preserve">Calculation</t>
        </is>
      </c>
      <c r="B1044">
        <f>IF(ISERROR('Model inputs'!R32&gt;='Model inputs'!B163),'Model inputs'!R32&gt;='Model inputs'!B163,IF(OR('Model inputs'!R32="",'Model inputs'!B163=""),"",'Model inputs'!R32&gt;='Model inputs'!B163))</f>
      </c>
    </row>
    <row r="1045">
      <c r="A1045" t="inlineStr" s="16">
        <is>
          <t xml:space="preserve">Calculation</t>
        </is>
      </c>
      <c r="B1045">
        <f>(IF(IFERROR(IF(ISERROR('Model inputs'!B127=0),'Model inputs'!B127=0,IF('Model inputs'!B127="","",'Model inputs'!B127=0))=TRUE,FALSE),TRUE,IF(IFERROR('Model inputs'!B1043=TRUE,FALSE),TRUE,IF(OR(IF(ISERROR('Model inputs'!B127=0),'Model inputs'!B127=0,IF('Model inputs'!B127="","",'Model inputs'!B127=0))="",'Model inputs'!B1043=""),"",OR(IF(ISERROR('Model inputs'!B127=0),'Model inputs'!B127=0,IF('Model inputs'!B127="","",'Model inputs'!B127=0)),'Model inputs'!B1043)))))</f>
      </c>
    </row>
    <row r="1046">
      <c r="A1046" t="inlineStr" s="16">
        <is>
          <t xml:space="preserve">Calculation</t>
        </is>
      </c>
      <c r="B1046">
        <f>IF(ISERROR('Model inputs'!S32&lt;='Model inputs'!B127),'Model inputs'!S32&lt;='Model inputs'!B127,IF(OR('Model inputs'!S32="",'Model inputs'!B127=""),"",'Model inputs'!S32&lt;='Model inputs'!B127))</f>
      </c>
    </row>
    <row r="1047">
      <c r="A1047" t="inlineStr" s="16">
        <is>
          <t xml:space="preserve">Calculation</t>
        </is>
      </c>
      <c r="B1047">
        <f>IF(ISERROR('Model inputs'!S32&gt;='Model inputs'!B163),'Model inputs'!S32&gt;='Model inputs'!B163,IF(OR('Model inputs'!S32="",'Model inputs'!B163=""),"",'Model inputs'!S32&gt;='Model inputs'!B163))</f>
      </c>
    </row>
    <row r="1048">
      <c r="A1048" t="inlineStr" s="16">
        <is>
          <t xml:space="preserve">Calculation</t>
        </is>
      </c>
      <c r="B1048">
        <f>(IF(IFERROR(IF(ISERROR('Model inputs'!B127=0),'Model inputs'!B127=0,IF('Model inputs'!B127="","",'Model inputs'!B127=0))=TRUE,FALSE),TRUE,IF(IFERROR('Model inputs'!B1046=TRUE,FALSE),TRUE,IF(OR(IF(ISERROR('Model inputs'!B127=0),'Model inputs'!B127=0,IF('Model inputs'!B127="","",'Model inputs'!B127=0))="",'Model inputs'!B1046=""),"",OR(IF(ISERROR('Model inputs'!B127=0),'Model inputs'!B127=0,IF('Model inputs'!B127="","",'Model inputs'!B127=0)),'Model inputs'!B1046)))))</f>
      </c>
    </row>
    <row r="1049">
      <c r="A1049" t="inlineStr" s="16">
        <is>
          <t xml:space="preserve">Calculation</t>
        </is>
      </c>
      <c r="B1049">
        <f>IF(ISERROR('Model inputs'!T32&lt;='Model inputs'!B127),'Model inputs'!T32&lt;='Model inputs'!B127,IF(OR('Model inputs'!T32="",'Model inputs'!B127=""),"",'Model inputs'!T32&lt;='Model inputs'!B127))</f>
      </c>
    </row>
    <row r="1050">
      <c r="A1050" t="inlineStr" s="16">
        <is>
          <t xml:space="preserve">Calculation</t>
        </is>
      </c>
      <c r="B1050">
        <f>IF(ISERROR('Model inputs'!T32&gt;='Model inputs'!B163),'Model inputs'!T32&gt;='Model inputs'!B163,IF(OR('Model inputs'!T32="",'Model inputs'!B163=""),"",'Model inputs'!T32&gt;='Model inputs'!B163))</f>
      </c>
    </row>
    <row r="1051">
      <c r="A1051" t="inlineStr" s="16">
        <is>
          <t xml:space="preserve">Calculation</t>
        </is>
      </c>
      <c r="B1051">
        <f>(IF(IFERROR(IF(ISERROR('Model inputs'!B127=0),'Model inputs'!B127=0,IF('Model inputs'!B127="","",'Model inputs'!B127=0))=TRUE,FALSE),TRUE,IF(IFERROR('Model inputs'!B1049=TRUE,FALSE),TRUE,IF(OR(IF(ISERROR('Model inputs'!B127=0),'Model inputs'!B127=0,IF('Model inputs'!B127="","",'Model inputs'!B127=0))="",'Model inputs'!B1049=""),"",OR(IF(ISERROR('Model inputs'!B127=0),'Model inputs'!B127=0,IF('Model inputs'!B127="","",'Model inputs'!B127=0)),'Model inputs'!B1049)))))</f>
      </c>
    </row>
    <row r="1052">
      <c r="A1052" t="inlineStr" s="16">
        <is>
          <t xml:space="preserve">Calculation</t>
        </is>
      </c>
      <c r="B1052">
        <f>IF(ISERROR('Model inputs'!U32&lt;='Model inputs'!B127),'Model inputs'!U32&lt;='Model inputs'!B127,IF(OR('Model inputs'!U32="",'Model inputs'!B127=""),"",'Model inputs'!U32&lt;='Model inputs'!B127))</f>
      </c>
    </row>
    <row r="1053">
      <c r="A1053" t="inlineStr" s="16">
        <is>
          <t xml:space="preserve">Calculation</t>
        </is>
      </c>
      <c r="B1053">
        <f>IF(ISERROR('Model inputs'!U32&gt;='Model inputs'!B163),'Model inputs'!U32&gt;='Model inputs'!B163,IF(OR('Model inputs'!U32="",'Model inputs'!B163=""),"",'Model inputs'!U32&gt;='Model inputs'!B163))</f>
      </c>
    </row>
    <row r="1054">
      <c r="A1054" t="inlineStr" s="16">
        <is>
          <t xml:space="preserve">Calculation</t>
        </is>
      </c>
      <c r="B1054">
        <f>(IF(IFERROR(IF(ISERROR('Model inputs'!B127=0),'Model inputs'!B127=0,IF('Model inputs'!B127="","",'Model inputs'!B127=0))=TRUE,FALSE),TRUE,IF(IFERROR('Model inputs'!B1052=TRUE,FALSE),TRUE,IF(OR(IF(ISERROR('Model inputs'!B127=0),'Model inputs'!B127=0,IF('Model inputs'!B127="","",'Model inputs'!B127=0))="",'Model inputs'!B1052=""),"",OR(IF(ISERROR('Model inputs'!B127=0),'Model inputs'!B127=0,IF('Model inputs'!B127="","",'Model inputs'!B127=0)),'Model inputs'!B1052)))))</f>
      </c>
    </row>
    <row r="1055">
      <c r="A1055" t="inlineStr" s="16">
        <is>
          <t xml:space="preserve">Calculation</t>
        </is>
      </c>
      <c r="B1055">
        <f>IF(ISERROR('Model inputs'!V32&lt;='Model inputs'!B127),'Model inputs'!V32&lt;='Model inputs'!B127,IF(OR('Model inputs'!V32="",'Model inputs'!B127=""),"",'Model inputs'!V32&lt;='Model inputs'!B127))</f>
      </c>
    </row>
    <row r="1056">
      <c r="A1056" t="inlineStr" s="16">
        <is>
          <t xml:space="preserve">Calculation</t>
        </is>
      </c>
      <c r="B1056">
        <f>IF(ISERROR('Model inputs'!V32&gt;='Model inputs'!B163),'Model inputs'!V32&gt;='Model inputs'!B163,IF(OR('Model inputs'!V32="",'Model inputs'!B163=""),"",'Model inputs'!V32&gt;='Model inputs'!B163))</f>
      </c>
    </row>
    <row r="1057">
      <c r="A1057" t="inlineStr" s="16">
        <is>
          <t xml:space="preserve">Calculation</t>
        </is>
      </c>
      <c r="B1057">
        <f>(IF(IFERROR(IF(ISERROR('Model inputs'!B127=0),'Model inputs'!B127=0,IF('Model inputs'!B127="","",'Model inputs'!B127=0))=TRUE,FALSE),TRUE,IF(IFERROR('Model inputs'!B1055=TRUE,FALSE),TRUE,IF(OR(IF(ISERROR('Model inputs'!B127=0),'Model inputs'!B127=0,IF('Model inputs'!B127="","",'Model inputs'!B127=0))="",'Model inputs'!B1055=""),"",OR(IF(ISERROR('Model inputs'!B127=0),'Model inputs'!B127=0,IF('Model inputs'!B127="","",'Model inputs'!B127=0)),'Model inputs'!B1055)))))</f>
      </c>
    </row>
    <row r="1058">
      <c r="A1058" t="inlineStr" s="16">
        <is>
          <t xml:space="preserve">Calculation</t>
        </is>
      </c>
      <c r="B1058">
        <f>IF(ISERROR('Model inputs'!W230&gt;='Model inputs'!B211),'Model inputs'!W230&gt;='Model inputs'!B211,IF(OR('Model inputs'!W230="",'Model inputs'!B211=""),"",'Model inputs'!W230&gt;='Model inputs'!B211))</f>
      </c>
    </row>
    <row r="1059">
      <c r="A1059" t="inlineStr" s="16">
        <is>
          <t xml:space="preserve">Calculation</t>
        </is>
      </c>
      <c r="B1059">
        <f>IF(ISERROR('Model inputs'!X230&gt;='Model inputs'!B211),'Model inputs'!X230&gt;='Model inputs'!B211,IF(OR('Model inputs'!X230="",'Model inputs'!B211=""),"",'Model inputs'!X230&gt;='Model inputs'!B211))</f>
      </c>
    </row>
    <row r="1060">
      <c r="A1060" t="inlineStr" s="16">
        <is>
          <t xml:space="preserve">Calculation</t>
        </is>
      </c>
      <c r="B1060">
        <f>IF(ISERROR('Model inputs'!Y230&gt;='Model inputs'!B211),'Model inputs'!Y230&gt;='Model inputs'!B211,IF(OR('Model inputs'!Y230="",'Model inputs'!B211=""),"",'Model inputs'!Y230&gt;='Model inputs'!B211))</f>
      </c>
    </row>
    <row r="1061">
      <c r="A1061" t="inlineStr" s="16">
        <is>
          <t xml:space="preserve">Calculation</t>
        </is>
      </c>
      <c r="B1061">
        <f>IF(ISERROR('Model inputs'!Z230&gt;='Model inputs'!B211),'Model inputs'!Z230&gt;='Model inputs'!B211,IF(OR('Model inputs'!Z230="",'Model inputs'!B211=""),"",'Model inputs'!Z230&gt;='Model inputs'!B211))</f>
      </c>
    </row>
    <row r="1062">
      <c r="A1062" t="inlineStr" s="16">
        <is>
          <t xml:space="preserve">Calculation</t>
        </is>
      </c>
      <c r="B1062">
        <f>IF(ISERROR('Model inputs'!AA230&gt;='Model inputs'!B211),'Model inputs'!AA230&gt;='Model inputs'!B211,IF(OR('Model inputs'!AA230="",'Model inputs'!B211=""),"",'Model inputs'!AA230&gt;='Model inputs'!B211))</f>
      </c>
    </row>
    <row r="1063">
      <c r="A1063" t="inlineStr" s="16">
        <is>
          <t xml:space="preserve">Calculation</t>
        </is>
      </c>
      <c r="B1063">
        <f>IF(ISERROR('Model inputs'!AB230&gt;='Model inputs'!B211),'Model inputs'!AB230&gt;='Model inputs'!B211,IF(OR('Model inputs'!AB230="",'Model inputs'!B211=""),"",'Model inputs'!AB230&gt;='Model inputs'!B211))</f>
      </c>
    </row>
    <row r="1064">
      <c r="A1064" t="inlineStr" s="16">
        <is>
          <t xml:space="preserve">Calculation</t>
        </is>
      </c>
      <c r="B1064">
        <f>IF(ISERROR('Model inputs'!AC230&gt;='Model inputs'!B211),'Model inputs'!AC230&gt;='Model inputs'!B211,IF(OR('Model inputs'!AC230="",'Model inputs'!B211=""),"",'Model inputs'!AC230&gt;='Model inputs'!B211))</f>
      </c>
    </row>
    <row r="1065">
      <c r="A1065" t="inlineStr" s="16">
        <is>
          <t xml:space="preserve">Calculation</t>
        </is>
      </c>
      <c r="B1065">
        <f>IF(ISERROR('Model inputs'!AD230&gt;='Model inputs'!B211),'Model inputs'!AD230&gt;='Model inputs'!B211,IF(OR('Model inputs'!AD230="",'Model inputs'!B211=""),"",'Model inputs'!AD230&gt;='Model inputs'!B211))</f>
      </c>
    </row>
    <row r="1066">
      <c r="A1066" t="inlineStr" s="16">
        <is>
          <t xml:space="preserve">Calculation</t>
        </is>
      </c>
      <c r="B1066">
        <f>IF(ISERROR('Model inputs'!AE230&gt;='Model inputs'!B211),'Model inputs'!AE230&gt;='Model inputs'!B211,IF(OR('Model inputs'!AE230="",'Model inputs'!B211=""),"",'Model inputs'!AE230&gt;='Model inputs'!B211))</f>
      </c>
    </row>
    <row r="1067">
      <c r="A1067" t="inlineStr" s="16">
        <is>
          <t xml:space="preserve">Calculation</t>
        </is>
      </c>
      <c r="B1067">
        <f>IF(ISERROR('Model inputs'!AF230&gt;='Model inputs'!B211),'Model inputs'!AF230&gt;='Model inputs'!B211,IF(OR('Model inputs'!AF230="",'Model inputs'!B211=""),"",'Model inputs'!AF230&gt;='Model inputs'!B211))</f>
      </c>
    </row>
    <row r="1068">
      <c r="A1068" t="inlineStr" s="16">
        <is>
          <t xml:space="preserve">Calculation</t>
        </is>
      </c>
      <c r="B1068">
        <f>IF(ISERROR('Model inputs'!AG230&gt;='Model inputs'!B211),'Model inputs'!AG230&gt;='Model inputs'!B211,IF(OR('Model inputs'!AG230="",'Model inputs'!B211=""),"",'Model inputs'!AG230&gt;='Model inputs'!B211))</f>
      </c>
    </row>
    <row r="1069">
      <c r="A1069" t="inlineStr" s="16">
        <is>
          <t xml:space="preserve">Calculation</t>
        </is>
      </c>
      <c r="B1069">
        <f>IF(ISERROR('Model inputs'!C32&gt;='Model inputs'!B211),'Model inputs'!C32&gt;='Model inputs'!B211,IF(OR('Model inputs'!C32="",'Model inputs'!B211=""),"",'Model inputs'!C32&gt;='Model inputs'!B211))</f>
      </c>
    </row>
    <row r="1070">
      <c r="A1070" t="inlineStr" s="16">
        <is>
          <t xml:space="preserve">Calculation</t>
        </is>
      </c>
      <c r="B1070">
        <f>IF(ISERROR('Model inputs'!D32&gt;='Model inputs'!B211),'Model inputs'!D32&gt;='Model inputs'!B211,IF(OR('Model inputs'!D32="",'Model inputs'!B211=""),"",'Model inputs'!D32&gt;='Model inputs'!B211))</f>
      </c>
    </row>
    <row r="1071">
      <c r="A1071" t="inlineStr" s="16">
        <is>
          <t xml:space="preserve">Calculation</t>
        </is>
      </c>
      <c r="B1071">
        <f>IF(ISERROR('Model inputs'!E32&gt;='Model inputs'!B211),'Model inputs'!E32&gt;='Model inputs'!B211,IF(OR('Model inputs'!E32="",'Model inputs'!B211=""),"",'Model inputs'!E32&gt;='Model inputs'!B211))</f>
      </c>
    </row>
    <row r="1072">
      <c r="A1072" t="inlineStr" s="16">
        <is>
          <t xml:space="preserve">Calculation</t>
        </is>
      </c>
      <c r="B1072">
        <f>IF(ISERROR('Model inputs'!F32&gt;='Model inputs'!B211),'Model inputs'!F32&gt;='Model inputs'!B211,IF(OR('Model inputs'!F32="",'Model inputs'!B211=""),"",'Model inputs'!F32&gt;='Model inputs'!B211))</f>
      </c>
    </row>
    <row r="1073">
      <c r="A1073" t="inlineStr" s="16">
        <is>
          <t xml:space="preserve">Calculation</t>
        </is>
      </c>
      <c r="B1073">
        <f>IF(ISERROR('Model inputs'!G32&gt;='Model inputs'!B211),'Model inputs'!G32&gt;='Model inputs'!B211,IF(OR('Model inputs'!G32="",'Model inputs'!B211=""),"",'Model inputs'!G32&gt;='Model inputs'!B211))</f>
      </c>
    </row>
    <row r="1074">
      <c r="A1074" t="inlineStr" s="16">
        <is>
          <t xml:space="preserve">Calculation</t>
        </is>
      </c>
      <c r="B1074">
        <f>IF(ISERROR('Model inputs'!H32&gt;='Model inputs'!B211),'Model inputs'!H32&gt;='Model inputs'!B211,IF(OR('Model inputs'!H32="",'Model inputs'!B211=""),"",'Model inputs'!H32&gt;='Model inputs'!B211))</f>
      </c>
    </row>
    <row r="1075">
      <c r="A1075" t="inlineStr" s="16">
        <is>
          <t xml:space="preserve">Calculation</t>
        </is>
      </c>
      <c r="B1075">
        <f>IF(ISERROR('Model inputs'!I32&gt;='Model inputs'!B211),'Model inputs'!I32&gt;='Model inputs'!B211,IF(OR('Model inputs'!I32="",'Model inputs'!B211=""),"",'Model inputs'!I32&gt;='Model inputs'!B211))</f>
      </c>
    </row>
    <row r="1076">
      <c r="A1076" t="inlineStr" s="16">
        <is>
          <t xml:space="preserve">Calculation</t>
        </is>
      </c>
      <c r="B1076">
        <f>IF(ISERROR('Model inputs'!J32&gt;='Model inputs'!B211),'Model inputs'!J32&gt;='Model inputs'!B211,IF(OR('Model inputs'!J32="",'Model inputs'!B211=""),"",'Model inputs'!J32&gt;='Model inputs'!B211))</f>
      </c>
    </row>
    <row r="1077">
      <c r="A1077" t="inlineStr" s="16">
        <is>
          <t xml:space="preserve">Calculation</t>
        </is>
      </c>
      <c r="B1077">
        <f>IF(ISERROR('Model inputs'!K32&gt;='Model inputs'!B211),'Model inputs'!K32&gt;='Model inputs'!B211,IF(OR('Model inputs'!K32="",'Model inputs'!B211=""),"",'Model inputs'!K32&gt;='Model inputs'!B211))</f>
      </c>
    </row>
    <row r="1078">
      <c r="A1078" t="inlineStr" s="16">
        <is>
          <t xml:space="preserve">Calculation</t>
        </is>
      </c>
      <c r="B1078">
        <f>IF(ISERROR('Model inputs'!L32&gt;='Model inputs'!B211),'Model inputs'!L32&gt;='Model inputs'!B211,IF(OR('Model inputs'!L32="",'Model inputs'!B211=""),"",'Model inputs'!L32&gt;='Model inputs'!B211))</f>
      </c>
    </row>
    <row r="1079">
      <c r="A1079" t="inlineStr" s="16">
        <is>
          <t xml:space="preserve">Calculation</t>
        </is>
      </c>
      <c r="B1079">
        <f>IF(ISERROR('Model inputs'!M32&gt;='Model inputs'!B211),'Model inputs'!M32&gt;='Model inputs'!B211,IF(OR('Model inputs'!M32="",'Model inputs'!B211=""),"",'Model inputs'!M32&gt;='Model inputs'!B211))</f>
      </c>
    </row>
    <row r="1080">
      <c r="A1080" t="inlineStr" s="16">
        <is>
          <t xml:space="preserve">Calculation</t>
        </is>
      </c>
      <c r="B1080">
        <f>IF(ISERROR('Model inputs'!N32&gt;='Model inputs'!B211),'Model inputs'!N32&gt;='Model inputs'!B211,IF(OR('Model inputs'!N32="",'Model inputs'!B211=""),"",'Model inputs'!N32&gt;='Model inputs'!B211))</f>
      </c>
    </row>
    <row r="1081">
      <c r="A1081" t="inlineStr" s="16">
        <is>
          <t xml:space="preserve">Calculation</t>
        </is>
      </c>
      <c r="B1081">
        <f>IF(ISERROR('Model inputs'!O32&gt;='Model inputs'!B211),'Model inputs'!O32&gt;='Model inputs'!B211,IF(OR('Model inputs'!O32="",'Model inputs'!B211=""),"",'Model inputs'!O32&gt;='Model inputs'!B211))</f>
      </c>
    </row>
    <row r="1082">
      <c r="A1082" t="inlineStr" s="16">
        <is>
          <t xml:space="preserve">Calculation</t>
        </is>
      </c>
      <c r="B1082">
        <f>IF(ISERROR('Model inputs'!P32&gt;='Model inputs'!B211),'Model inputs'!P32&gt;='Model inputs'!B211,IF(OR('Model inputs'!P32="",'Model inputs'!B211=""),"",'Model inputs'!P32&gt;='Model inputs'!B211))</f>
      </c>
    </row>
    <row r="1083">
      <c r="A1083" t="inlineStr" s="16">
        <is>
          <t xml:space="preserve">Calculation</t>
        </is>
      </c>
      <c r="B1083">
        <f>IF(ISERROR('Model inputs'!Q32&gt;='Model inputs'!B211),'Model inputs'!Q32&gt;='Model inputs'!B211,IF(OR('Model inputs'!Q32="",'Model inputs'!B211=""),"",'Model inputs'!Q32&gt;='Model inputs'!B211))</f>
      </c>
    </row>
    <row r="1084">
      <c r="A1084" t="inlineStr" s="16">
        <is>
          <t xml:space="preserve">Calculation</t>
        </is>
      </c>
      <c r="B1084">
        <f>IF(ISERROR('Model inputs'!R32&gt;='Model inputs'!B211),'Model inputs'!R32&gt;='Model inputs'!B211,IF(OR('Model inputs'!R32="",'Model inputs'!B211=""),"",'Model inputs'!R32&gt;='Model inputs'!B211))</f>
      </c>
    </row>
    <row r="1085">
      <c r="A1085" t="inlineStr" s="16">
        <is>
          <t xml:space="preserve">Calculation</t>
        </is>
      </c>
      <c r="B1085">
        <f>IF(ISERROR('Model inputs'!S32&gt;='Model inputs'!B211),'Model inputs'!S32&gt;='Model inputs'!B211,IF(OR('Model inputs'!S32="",'Model inputs'!B211=""),"",'Model inputs'!S32&gt;='Model inputs'!B211))</f>
      </c>
    </row>
    <row r="1086">
      <c r="A1086" t="inlineStr" s="16">
        <is>
          <t xml:space="preserve">Calculation</t>
        </is>
      </c>
      <c r="B1086">
        <f>IF(ISERROR('Model inputs'!T32&gt;='Model inputs'!B211),'Model inputs'!T32&gt;='Model inputs'!B211,IF(OR('Model inputs'!T32="",'Model inputs'!B211=""),"",'Model inputs'!T32&gt;='Model inputs'!B211))</f>
      </c>
    </row>
    <row r="1087">
      <c r="A1087" t="inlineStr" s="16">
        <is>
          <t xml:space="preserve">Calculation</t>
        </is>
      </c>
      <c r="B1087">
        <f>IF(ISERROR('Model inputs'!U32&gt;='Model inputs'!B211),'Model inputs'!U32&gt;='Model inputs'!B211,IF(OR('Model inputs'!U32="",'Model inputs'!B211=""),"",'Model inputs'!U32&gt;='Model inputs'!B211))</f>
      </c>
    </row>
    <row r="1088">
      <c r="A1088" t="inlineStr" s="16">
        <is>
          <t xml:space="preserve">Calculation</t>
        </is>
      </c>
      <c r="B1088">
        <f>IF(ISERROR('Model inputs'!V32&gt;='Model inputs'!B211),'Model inputs'!V32&gt;='Model inputs'!B211,IF(OR('Model inputs'!V32="",'Model inputs'!B211=""),"",'Model inputs'!V32&gt;='Model inputs'!B211))</f>
      </c>
    </row>
    <row r="1089">
      <c r="A1089" t="inlineStr" s="16">
        <is>
          <t xml:space="preserve">Calculation</t>
        </is>
      </c>
      <c r="B1089">
        <f>IF(ISERROR('Model inputs'!W230='Model inputs'!B7),'Model inputs'!W230='Model inputs'!B7,IF(OR('Model inputs'!W230="",'Model inputs'!B7=""),"",'Model inputs'!W230='Model inputs'!B7))</f>
      </c>
    </row>
    <row r="1090">
      <c r="A1090" t="inlineStr" s="16">
        <is>
          <t xml:space="preserve">Calculation</t>
        </is>
      </c>
      <c r="B1090">
        <f>IF(ISERROR('Model inputs'!W216&gt;'Model inputs'!B66),'Model inputs'!W216&gt;'Model inputs'!B66,IF(OR('Model inputs'!W216="",'Model inputs'!B66=""),"",'Model inputs'!W216&gt;'Model inputs'!B66))</f>
      </c>
    </row>
    <row r="1091">
      <c r="A1091" t="inlineStr" s="16">
        <is>
          <t xml:space="preserve">Calculation</t>
        </is>
      </c>
      <c r="B1091">
        <f>IF(ISERROR('Model inputs'!X230='Model inputs'!B7),'Model inputs'!X230='Model inputs'!B7,IF(OR('Model inputs'!X230="",'Model inputs'!B7=""),"",'Model inputs'!X230='Model inputs'!B7))</f>
      </c>
    </row>
    <row r="1092">
      <c r="A1092" t="inlineStr" s="16">
        <is>
          <t xml:space="preserve">Calculation</t>
        </is>
      </c>
      <c r="B1092">
        <f>IF(ISERROR('Model inputs'!X216&gt;'Model inputs'!B66),'Model inputs'!X216&gt;'Model inputs'!B66,IF(OR('Model inputs'!X216="",'Model inputs'!B66=""),"",'Model inputs'!X216&gt;'Model inputs'!B66))</f>
      </c>
    </row>
    <row r="1093">
      <c r="A1093" t="inlineStr" s="16">
        <is>
          <t xml:space="preserve">Calculation</t>
        </is>
      </c>
      <c r="B1093">
        <f>IF(ISERROR('Model inputs'!Y230='Model inputs'!B7),'Model inputs'!Y230='Model inputs'!B7,IF(OR('Model inputs'!Y230="",'Model inputs'!B7=""),"",'Model inputs'!Y230='Model inputs'!B7))</f>
      </c>
    </row>
    <row r="1094">
      <c r="A1094" t="inlineStr" s="16">
        <is>
          <t xml:space="preserve">Calculation</t>
        </is>
      </c>
      <c r="B1094">
        <f>IF(ISERROR('Model inputs'!Y216&gt;'Model inputs'!B66),'Model inputs'!Y216&gt;'Model inputs'!B66,IF(OR('Model inputs'!Y216="",'Model inputs'!B66=""),"",'Model inputs'!Y216&gt;'Model inputs'!B66))</f>
      </c>
    </row>
    <row r="1095">
      <c r="A1095" t="inlineStr" s="16">
        <is>
          <t xml:space="preserve">Calculation</t>
        </is>
      </c>
      <c r="B1095">
        <f>IF(ISERROR('Model inputs'!Z230='Model inputs'!B7),'Model inputs'!Z230='Model inputs'!B7,IF(OR('Model inputs'!Z230="",'Model inputs'!B7=""),"",'Model inputs'!Z230='Model inputs'!B7))</f>
      </c>
    </row>
    <row r="1096">
      <c r="A1096" t="inlineStr" s="16">
        <is>
          <t xml:space="preserve">Calculation</t>
        </is>
      </c>
      <c r="B1096">
        <f>IF(ISERROR('Model inputs'!Z216&gt;'Model inputs'!B66),'Model inputs'!Z216&gt;'Model inputs'!B66,IF(OR('Model inputs'!Z216="",'Model inputs'!B66=""),"",'Model inputs'!Z216&gt;'Model inputs'!B66))</f>
      </c>
    </row>
    <row r="1097">
      <c r="A1097" t="inlineStr" s="16">
        <is>
          <t xml:space="preserve">Calculation</t>
        </is>
      </c>
      <c r="B1097">
        <f>IF(ISERROR('Model inputs'!AA230='Model inputs'!B7),'Model inputs'!AA230='Model inputs'!B7,IF(OR('Model inputs'!AA230="",'Model inputs'!B7=""),"",'Model inputs'!AA230='Model inputs'!B7))</f>
      </c>
    </row>
    <row r="1098">
      <c r="A1098" t="inlineStr" s="16">
        <is>
          <t xml:space="preserve">Calculation</t>
        </is>
      </c>
      <c r="B1098">
        <f>IF(ISERROR('Model inputs'!AA216&gt;'Model inputs'!B66),'Model inputs'!AA216&gt;'Model inputs'!B66,IF(OR('Model inputs'!AA216="",'Model inputs'!B66=""),"",'Model inputs'!AA216&gt;'Model inputs'!B66))</f>
      </c>
    </row>
    <row r="1099">
      <c r="A1099" t="inlineStr" s="16">
        <is>
          <t xml:space="preserve">Calculation</t>
        </is>
      </c>
      <c r="B1099">
        <f>IF(ISERROR('Model inputs'!AB230='Model inputs'!B7),'Model inputs'!AB230='Model inputs'!B7,IF(OR('Model inputs'!AB230="",'Model inputs'!B7=""),"",'Model inputs'!AB230='Model inputs'!B7))</f>
      </c>
    </row>
    <row r="1100">
      <c r="A1100" t="inlineStr" s="16">
        <is>
          <t xml:space="preserve">Calculation</t>
        </is>
      </c>
      <c r="B1100">
        <f>IF(ISERROR('Model inputs'!AB216&gt;'Model inputs'!B66),'Model inputs'!AB216&gt;'Model inputs'!B66,IF(OR('Model inputs'!AB216="",'Model inputs'!B66=""),"",'Model inputs'!AB216&gt;'Model inputs'!B66))</f>
      </c>
    </row>
    <row r="1101">
      <c r="A1101" t="inlineStr" s="16">
        <is>
          <t xml:space="preserve">Calculation</t>
        </is>
      </c>
      <c r="B1101">
        <f>IF(ISERROR('Model inputs'!AC230='Model inputs'!B7),'Model inputs'!AC230='Model inputs'!B7,IF(OR('Model inputs'!AC230="",'Model inputs'!B7=""),"",'Model inputs'!AC230='Model inputs'!B7))</f>
      </c>
    </row>
    <row r="1102">
      <c r="A1102" t="inlineStr" s="16">
        <is>
          <t xml:space="preserve">Calculation</t>
        </is>
      </c>
      <c r="B1102">
        <f>IF(ISERROR('Model inputs'!AC216&gt;'Model inputs'!B66),'Model inputs'!AC216&gt;'Model inputs'!B66,IF(OR('Model inputs'!AC216="",'Model inputs'!B66=""),"",'Model inputs'!AC216&gt;'Model inputs'!B66))</f>
      </c>
    </row>
    <row r="1103">
      <c r="A1103" t="inlineStr" s="16">
        <is>
          <t xml:space="preserve">Calculation</t>
        </is>
      </c>
      <c r="B1103">
        <f>IF(ISERROR('Model inputs'!AD230='Model inputs'!B7),'Model inputs'!AD230='Model inputs'!B7,IF(OR('Model inputs'!AD230="",'Model inputs'!B7=""),"",'Model inputs'!AD230='Model inputs'!B7))</f>
      </c>
    </row>
    <row r="1104">
      <c r="A1104" t="inlineStr" s="16">
        <is>
          <t xml:space="preserve">Calculation</t>
        </is>
      </c>
      <c r="B1104">
        <f>IF(ISERROR('Model inputs'!AD216&gt;'Model inputs'!B66),'Model inputs'!AD216&gt;'Model inputs'!B66,IF(OR('Model inputs'!AD216="",'Model inputs'!B66=""),"",'Model inputs'!AD216&gt;'Model inputs'!B66))</f>
      </c>
    </row>
    <row r="1105">
      <c r="A1105" t="inlineStr" s="16">
        <is>
          <t xml:space="preserve">Calculation</t>
        </is>
      </c>
      <c r="B1105">
        <f>IF(ISERROR('Model inputs'!AE230='Model inputs'!B7),'Model inputs'!AE230='Model inputs'!B7,IF(OR('Model inputs'!AE230="",'Model inputs'!B7=""),"",'Model inputs'!AE230='Model inputs'!B7))</f>
      </c>
    </row>
    <row r="1106">
      <c r="A1106" t="inlineStr" s="16">
        <is>
          <t xml:space="preserve">Calculation</t>
        </is>
      </c>
      <c r="B1106">
        <f>IF(ISERROR('Model inputs'!AE216&gt;'Model inputs'!B66),'Model inputs'!AE216&gt;'Model inputs'!B66,IF(OR('Model inputs'!AE216="",'Model inputs'!B66=""),"",'Model inputs'!AE216&gt;'Model inputs'!B66))</f>
      </c>
    </row>
    <row r="1107">
      <c r="A1107" t="inlineStr" s="16">
        <is>
          <t xml:space="preserve">Calculation</t>
        </is>
      </c>
      <c r="B1107">
        <f>IF(ISERROR('Model inputs'!AF230='Model inputs'!B7),'Model inputs'!AF230='Model inputs'!B7,IF(OR('Model inputs'!AF230="",'Model inputs'!B7=""),"",'Model inputs'!AF230='Model inputs'!B7))</f>
      </c>
    </row>
    <row r="1108">
      <c r="A1108" t="inlineStr" s="16">
        <is>
          <t xml:space="preserve">Calculation</t>
        </is>
      </c>
      <c r="B1108">
        <f>IF(ISERROR('Model inputs'!AF216&gt;'Model inputs'!B66),'Model inputs'!AF216&gt;'Model inputs'!B66,IF(OR('Model inputs'!AF216="",'Model inputs'!B66=""),"",'Model inputs'!AF216&gt;'Model inputs'!B66))</f>
      </c>
    </row>
    <row r="1109">
      <c r="A1109" t="inlineStr" s="16">
        <is>
          <t xml:space="preserve">Calculation</t>
        </is>
      </c>
      <c r="B1109">
        <f>IF(ISERROR('Model inputs'!AG230='Model inputs'!B7),'Model inputs'!AG230='Model inputs'!B7,IF(OR('Model inputs'!AG230="",'Model inputs'!B7=""),"",'Model inputs'!AG230='Model inputs'!B7))</f>
      </c>
    </row>
    <row r="1110">
      <c r="A1110" t="inlineStr" s="16">
        <is>
          <t xml:space="preserve">Calculation</t>
        </is>
      </c>
      <c r="B1110">
        <f>IF(ISERROR('Model inputs'!AG216&gt;'Model inputs'!B66),'Model inputs'!AG216&gt;'Model inputs'!B66,IF(OR('Model inputs'!AG216="",'Model inputs'!B66=""),"",'Model inputs'!AG216&gt;'Model inputs'!B66))</f>
      </c>
    </row>
    <row r="1111">
      <c r="A1111" t="inlineStr" s="16">
        <is>
          <t xml:space="preserve">Calculation</t>
        </is>
      </c>
      <c r="B1111">
        <f>IF(ISERROR('Model inputs'!W230&gt;='Model inputs'!B153),'Model inputs'!W230&gt;='Model inputs'!B153,IF(OR('Model inputs'!W230="",'Model inputs'!B153=""),"",'Model inputs'!W230&gt;='Model inputs'!B153))</f>
      </c>
    </row>
    <row r="1112">
      <c r="A1112" t="inlineStr" s="16">
        <is>
          <t xml:space="preserve">Calculation</t>
        </is>
      </c>
      <c r="B1112">
        <f>IF(ISERROR('Model inputs'!X230&gt;='Model inputs'!B153),'Model inputs'!X230&gt;='Model inputs'!B153,IF(OR('Model inputs'!X230="",'Model inputs'!B153=""),"",'Model inputs'!X230&gt;='Model inputs'!B153))</f>
      </c>
    </row>
    <row r="1113">
      <c r="A1113" t="inlineStr" s="16">
        <is>
          <t xml:space="preserve">Calculation</t>
        </is>
      </c>
      <c r="B1113">
        <f>IF(ISERROR('Model inputs'!Y230&gt;='Model inputs'!B153),'Model inputs'!Y230&gt;='Model inputs'!B153,IF(OR('Model inputs'!Y230="",'Model inputs'!B153=""),"",'Model inputs'!Y230&gt;='Model inputs'!B153))</f>
      </c>
    </row>
    <row r="1114">
      <c r="A1114" t="inlineStr" s="16">
        <is>
          <t xml:space="preserve">Calculation</t>
        </is>
      </c>
      <c r="B1114">
        <f>IF(ISERROR('Model inputs'!Z230&gt;='Model inputs'!B153),'Model inputs'!Z230&gt;='Model inputs'!B153,IF(OR('Model inputs'!Z230="",'Model inputs'!B153=""),"",'Model inputs'!Z230&gt;='Model inputs'!B153))</f>
      </c>
    </row>
    <row r="1115">
      <c r="A1115" t="inlineStr" s="16">
        <is>
          <t xml:space="preserve">Calculation</t>
        </is>
      </c>
      <c r="B1115">
        <f>IF(ISERROR('Model inputs'!AA230&gt;='Model inputs'!B153),'Model inputs'!AA230&gt;='Model inputs'!B153,IF(OR('Model inputs'!AA230="",'Model inputs'!B153=""),"",'Model inputs'!AA230&gt;='Model inputs'!B153))</f>
      </c>
    </row>
    <row r="1116">
      <c r="A1116" t="inlineStr" s="16">
        <is>
          <t xml:space="preserve">Calculation</t>
        </is>
      </c>
      <c r="B1116">
        <f>IF(ISERROR('Model inputs'!AB230&gt;='Model inputs'!B153),'Model inputs'!AB230&gt;='Model inputs'!B153,IF(OR('Model inputs'!AB230="",'Model inputs'!B153=""),"",'Model inputs'!AB230&gt;='Model inputs'!B153))</f>
      </c>
    </row>
    <row r="1117">
      <c r="A1117" t="inlineStr" s="16">
        <is>
          <t xml:space="preserve">Calculation</t>
        </is>
      </c>
      <c r="B1117">
        <f>IF(ISERROR('Model inputs'!AC230&gt;='Model inputs'!B153),'Model inputs'!AC230&gt;='Model inputs'!B153,IF(OR('Model inputs'!AC230="",'Model inputs'!B153=""),"",'Model inputs'!AC230&gt;='Model inputs'!B153))</f>
      </c>
    </row>
    <row r="1118">
      <c r="A1118" t="inlineStr" s="16">
        <is>
          <t xml:space="preserve">Calculation</t>
        </is>
      </c>
      <c r="B1118">
        <f>IF(ISERROR('Model inputs'!AD230&gt;='Model inputs'!B153),'Model inputs'!AD230&gt;='Model inputs'!B153,IF(OR('Model inputs'!AD230="",'Model inputs'!B153=""),"",'Model inputs'!AD230&gt;='Model inputs'!B153))</f>
      </c>
    </row>
    <row r="1119">
      <c r="A1119" t="inlineStr" s="16">
        <is>
          <t xml:space="preserve">Calculation</t>
        </is>
      </c>
      <c r="B1119">
        <f>IF(ISERROR('Model inputs'!AE230&gt;='Model inputs'!B153),'Model inputs'!AE230&gt;='Model inputs'!B153,IF(OR('Model inputs'!AE230="",'Model inputs'!B153=""),"",'Model inputs'!AE230&gt;='Model inputs'!B153))</f>
      </c>
    </row>
    <row r="1120">
      <c r="A1120" t="inlineStr" s="16">
        <is>
          <t xml:space="preserve">Calculation</t>
        </is>
      </c>
      <c r="B1120">
        <f>IF(ISERROR('Model inputs'!AF230&gt;='Model inputs'!B153),'Model inputs'!AF230&gt;='Model inputs'!B153,IF(OR('Model inputs'!AF230="",'Model inputs'!B153=""),"",'Model inputs'!AF230&gt;='Model inputs'!B153))</f>
      </c>
    </row>
    <row r="1121">
      <c r="A1121" t="inlineStr" s="16">
        <is>
          <t xml:space="preserve">Calculation</t>
        </is>
      </c>
      <c r="B1121">
        <f>IF(ISERROR('Model inputs'!AG230&gt;='Model inputs'!B153),'Model inputs'!AG230&gt;='Model inputs'!B153,IF(OR('Model inputs'!AG230="",'Model inputs'!B153=""),"",'Model inputs'!AG230&gt;='Model inputs'!B153))</f>
      </c>
    </row>
    <row r="1122">
      <c r="A1122" t="inlineStr" s="16">
        <is>
          <t xml:space="preserve">Calculation</t>
        </is>
      </c>
      <c r="B1122">
        <f>IF(ISERROR('Model inputs'!W230&gt;='Model inputs'!B154),'Model inputs'!W230&gt;='Model inputs'!B154,IF(OR('Model inputs'!W230="",'Model inputs'!B154=""),"",'Model inputs'!W230&gt;='Model inputs'!B154))</f>
      </c>
    </row>
    <row r="1123">
      <c r="A1123" t="inlineStr" s="16">
        <is>
          <t xml:space="preserve">Calculation</t>
        </is>
      </c>
      <c r="B1123">
        <f>IF(ISERROR('Model inputs'!X230&gt;='Model inputs'!B154),'Model inputs'!X230&gt;='Model inputs'!B154,IF(OR('Model inputs'!X230="",'Model inputs'!B154=""),"",'Model inputs'!X230&gt;='Model inputs'!B154))</f>
      </c>
    </row>
    <row r="1124">
      <c r="A1124" t="inlineStr" s="16">
        <is>
          <t xml:space="preserve">Calculation</t>
        </is>
      </c>
      <c r="B1124">
        <f>IF(ISERROR('Model inputs'!Y230&gt;='Model inputs'!B154),'Model inputs'!Y230&gt;='Model inputs'!B154,IF(OR('Model inputs'!Y230="",'Model inputs'!B154=""),"",'Model inputs'!Y230&gt;='Model inputs'!B154))</f>
      </c>
    </row>
    <row r="1125">
      <c r="A1125" t="inlineStr" s="16">
        <is>
          <t xml:space="preserve">Calculation</t>
        </is>
      </c>
      <c r="B1125">
        <f>IF(ISERROR('Model inputs'!Z230&gt;='Model inputs'!B154),'Model inputs'!Z230&gt;='Model inputs'!B154,IF(OR('Model inputs'!Z230="",'Model inputs'!B154=""),"",'Model inputs'!Z230&gt;='Model inputs'!B154))</f>
      </c>
    </row>
    <row r="1126">
      <c r="A1126" t="inlineStr" s="16">
        <is>
          <t xml:space="preserve">Calculation</t>
        </is>
      </c>
      <c r="B1126">
        <f>IF(ISERROR('Model inputs'!AA230&gt;='Model inputs'!B154),'Model inputs'!AA230&gt;='Model inputs'!B154,IF(OR('Model inputs'!AA230="",'Model inputs'!B154=""),"",'Model inputs'!AA230&gt;='Model inputs'!B154))</f>
      </c>
    </row>
    <row r="1127">
      <c r="A1127" t="inlineStr" s="16">
        <is>
          <t xml:space="preserve">Calculation</t>
        </is>
      </c>
      <c r="B1127">
        <f>IF(ISERROR('Model inputs'!AB230&gt;='Model inputs'!B154),'Model inputs'!AB230&gt;='Model inputs'!B154,IF(OR('Model inputs'!AB230="",'Model inputs'!B154=""),"",'Model inputs'!AB230&gt;='Model inputs'!B154))</f>
      </c>
    </row>
    <row r="1128">
      <c r="A1128" t="inlineStr" s="16">
        <is>
          <t xml:space="preserve">Calculation</t>
        </is>
      </c>
      <c r="B1128">
        <f>IF(ISERROR('Model inputs'!AC230&gt;='Model inputs'!B154),'Model inputs'!AC230&gt;='Model inputs'!B154,IF(OR('Model inputs'!AC230="",'Model inputs'!B154=""),"",'Model inputs'!AC230&gt;='Model inputs'!B154))</f>
      </c>
    </row>
    <row r="1129">
      <c r="A1129" t="inlineStr" s="16">
        <is>
          <t xml:space="preserve">Calculation</t>
        </is>
      </c>
      <c r="B1129">
        <f>IF(ISERROR('Model inputs'!AD230&gt;='Model inputs'!B154),'Model inputs'!AD230&gt;='Model inputs'!B154,IF(OR('Model inputs'!AD230="",'Model inputs'!B154=""),"",'Model inputs'!AD230&gt;='Model inputs'!B154))</f>
      </c>
    </row>
    <row r="1130">
      <c r="A1130" t="inlineStr" s="16">
        <is>
          <t xml:space="preserve">Calculation</t>
        </is>
      </c>
      <c r="B1130">
        <f>IF(ISERROR('Model inputs'!AE230&gt;='Model inputs'!B154),'Model inputs'!AE230&gt;='Model inputs'!B154,IF(OR('Model inputs'!AE230="",'Model inputs'!B154=""),"",'Model inputs'!AE230&gt;='Model inputs'!B154))</f>
      </c>
    </row>
    <row r="1131">
      <c r="A1131" t="inlineStr" s="16">
        <is>
          <t xml:space="preserve">Calculation</t>
        </is>
      </c>
      <c r="B1131">
        <f>IF(ISERROR('Model inputs'!AF230&gt;='Model inputs'!B154),'Model inputs'!AF230&gt;='Model inputs'!B154,IF(OR('Model inputs'!AF230="",'Model inputs'!B154=""),"",'Model inputs'!AF230&gt;='Model inputs'!B154))</f>
      </c>
    </row>
    <row r="1132">
      <c r="A1132" t="inlineStr" s="16">
        <is>
          <t xml:space="preserve">Calculation</t>
        </is>
      </c>
      <c r="B1132">
        <f>IF(ISERROR('Model inputs'!AG230&gt;='Model inputs'!B154),'Model inputs'!AG230&gt;='Model inputs'!B154,IF(OR('Model inputs'!AG230="",'Model inputs'!B154=""),"",'Model inputs'!AG230&gt;='Model inputs'!B154))</f>
      </c>
    </row>
    <row r="1133">
      <c r="A1133" t="inlineStr" s="16">
        <is>
          <t xml:space="preserve">Calculation</t>
        </is>
      </c>
      <c r="B1133">
        <f>IF(ISERROR('Model inputs'!W230&gt;='Model inputs'!B155),'Model inputs'!W230&gt;='Model inputs'!B155,IF(OR('Model inputs'!W230="",'Model inputs'!B155=""),"",'Model inputs'!W230&gt;='Model inputs'!B155))</f>
      </c>
    </row>
    <row r="1134">
      <c r="A1134" t="inlineStr" s="16">
        <is>
          <t xml:space="preserve">Calculation</t>
        </is>
      </c>
      <c r="B1134">
        <f>IF(ISERROR('Model inputs'!X230&gt;='Model inputs'!B155),'Model inputs'!X230&gt;='Model inputs'!B155,IF(OR('Model inputs'!X230="",'Model inputs'!B155=""),"",'Model inputs'!X230&gt;='Model inputs'!B155))</f>
      </c>
    </row>
    <row r="1135">
      <c r="A1135" t="inlineStr" s="16">
        <is>
          <t xml:space="preserve">Calculation</t>
        </is>
      </c>
      <c r="B1135">
        <f>IF(ISERROR('Model inputs'!Y230&gt;='Model inputs'!B155),'Model inputs'!Y230&gt;='Model inputs'!B155,IF(OR('Model inputs'!Y230="",'Model inputs'!B155=""),"",'Model inputs'!Y230&gt;='Model inputs'!B155))</f>
      </c>
    </row>
    <row r="1136">
      <c r="A1136" t="inlineStr" s="16">
        <is>
          <t xml:space="preserve">Calculation</t>
        </is>
      </c>
      <c r="B1136">
        <f>IF(ISERROR('Model inputs'!Z230&gt;='Model inputs'!B155),'Model inputs'!Z230&gt;='Model inputs'!B155,IF(OR('Model inputs'!Z230="",'Model inputs'!B155=""),"",'Model inputs'!Z230&gt;='Model inputs'!B155))</f>
      </c>
    </row>
    <row r="1137">
      <c r="A1137" t="inlineStr" s="16">
        <is>
          <t xml:space="preserve">Calculation</t>
        </is>
      </c>
      <c r="B1137">
        <f>IF(ISERROR('Model inputs'!AA230&gt;='Model inputs'!B155),'Model inputs'!AA230&gt;='Model inputs'!B155,IF(OR('Model inputs'!AA230="",'Model inputs'!B155=""),"",'Model inputs'!AA230&gt;='Model inputs'!B155))</f>
      </c>
    </row>
    <row r="1138">
      <c r="A1138" t="inlineStr" s="16">
        <is>
          <t xml:space="preserve">Calculation</t>
        </is>
      </c>
      <c r="B1138">
        <f>IF(ISERROR('Model inputs'!AB230&gt;='Model inputs'!B155),'Model inputs'!AB230&gt;='Model inputs'!B155,IF(OR('Model inputs'!AB230="",'Model inputs'!B155=""),"",'Model inputs'!AB230&gt;='Model inputs'!B155))</f>
      </c>
    </row>
    <row r="1139">
      <c r="A1139" t="inlineStr" s="16">
        <is>
          <t xml:space="preserve">Calculation</t>
        </is>
      </c>
      <c r="B1139">
        <f>IF(ISERROR('Model inputs'!AC230&gt;='Model inputs'!B155),'Model inputs'!AC230&gt;='Model inputs'!B155,IF(OR('Model inputs'!AC230="",'Model inputs'!B155=""),"",'Model inputs'!AC230&gt;='Model inputs'!B155))</f>
      </c>
    </row>
    <row r="1140">
      <c r="A1140" t="inlineStr" s="16">
        <is>
          <t xml:space="preserve">Calculation</t>
        </is>
      </c>
      <c r="B1140">
        <f>IF(ISERROR('Model inputs'!AD230&gt;='Model inputs'!B155),'Model inputs'!AD230&gt;='Model inputs'!B155,IF(OR('Model inputs'!AD230="",'Model inputs'!B155=""),"",'Model inputs'!AD230&gt;='Model inputs'!B155))</f>
      </c>
    </row>
    <row r="1141">
      <c r="A1141" t="inlineStr" s="16">
        <is>
          <t xml:space="preserve">Calculation</t>
        </is>
      </c>
      <c r="B1141">
        <f>IF(ISERROR('Model inputs'!AE230&gt;='Model inputs'!B155),'Model inputs'!AE230&gt;='Model inputs'!B155,IF(OR('Model inputs'!AE230="",'Model inputs'!B155=""),"",'Model inputs'!AE230&gt;='Model inputs'!B155))</f>
      </c>
    </row>
    <row r="1142">
      <c r="A1142" t="inlineStr" s="16">
        <is>
          <t xml:space="preserve">Calculation</t>
        </is>
      </c>
      <c r="B1142">
        <f>IF(ISERROR('Model inputs'!AF230&gt;='Model inputs'!B155),'Model inputs'!AF230&gt;='Model inputs'!B155,IF(OR('Model inputs'!AF230="",'Model inputs'!B155=""),"",'Model inputs'!AF230&gt;='Model inputs'!B155))</f>
      </c>
    </row>
    <row r="1143">
      <c r="A1143" t="inlineStr" s="16">
        <is>
          <t xml:space="preserve">Calculation</t>
        </is>
      </c>
      <c r="B1143">
        <f>IF(ISERROR('Model inputs'!AG230&gt;='Model inputs'!B155),'Model inputs'!AG230&gt;='Model inputs'!B155,IF(OR('Model inputs'!AG230="",'Model inputs'!B155=""),"",'Model inputs'!AG230&gt;='Model inputs'!B155))</f>
      </c>
    </row>
    <row r="1144">
      <c r="A1144" t="inlineStr" s="16">
        <is>
          <t xml:space="preserve">Calculation</t>
        </is>
      </c>
      <c r="B1144">
        <f>IF(ISERROR('Model inputs'!W230&gt;='Model inputs'!B156),'Model inputs'!W230&gt;='Model inputs'!B156,IF(OR('Model inputs'!W230="",'Model inputs'!B156=""),"",'Model inputs'!W230&gt;='Model inputs'!B156))</f>
      </c>
    </row>
    <row r="1145">
      <c r="A1145" t="inlineStr" s="16">
        <is>
          <t xml:space="preserve">Calculation</t>
        </is>
      </c>
      <c r="B1145">
        <f>IF(ISERROR('Model inputs'!X230&gt;='Model inputs'!B156),'Model inputs'!X230&gt;='Model inputs'!B156,IF(OR('Model inputs'!X230="",'Model inputs'!B156=""),"",'Model inputs'!X230&gt;='Model inputs'!B156))</f>
      </c>
    </row>
    <row r="1146">
      <c r="A1146" t="inlineStr" s="16">
        <is>
          <t xml:space="preserve">Calculation</t>
        </is>
      </c>
      <c r="B1146">
        <f>IF(ISERROR('Model inputs'!Y230&gt;='Model inputs'!B156),'Model inputs'!Y230&gt;='Model inputs'!B156,IF(OR('Model inputs'!Y230="",'Model inputs'!B156=""),"",'Model inputs'!Y230&gt;='Model inputs'!B156))</f>
      </c>
    </row>
    <row r="1147">
      <c r="A1147" t="inlineStr" s="16">
        <is>
          <t xml:space="preserve">Calculation</t>
        </is>
      </c>
      <c r="B1147">
        <f>IF(ISERROR('Model inputs'!Z230&gt;='Model inputs'!B156),'Model inputs'!Z230&gt;='Model inputs'!B156,IF(OR('Model inputs'!Z230="",'Model inputs'!B156=""),"",'Model inputs'!Z230&gt;='Model inputs'!B156))</f>
      </c>
    </row>
    <row r="1148">
      <c r="A1148" t="inlineStr" s="16">
        <is>
          <t xml:space="preserve">Calculation</t>
        </is>
      </c>
      <c r="B1148">
        <f>IF(ISERROR('Model inputs'!AA230&gt;='Model inputs'!B156),'Model inputs'!AA230&gt;='Model inputs'!B156,IF(OR('Model inputs'!AA230="",'Model inputs'!B156=""),"",'Model inputs'!AA230&gt;='Model inputs'!B156))</f>
      </c>
    </row>
    <row r="1149">
      <c r="A1149" t="inlineStr" s="16">
        <is>
          <t xml:space="preserve">Calculation</t>
        </is>
      </c>
      <c r="B1149">
        <f>IF(ISERROR('Model inputs'!AB230&gt;='Model inputs'!B156),'Model inputs'!AB230&gt;='Model inputs'!B156,IF(OR('Model inputs'!AB230="",'Model inputs'!B156=""),"",'Model inputs'!AB230&gt;='Model inputs'!B156))</f>
      </c>
    </row>
    <row r="1150">
      <c r="A1150" t="inlineStr" s="16">
        <is>
          <t xml:space="preserve">Calculation</t>
        </is>
      </c>
      <c r="B1150">
        <f>IF(ISERROR('Model inputs'!AC230&gt;='Model inputs'!B156),'Model inputs'!AC230&gt;='Model inputs'!B156,IF(OR('Model inputs'!AC230="",'Model inputs'!B156=""),"",'Model inputs'!AC230&gt;='Model inputs'!B156))</f>
      </c>
    </row>
    <row r="1151">
      <c r="A1151" t="inlineStr" s="16">
        <is>
          <t xml:space="preserve">Calculation</t>
        </is>
      </c>
      <c r="B1151">
        <f>IF(ISERROR('Model inputs'!AD230&gt;='Model inputs'!B156),'Model inputs'!AD230&gt;='Model inputs'!B156,IF(OR('Model inputs'!AD230="",'Model inputs'!B156=""),"",'Model inputs'!AD230&gt;='Model inputs'!B156))</f>
      </c>
    </row>
    <row r="1152">
      <c r="A1152" t="inlineStr" s="16">
        <is>
          <t xml:space="preserve">Calculation</t>
        </is>
      </c>
      <c r="B1152">
        <f>IF(ISERROR('Model inputs'!AE230&gt;='Model inputs'!B156),'Model inputs'!AE230&gt;='Model inputs'!B156,IF(OR('Model inputs'!AE230="",'Model inputs'!B156=""),"",'Model inputs'!AE230&gt;='Model inputs'!B156))</f>
      </c>
    </row>
    <row r="1153">
      <c r="A1153" t="inlineStr" s="16">
        <is>
          <t xml:space="preserve">Calculation</t>
        </is>
      </c>
      <c r="B1153">
        <f>IF(ISERROR('Model inputs'!AF230&gt;='Model inputs'!B156),'Model inputs'!AF230&gt;='Model inputs'!B156,IF(OR('Model inputs'!AF230="",'Model inputs'!B156=""),"",'Model inputs'!AF230&gt;='Model inputs'!B156))</f>
      </c>
    </row>
    <row r="1154">
      <c r="A1154" t="inlineStr" s="16">
        <is>
          <t xml:space="preserve">Calculation</t>
        </is>
      </c>
      <c r="B1154">
        <f>IF(ISERROR('Model inputs'!AG230&gt;='Model inputs'!B156),'Model inputs'!AG230&gt;='Model inputs'!B156,IF(OR('Model inputs'!AG230="",'Model inputs'!B156=""),"",'Model inputs'!AG230&gt;='Model inputs'!B156))</f>
      </c>
    </row>
    <row r="1155">
      <c r="A1155" t="inlineStr" s="16">
        <is>
          <t xml:space="preserve">Calculation</t>
        </is>
      </c>
      <c r="B1155">
        <f>IF(ISERROR('Model inputs'!W230&gt;='Model inputs'!B157),'Model inputs'!W230&gt;='Model inputs'!B157,IF(OR('Model inputs'!W230="",'Model inputs'!B157=""),"",'Model inputs'!W230&gt;='Model inputs'!B157))</f>
      </c>
    </row>
    <row r="1156">
      <c r="A1156" t="inlineStr" s="16">
        <is>
          <t xml:space="preserve">Calculation</t>
        </is>
      </c>
      <c r="B1156">
        <f>IF(ISERROR('Model inputs'!X230&gt;='Model inputs'!B157),'Model inputs'!X230&gt;='Model inputs'!B157,IF(OR('Model inputs'!X230="",'Model inputs'!B157=""),"",'Model inputs'!X230&gt;='Model inputs'!B157))</f>
      </c>
    </row>
    <row r="1157">
      <c r="A1157" t="inlineStr" s="16">
        <is>
          <t xml:space="preserve">Calculation</t>
        </is>
      </c>
      <c r="B1157">
        <f>IF(ISERROR('Model inputs'!Y230&gt;='Model inputs'!B157),'Model inputs'!Y230&gt;='Model inputs'!B157,IF(OR('Model inputs'!Y230="",'Model inputs'!B157=""),"",'Model inputs'!Y230&gt;='Model inputs'!B157))</f>
      </c>
    </row>
    <row r="1158">
      <c r="A1158" t="inlineStr" s="16">
        <is>
          <t xml:space="preserve">Calculation</t>
        </is>
      </c>
      <c r="B1158">
        <f>IF(ISERROR('Model inputs'!Z230&gt;='Model inputs'!B157),'Model inputs'!Z230&gt;='Model inputs'!B157,IF(OR('Model inputs'!Z230="",'Model inputs'!B157=""),"",'Model inputs'!Z230&gt;='Model inputs'!B157))</f>
      </c>
    </row>
    <row r="1159">
      <c r="A1159" t="inlineStr" s="16">
        <is>
          <t xml:space="preserve">Calculation</t>
        </is>
      </c>
      <c r="B1159">
        <f>IF(ISERROR('Model inputs'!AA230&gt;='Model inputs'!B157),'Model inputs'!AA230&gt;='Model inputs'!B157,IF(OR('Model inputs'!AA230="",'Model inputs'!B157=""),"",'Model inputs'!AA230&gt;='Model inputs'!B157))</f>
      </c>
    </row>
    <row r="1160">
      <c r="A1160" t="inlineStr" s="16">
        <is>
          <t xml:space="preserve">Calculation</t>
        </is>
      </c>
      <c r="B1160">
        <f>IF(ISERROR('Model inputs'!AB230&gt;='Model inputs'!B157),'Model inputs'!AB230&gt;='Model inputs'!B157,IF(OR('Model inputs'!AB230="",'Model inputs'!B157=""),"",'Model inputs'!AB230&gt;='Model inputs'!B157))</f>
      </c>
    </row>
    <row r="1161">
      <c r="A1161" t="inlineStr" s="16">
        <is>
          <t xml:space="preserve">Calculation</t>
        </is>
      </c>
      <c r="B1161">
        <f>IF(ISERROR('Model inputs'!AC230&gt;='Model inputs'!B157),'Model inputs'!AC230&gt;='Model inputs'!B157,IF(OR('Model inputs'!AC230="",'Model inputs'!B157=""),"",'Model inputs'!AC230&gt;='Model inputs'!B157))</f>
      </c>
    </row>
    <row r="1162">
      <c r="A1162" t="inlineStr" s="16">
        <is>
          <t xml:space="preserve">Calculation</t>
        </is>
      </c>
      <c r="B1162">
        <f>IF(ISERROR('Model inputs'!AD230&gt;='Model inputs'!B157),'Model inputs'!AD230&gt;='Model inputs'!B157,IF(OR('Model inputs'!AD230="",'Model inputs'!B157=""),"",'Model inputs'!AD230&gt;='Model inputs'!B157))</f>
      </c>
    </row>
    <row r="1163">
      <c r="A1163" t="inlineStr" s="16">
        <is>
          <t xml:space="preserve">Calculation</t>
        </is>
      </c>
      <c r="B1163">
        <f>IF(ISERROR('Model inputs'!AE230&gt;='Model inputs'!B157),'Model inputs'!AE230&gt;='Model inputs'!B157,IF(OR('Model inputs'!AE230="",'Model inputs'!B157=""),"",'Model inputs'!AE230&gt;='Model inputs'!B157))</f>
      </c>
    </row>
    <row r="1164">
      <c r="A1164" t="inlineStr" s="16">
        <is>
          <t xml:space="preserve">Calculation</t>
        </is>
      </c>
      <c r="B1164">
        <f>IF(ISERROR('Model inputs'!AF230&gt;='Model inputs'!B157),'Model inputs'!AF230&gt;='Model inputs'!B157,IF(OR('Model inputs'!AF230="",'Model inputs'!B157=""),"",'Model inputs'!AF230&gt;='Model inputs'!B157))</f>
      </c>
    </row>
    <row r="1165">
      <c r="A1165" t="inlineStr" s="16">
        <is>
          <t xml:space="preserve">Calculation</t>
        </is>
      </c>
      <c r="B1165">
        <f>IF(ISERROR('Model inputs'!AG230&gt;='Model inputs'!B157),'Model inputs'!AG230&gt;='Model inputs'!B157,IF(OR('Model inputs'!AG230="",'Model inputs'!B157=""),"",'Model inputs'!AG230&gt;='Model inputs'!B157))</f>
      </c>
    </row>
    <row r="1166">
      <c r="A1166" t="inlineStr" s="16">
        <is>
          <t xml:space="preserve">Calculation</t>
        </is>
      </c>
      <c r="B1166">
        <f>IF(ISERROR('Model inputs'!W230&gt;='Model inputs'!B158),'Model inputs'!W230&gt;='Model inputs'!B158,IF(OR('Model inputs'!W230="",'Model inputs'!B158=""),"",'Model inputs'!W230&gt;='Model inputs'!B158))</f>
      </c>
    </row>
    <row r="1167">
      <c r="A1167" t="inlineStr" s="16">
        <is>
          <t xml:space="preserve">Calculation</t>
        </is>
      </c>
      <c r="B1167">
        <f>IF(ISERROR('Model inputs'!X230&gt;='Model inputs'!B158),'Model inputs'!X230&gt;='Model inputs'!B158,IF(OR('Model inputs'!X230="",'Model inputs'!B158=""),"",'Model inputs'!X230&gt;='Model inputs'!B158))</f>
      </c>
    </row>
    <row r="1168">
      <c r="A1168" t="inlineStr" s="16">
        <is>
          <t xml:space="preserve">Calculation</t>
        </is>
      </c>
      <c r="B1168">
        <f>IF(ISERROR('Model inputs'!Y230&gt;='Model inputs'!B158),'Model inputs'!Y230&gt;='Model inputs'!B158,IF(OR('Model inputs'!Y230="",'Model inputs'!B158=""),"",'Model inputs'!Y230&gt;='Model inputs'!B158))</f>
      </c>
    </row>
    <row r="1169">
      <c r="A1169" t="inlineStr" s="16">
        <is>
          <t xml:space="preserve">Calculation</t>
        </is>
      </c>
      <c r="B1169">
        <f>IF(ISERROR('Model inputs'!Z230&gt;='Model inputs'!B158),'Model inputs'!Z230&gt;='Model inputs'!B158,IF(OR('Model inputs'!Z230="",'Model inputs'!B158=""),"",'Model inputs'!Z230&gt;='Model inputs'!B158))</f>
      </c>
    </row>
    <row r="1170">
      <c r="A1170" t="inlineStr" s="16">
        <is>
          <t xml:space="preserve">Calculation</t>
        </is>
      </c>
      <c r="B1170">
        <f>IF(ISERROR('Model inputs'!AA230&gt;='Model inputs'!B158),'Model inputs'!AA230&gt;='Model inputs'!B158,IF(OR('Model inputs'!AA230="",'Model inputs'!B158=""),"",'Model inputs'!AA230&gt;='Model inputs'!B158))</f>
      </c>
    </row>
    <row r="1171">
      <c r="A1171" t="inlineStr" s="16">
        <is>
          <t xml:space="preserve">Calculation</t>
        </is>
      </c>
      <c r="B1171">
        <f>IF(ISERROR('Model inputs'!AB230&gt;='Model inputs'!B158),'Model inputs'!AB230&gt;='Model inputs'!B158,IF(OR('Model inputs'!AB230="",'Model inputs'!B158=""),"",'Model inputs'!AB230&gt;='Model inputs'!B158))</f>
      </c>
    </row>
    <row r="1172">
      <c r="A1172" t="inlineStr" s="16">
        <is>
          <t xml:space="preserve">Calculation</t>
        </is>
      </c>
      <c r="B1172">
        <f>IF(ISERROR('Model inputs'!AC230&gt;='Model inputs'!B158),'Model inputs'!AC230&gt;='Model inputs'!B158,IF(OR('Model inputs'!AC230="",'Model inputs'!B158=""),"",'Model inputs'!AC230&gt;='Model inputs'!B158))</f>
      </c>
    </row>
    <row r="1173">
      <c r="A1173" t="inlineStr" s="16">
        <is>
          <t xml:space="preserve">Calculation</t>
        </is>
      </c>
      <c r="B1173">
        <f>IF(ISERROR('Model inputs'!AD230&gt;='Model inputs'!B158),'Model inputs'!AD230&gt;='Model inputs'!B158,IF(OR('Model inputs'!AD230="",'Model inputs'!B158=""),"",'Model inputs'!AD230&gt;='Model inputs'!B158))</f>
      </c>
    </row>
    <row r="1174">
      <c r="A1174" t="inlineStr" s="16">
        <is>
          <t xml:space="preserve">Calculation</t>
        </is>
      </c>
      <c r="B1174">
        <f>IF(ISERROR('Model inputs'!AE230&gt;='Model inputs'!B158),'Model inputs'!AE230&gt;='Model inputs'!B158,IF(OR('Model inputs'!AE230="",'Model inputs'!B158=""),"",'Model inputs'!AE230&gt;='Model inputs'!B158))</f>
      </c>
    </row>
    <row r="1175">
      <c r="A1175" t="inlineStr" s="16">
        <is>
          <t xml:space="preserve">Calculation</t>
        </is>
      </c>
      <c r="B1175">
        <f>IF(ISERROR('Model inputs'!AF230&gt;='Model inputs'!B158),'Model inputs'!AF230&gt;='Model inputs'!B158,IF(OR('Model inputs'!AF230="",'Model inputs'!B158=""),"",'Model inputs'!AF230&gt;='Model inputs'!B158))</f>
      </c>
    </row>
    <row r="1176">
      <c r="A1176" t="inlineStr" s="16">
        <is>
          <t xml:space="preserve">Calculation</t>
        </is>
      </c>
      <c r="B1176">
        <f>IF(ISERROR('Model inputs'!AG230&gt;='Model inputs'!B158),'Model inputs'!AG230&gt;='Model inputs'!B158,IF(OR('Model inputs'!AG230="",'Model inputs'!B158=""),"",'Model inputs'!AG230&gt;='Model inputs'!B158))</f>
      </c>
    </row>
    <row r="1177">
      <c r="A1177" t="inlineStr" s="16">
        <is>
          <t xml:space="preserve">Calculation</t>
        </is>
      </c>
      <c r="B1177">
        <f>IF(ISERROR('Model inputs'!W230&gt;='Model inputs'!B159),'Model inputs'!W230&gt;='Model inputs'!B159,IF(OR('Model inputs'!W230="",'Model inputs'!B159=""),"",'Model inputs'!W230&gt;='Model inputs'!B159))</f>
      </c>
    </row>
    <row r="1178">
      <c r="A1178" t="inlineStr" s="16">
        <is>
          <t xml:space="preserve">Calculation</t>
        </is>
      </c>
      <c r="B1178">
        <f>IF(ISERROR('Model inputs'!X230&gt;='Model inputs'!B159),'Model inputs'!X230&gt;='Model inputs'!B159,IF(OR('Model inputs'!X230="",'Model inputs'!B159=""),"",'Model inputs'!X230&gt;='Model inputs'!B159))</f>
      </c>
    </row>
    <row r="1179">
      <c r="A1179" t="inlineStr" s="16">
        <is>
          <t xml:space="preserve">Calculation</t>
        </is>
      </c>
      <c r="B1179">
        <f>IF(ISERROR('Model inputs'!Y230&gt;='Model inputs'!B159),'Model inputs'!Y230&gt;='Model inputs'!B159,IF(OR('Model inputs'!Y230="",'Model inputs'!B159=""),"",'Model inputs'!Y230&gt;='Model inputs'!B159))</f>
      </c>
    </row>
    <row r="1180">
      <c r="A1180" t="inlineStr" s="16">
        <is>
          <t xml:space="preserve">Calculation</t>
        </is>
      </c>
      <c r="B1180">
        <f>IF(ISERROR('Model inputs'!Z230&gt;='Model inputs'!B159),'Model inputs'!Z230&gt;='Model inputs'!B159,IF(OR('Model inputs'!Z230="",'Model inputs'!B159=""),"",'Model inputs'!Z230&gt;='Model inputs'!B159))</f>
      </c>
    </row>
    <row r="1181">
      <c r="A1181" t="inlineStr" s="16">
        <is>
          <t xml:space="preserve">Calculation</t>
        </is>
      </c>
      <c r="B1181">
        <f>IF(ISERROR('Model inputs'!AA230&gt;='Model inputs'!B159),'Model inputs'!AA230&gt;='Model inputs'!B159,IF(OR('Model inputs'!AA230="",'Model inputs'!B159=""),"",'Model inputs'!AA230&gt;='Model inputs'!B159))</f>
      </c>
    </row>
    <row r="1182">
      <c r="A1182" t="inlineStr" s="16">
        <is>
          <t xml:space="preserve">Calculation</t>
        </is>
      </c>
      <c r="B1182">
        <f>IF(ISERROR('Model inputs'!AB230&gt;='Model inputs'!B159),'Model inputs'!AB230&gt;='Model inputs'!B159,IF(OR('Model inputs'!AB230="",'Model inputs'!B159=""),"",'Model inputs'!AB230&gt;='Model inputs'!B159))</f>
      </c>
    </row>
    <row r="1183">
      <c r="A1183" t="inlineStr" s="16">
        <is>
          <t xml:space="preserve">Calculation</t>
        </is>
      </c>
      <c r="B1183">
        <f>IF(ISERROR('Model inputs'!AC230&gt;='Model inputs'!B159),'Model inputs'!AC230&gt;='Model inputs'!B159,IF(OR('Model inputs'!AC230="",'Model inputs'!B159=""),"",'Model inputs'!AC230&gt;='Model inputs'!B159))</f>
      </c>
    </row>
    <row r="1184">
      <c r="A1184" t="inlineStr" s="16">
        <is>
          <t xml:space="preserve">Calculation</t>
        </is>
      </c>
      <c r="B1184">
        <f>IF(ISERROR('Model inputs'!AD230&gt;='Model inputs'!B159),'Model inputs'!AD230&gt;='Model inputs'!B159,IF(OR('Model inputs'!AD230="",'Model inputs'!B159=""),"",'Model inputs'!AD230&gt;='Model inputs'!B159))</f>
      </c>
    </row>
    <row r="1185">
      <c r="A1185" t="inlineStr" s="16">
        <is>
          <t xml:space="preserve">Calculation</t>
        </is>
      </c>
      <c r="B1185">
        <f>IF(ISERROR('Model inputs'!AE230&gt;='Model inputs'!B159),'Model inputs'!AE230&gt;='Model inputs'!B159,IF(OR('Model inputs'!AE230="",'Model inputs'!B159=""),"",'Model inputs'!AE230&gt;='Model inputs'!B159))</f>
      </c>
    </row>
    <row r="1186">
      <c r="A1186" t="inlineStr" s="16">
        <is>
          <t xml:space="preserve">Calculation</t>
        </is>
      </c>
      <c r="B1186">
        <f>IF(ISERROR('Model inputs'!AF230&gt;='Model inputs'!B159),'Model inputs'!AF230&gt;='Model inputs'!B159,IF(OR('Model inputs'!AF230="",'Model inputs'!B159=""),"",'Model inputs'!AF230&gt;='Model inputs'!B159))</f>
      </c>
    </row>
    <row r="1187">
      <c r="A1187" t="inlineStr" s="16">
        <is>
          <t xml:space="preserve">Calculation</t>
        </is>
      </c>
      <c r="B1187">
        <f>IF(ISERROR('Model inputs'!AG230&gt;='Model inputs'!B159),'Model inputs'!AG230&gt;='Model inputs'!B159,IF(OR('Model inputs'!AG230="",'Model inputs'!B159=""),"",'Model inputs'!AG230&gt;='Model inputs'!B159))</f>
      </c>
    </row>
    <row r="1188">
      <c r="A1188" t="inlineStr" s="16">
        <is>
          <t xml:space="preserve">Calculation</t>
        </is>
      </c>
      <c r="B1188">
        <f>IF(ISERROR('Model inputs'!W230&gt;='Model inputs'!B160),'Model inputs'!W230&gt;='Model inputs'!B160,IF(OR('Model inputs'!W230="",'Model inputs'!B160=""),"",'Model inputs'!W230&gt;='Model inputs'!B160))</f>
      </c>
    </row>
    <row r="1189">
      <c r="A1189" t="inlineStr" s="16">
        <is>
          <t xml:space="preserve">Calculation</t>
        </is>
      </c>
      <c r="B1189">
        <f>IF(ISERROR('Model inputs'!X230&gt;='Model inputs'!B160),'Model inputs'!X230&gt;='Model inputs'!B160,IF(OR('Model inputs'!X230="",'Model inputs'!B160=""),"",'Model inputs'!X230&gt;='Model inputs'!B160))</f>
      </c>
    </row>
    <row r="1190">
      <c r="A1190" t="inlineStr" s="16">
        <is>
          <t xml:space="preserve">Calculation</t>
        </is>
      </c>
      <c r="B1190">
        <f>IF(ISERROR('Model inputs'!Y230&gt;='Model inputs'!B160),'Model inputs'!Y230&gt;='Model inputs'!B160,IF(OR('Model inputs'!Y230="",'Model inputs'!B160=""),"",'Model inputs'!Y230&gt;='Model inputs'!B160))</f>
      </c>
    </row>
    <row r="1191">
      <c r="A1191" t="inlineStr" s="16">
        <is>
          <t xml:space="preserve">Calculation</t>
        </is>
      </c>
      <c r="B1191">
        <f>IF(ISERROR('Model inputs'!Z230&gt;='Model inputs'!B160),'Model inputs'!Z230&gt;='Model inputs'!B160,IF(OR('Model inputs'!Z230="",'Model inputs'!B160=""),"",'Model inputs'!Z230&gt;='Model inputs'!B160))</f>
      </c>
    </row>
    <row r="1192">
      <c r="A1192" t="inlineStr" s="16">
        <is>
          <t xml:space="preserve">Calculation</t>
        </is>
      </c>
      <c r="B1192">
        <f>IF(ISERROR('Model inputs'!AA230&gt;='Model inputs'!B160),'Model inputs'!AA230&gt;='Model inputs'!B160,IF(OR('Model inputs'!AA230="",'Model inputs'!B160=""),"",'Model inputs'!AA230&gt;='Model inputs'!B160))</f>
      </c>
    </row>
    <row r="1193">
      <c r="A1193" t="inlineStr" s="16">
        <is>
          <t xml:space="preserve">Calculation</t>
        </is>
      </c>
      <c r="B1193">
        <f>IF(ISERROR('Model inputs'!AB230&gt;='Model inputs'!B160),'Model inputs'!AB230&gt;='Model inputs'!B160,IF(OR('Model inputs'!AB230="",'Model inputs'!B160=""),"",'Model inputs'!AB230&gt;='Model inputs'!B160))</f>
      </c>
    </row>
    <row r="1194">
      <c r="A1194" t="inlineStr" s="16">
        <is>
          <t xml:space="preserve">Calculation</t>
        </is>
      </c>
      <c r="B1194">
        <f>IF(ISERROR('Model inputs'!AC230&gt;='Model inputs'!B160),'Model inputs'!AC230&gt;='Model inputs'!B160,IF(OR('Model inputs'!AC230="",'Model inputs'!B160=""),"",'Model inputs'!AC230&gt;='Model inputs'!B160))</f>
      </c>
    </row>
    <row r="1195">
      <c r="A1195" t="inlineStr" s="16">
        <is>
          <t xml:space="preserve">Calculation</t>
        </is>
      </c>
      <c r="B1195">
        <f>IF(ISERROR('Model inputs'!AD230&gt;='Model inputs'!B160),'Model inputs'!AD230&gt;='Model inputs'!B160,IF(OR('Model inputs'!AD230="",'Model inputs'!B160=""),"",'Model inputs'!AD230&gt;='Model inputs'!B160))</f>
      </c>
    </row>
    <row r="1196">
      <c r="A1196" t="inlineStr" s="16">
        <is>
          <t xml:space="preserve">Calculation</t>
        </is>
      </c>
      <c r="B1196">
        <f>IF(ISERROR('Model inputs'!AE230&gt;='Model inputs'!B160),'Model inputs'!AE230&gt;='Model inputs'!B160,IF(OR('Model inputs'!AE230="",'Model inputs'!B160=""),"",'Model inputs'!AE230&gt;='Model inputs'!B160))</f>
      </c>
    </row>
    <row r="1197">
      <c r="A1197" t="inlineStr" s="16">
        <is>
          <t xml:space="preserve">Calculation</t>
        </is>
      </c>
      <c r="B1197">
        <f>IF(ISERROR('Model inputs'!AF230&gt;='Model inputs'!B160),'Model inputs'!AF230&gt;='Model inputs'!B160,IF(OR('Model inputs'!AF230="",'Model inputs'!B160=""),"",'Model inputs'!AF230&gt;='Model inputs'!B160))</f>
      </c>
    </row>
    <row r="1198">
      <c r="A1198" t="inlineStr" s="16">
        <is>
          <t xml:space="preserve">Calculation</t>
        </is>
      </c>
      <c r="B1198">
        <f>IF(ISERROR('Model inputs'!AG230&gt;='Model inputs'!B160),'Model inputs'!AG230&gt;='Model inputs'!B160,IF(OR('Model inputs'!AG230="",'Model inputs'!B160=""),"",'Model inputs'!AG230&gt;='Model inputs'!B160))</f>
      </c>
    </row>
    <row r="1199">
      <c r="A1199" t="inlineStr" s="16">
        <is>
          <t xml:space="preserve">Calculation</t>
        </is>
      </c>
      <c r="B1199">
        <f>IF(ISERROR('Model inputs'!W230&gt;='Model inputs'!B161),'Model inputs'!W230&gt;='Model inputs'!B161,IF(OR('Model inputs'!W230="",'Model inputs'!B161=""),"",'Model inputs'!W230&gt;='Model inputs'!B161))</f>
      </c>
    </row>
    <row r="1200">
      <c r="A1200" t="inlineStr" s="16">
        <is>
          <t xml:space="preserve">Calculation</t>
        </is>
      </c>
      <c r="B1200">
        <f>IF(ISERROR('Model inputs'!X230&gt;='Model inputs'!B161),'Model inputs'!X230&gt;='Model inputs'!B161,IF(OR('Model inputs'!X230="",'Model inputs'!B161=""),"",'Model inputs'!X230&gt;='Model inputs'!B161))</f>
      </c>
    </row>
    <row r="1201">
      <c r="A1201" t="inlineStr" s="16">
        <is>
          <t xml:space="preserve">Calculation</t>
        </is>
      </c>
      <c r="B1201">
        <f>IF(ISERROR('Model inputs'!Y230&gt;='Model inputs'!B161),'Model inputs'!Y230&gt;='Model inputs'!B161,IF(OR('Model inputs'!Y230="",'Model inputs'!B161=""),"",'Model inputs'!Y230&gt;='Model inputs'!B161))</f>
      </c>
    </row>
    <row r="1202">
      <c r="A1202" t="inlineStr" s="16">
        <is>
          <t xml:space="preserve">Calculation</t>
        </is>
      </c>
      <c r="B1202">
        <f>IF(ISERROR('Model inputs'!Z230&gt;='Model inputs'!B161),'Model inputs'!Z230&gt;='Model inputs'!B161,IF(OR('Model inputs'!Z230="",'Model inputs'!B161=""),"",'Model inputs'!Z230&gt;='Model inputs'!B161))</f>
      </c>
    </row>
    <row r="1203">
      <c r="A1203" t="inlineStr" s="16">
        <is>
          <t xml:space="preserve">Calculation</t>
        </is>
      </c>
      <c r="B1203">
        <f>IF(ISERROR('Model inputs'!AA230&gt;='Model inputs'!B161),'Model inputs'!AA230&gt;='Model inputs'!B161,IF(OR('Model inputs'!AA230="",'Model inputs'!B161=""),"",'Model inputs'!AA230&gt;='Model inputs'!B161))</f>
      </c>
    </row>
    <row r="1204">
      <c r="A1204" t="inlineStr" s="16">
        <is>
          <t xml:space="preserve">Calculation</t>
        </is>
      </c>
      <c r="B1204">
        <f>IF(ISERROR('Model inputs'!AB230&gt;='Model inputs'!B161),'Model inputs'!AB230&gt;='Model inputs'!B161,IF(OR('Model inputs'!AB230="",'Model inputs'!B161=""),"",'Model inputs'!AB230&gt;='Model inputs'!B161))</f>
      </c>
    </row>
    <row r="1205">
      <c r="A1205" t="inlineStr" s="16">
        <is>
          <t xml:space="preserve">Calculation</t>
        </is>
      </c>
      <c r="B1205">
        <f>IF(ISERROR('Model inputs'!AC230&gt;='Model inputs'!B161),'Model inputs'!AC230&gt;='Model inputs'!B161,IF(OR('Model inputs'!AC230="",'Model inputs'!B161=""),"",'Model inputs'!AC230&gt;='Model inputs'!B161))</f>
      </c>
    </row>
    <row r="1206">
      <c r="A1206" t="inlineStr" s="16">
        <is>
          <t xml:space="preserve">Calculation</t>
        </is>
      </c>
      <c r="B1206">
        <f>IF(ISERROR('Model inputs'!AD230&gt;='Model inputs'!B161),'Model inputs'!AD230&gt;='Model inputs'!B161,IF(OR('Model inputs'!AD230="",'Model inputs'!B161=""),"",'Model inputs'!AD230&gt;='Model inputs'!B161))</f>
      </c>
    </row>
    <row r="1207">
      <c r="A1207" t="inlineStr" s="16">
        <is>
          <t xml:space="preserve">Calculation</t>
        </is>
      </c>
      <c r="B1207">
        <f>IF(ISERROR('Model inputs'!AE230&gt;='Model inputs'!B161),'Model inputs'!AE230&gt;='Model inputs'!B161,IF(OR('Model inputs'!AE230="",'Model inputs'!B161=""),"",'Model inputs'!AE230&gt;='Model inputs'!B161))</f>
      </c>
    </row>
    <row r="1208">
      <c r="A1208" t="inlineStr" s="16">
        <is>
          <t xml:space="preserve">Calculation</t>
        </is>
      </c>
      <c r="B1208">
        <f>IF(ISERROR('Model inputs'!AF230&gt;='Model inputs'!B161),'Model inputs'!AF230&gt;='Model inputs'!B161,IF(OR('Model inputs'!AF230="",'Model inputs'!B161=""),"",'Model inputs'!AF230&gt;='Model inputs'!B161))</f>
      </c>
    </row>
    <row r="1209">
      <c r="A1209" t="inlineStr" s="16">
        <is>
          <t xml:space="preserve">Calculation</t>
        </is>
      </c>
      <c r="B1209">
        <f>IF(ISERROR('Model inputs'!AG230&gt;='Model inputs'!B161),'Model inputs'!AG230&gt;='Model inputs'!B161,IF(OR('Model inputs'!AG230="",'Model inputs'!B161=""),"",'Model inputs'!AG230&gt;='Model inputs'!B161))</f>
      </c>
    </row>
    <row r="1210">
      <c r="A1210" t="inlineStr" s="16">
        <is>
          <t xml:space="preserve">Calculation</t>
        </is>
      </c>
      <c r="B1210">
        <f>IF(ISERROR('Model inputs'!W230&gt;='Model inputs'!B162),'Model inputs'!W230&gt;='Model inputs'!B162,IF(OR('Model inputs'!W230="",'Model inputs'!B162=""),"",'Model inputs'!W230&gt;='Model inputs'!B162))</f>
      </c>
    </row>
    <row r="1211">
      <c r="A1211" t="inlineStr" s="16">
        <is>
          <t xml:space="preserve">Calculation</t>
        </is>
      </c>
      <c r="B1211">
        <f>IF(ISERROR('Model inputs'!X230&gt;='Model inputs'!B162),'Model inputs'!X230&gt;='Model inputs'!B162,IF(OR('Model inputs'!X230="",'Model inputs'!B162=""),"",'Model inputs'!X230&gt;='Model inputs'!B162))</f>
      </c>
    </row>
    <row r="1212">
      <c r="A1212" t="inlineStr" s="16">
        <is>
          <t xml:space="preserve">Calculation</t>
        </is>
      </c>
      <c r="B1212">
        <f>IF(ISERROR('Model inputs'!Y230&gt;='Model inputs'!B162),'Model inputs'!Y230&gt;='Model inputs'!B162,IF(OR('Model inputs'!Y230="",'Model inputs'!B162=""),"",'Model inputs'!Y230&gt;='Model inputs'!B162))</f>
      </c>
    </row>
    <row r="1213">
      <c r="A1213" t="inlineStr" s="16">
        <is>
          <t xml:space="preserve">Calculation</t>
        </is>
      </c>
      <c r="B1213">
        <f>IF(ISERROR('Model inputs'!Z230&gt;='Model inputs'!B162),'Model inputs'!Z230&gt;='Model inputs'!B162,IF(OR('Model inputs'!Z230="",'Model inputs'!B162=""),"",'Model inputs'!Z230&gt;='Model inputs'!B162))</f>
      </c>
    </row>
    <row r="1214">
      <c r="A1214" t="inlineStr" s="16">
        <is>
          <t xml:space="preserve">Calculation</t>
        </is>
      </c>
      <c r="B1214">
        <f>IF(ISERROR('Model inputs'!AA230&gt;='Model inputs'!B162),'Model inputs'!AA230&gt;='Model inputs'!B162,IF(OR('Model inputs'!AA230="",'Model inputs'!B162=""),"",'Model inputs'!AA230&gt;='Model inputs'!B162))</f>
      </c>
    </row>
    <row r="1215">
      <c r="A1215" t="inlineStr" s="16">
        <is>
          <t xml:space="preserve">Calculation</t>
        </is>
      </c>
      <c r="B1215">
        <f>IF(ISERROR('Model inputs'!AB230&gt;='Model inputs'!B162),'Model inputs'!AB230&gt;='Model inputs'!B162,IF(OR('Model inputs'!AB230="",'Model inputs'!B162=""),"",'Model inputs'!AB230&gt;='Model inputs'!B162))</f>
      </c>
    </row>
    <row r="1216">
      <c r="A1216" t="inlineStr" s="16">
        <is>
          <t xml:space="preserve">Calculation</t>
        </is>
      </c>
      <c r="B1216">
        <f>IF(ISERROR('Model inputs'!AC230&gt;='Model inputs'!B162),'Model inputs'!AC230&gt;='Model inputs'!B162,IF(OR('Model inputs'!AC230="",'Model inputs'!B162=""),"",'Model inputs'!AC230&gt;='Model inputs'!B162))</f>
      </c>
    </row>
    <row r="1217">
      <c r="A1217" t="inlineStr" s="16">
        <is>
          <t xml:space="preserve">Calculation</t>
        </is>
      </c>
      <c r="B1217">
        <f>IF(ISERROR('Model inputs'!AD230&gt;='Model inputs'!B162),'Model inputs'!AD230&gt;='Model inputs'!B162,IF(OR('Model inputs'!AD230="",'Model inputs'!B162=""),"",'Model inputs'!AD230&gt;='Model inputs'!B162))</f>
      </c>
    </row>
    <row r="1218">
      <c r="A1218" t="inlineStr" s="16">
        <is>
          <t xml:space="preserve">Calculation</t>
        </is>
      </c>
      <c r="B1218">
        <f>IF(ISERROR('Model inputs'!AE230&gt;='Model inputs'!B162),'Model inputs'!AE230&gt;='Model inputs'!B162,IF(OR('Model inputs'!AE230="",'Model inputs'!B162=""),"",'Model inputs'!AE230&gt;='Model inputs'!B162))</f>
      </c>
    </row>
    <row r="1219">
      <c r="A1219" t="inlineStr" s="16">
        <is>
          <t xml:space="preserve">Calculation</t>
        </is>
      </c>
      <c r="B1219">
        <f>IF(ISERROR('Model inputs'!AF230&gt;='Model inputs'!B162),'Model inputs'!AF230&gt;='Model inputs'!B162,IF(OR('Model inputs'!AF230="",'Model inputs'!B162=""),"",'Model inputs'!AF230&gt;='Model inputs'!B162))</f>
      </c>
    </row>
    <row r="1220">
      <c r="A1220" t="inlineStr" s="16">
        <is>
          <t xml:space="preserve">Calculation</t>
        </is>
      </c>
      <c r="B1220">
        <f>IF(ISERROR('Model inputs'!AG230&gt;='Model inputs'!B162),'Model inputs'!AG230&gt;='Model inputs'!B162,IF(OR('Model inputs'!AG230="",'Model inputs'!B162=""),"",'Model inputs'!AG230&gt;='Model inputs'!B162))</f>
      </c>
    </row>
    <row r="1221">
      <c r="A1221" t="inlineStr" s="16">
        <is>
          <t xml:space="preserve">Calculation</t>
        </is>
      </c>
      <c r="B1221">
        <f>IF(ISERROR('Model inputs'!W230&gt;='Model inputs'!B163),'Model inputs'!W230&gt;='Model inputs'!B163,IF(OR('Model inputs'!W230="",'Model inputs'!B163=""),"",'Model inputs'!W230&gt;='Model inputs'!B163))</f>
      </c>
    </row>
    <row r="1222">
      <c r="A1222" t="inlineStr" s="16">
        <is>
          <t xml:space="preserve">Calculation</t>
        </is>
      </c>
      <c r="B1222">
        <f>IF(ISERROR('Model inputs'!X230&gt;='Model inputs'!B163),'Model inputs'!X230&gt;='Model inputs'!B163,IF(OR('Model inputs'!X230="",'Model inputs'!B163=""),"",'Model inputs'!X230&gt;='Model inputs'!B163))</f>
      </c>
    </row>
    <row r="1223">
      <c r="A1223" t="inlineStr" s="16">
        <is>
          <t xml:space="preserve">Calculation</t>
        </is>
      </c>
      <c r="B1223">
        <f>IF(ISERROR('Model inputs'!Y230&gt;='Model inputs'!B163),'Model inputs'!Y230&gt;='Model inputs'!B163,IF(OR('Model inputs'!Y230="",'Model inputs'!B163=""),"",'Model inputs'!Y230&gt;='Model inputs'!B163))</f>
      </c>
    </row>
    <row r="1224">
      <c r="A1224" t="inlineStr" s="16">
        <is>
          <t xml:space="preserve">Calculation</t>
        </is>
      </c>
      <c r="B1224">
        <f>IF(ISERROR('Model inputs'!Z230&gt;='Model inputs'!B163),'Model inputs'!Z230&gt;='Model inputs'!B163,IF(OR('Model inputs'!Z230="",'Model inputs'!B163=""),"",'Model inputs'!Z230&gt;='Model inputs'!B163))</f>
      </c>
    </row>
    <row r="1225">
      <c r="A1225" t="inlineStr" s="16">
        <is>
          <t xml:space="preserve">Calculation</t>
        </is>
      </c>
      <c r="B1225">
        <f>IF(ISERROR('Model inputs'!AA230&gt;='Model inputs'!B163),'Model inputs'!AA230&gt;='Model inputs'!B163,IF(OR('Model inputs'!AA230="",'Model inputs'!B163=""),"",'Model inputs'!AA230&gt;='Model inputs'!B163))</f>
      </c>
    </row>
    <row r="1226">
      <c r="A1226" t="inlineStr" s="16">
        <is>
          <t xml:space="preserve">Calculation</t>
        </is>
      </c>
      <c r="B1226">
        <f>IF(ISERROR('Model inputs'!AB230&gt;='Model inputs'!B163),'Model inputs'!AB230&gt;='Model inputs'!B163,IF(OR('Model inputs'!AB230="",'Model inputs'!B163=""),"",'Model inputs'!AB230&gt;='Model inputs'!B163))</f>
      </c>
    </row>
    <row r="1227">
      <c r="A1227" t="inlineStr" s="16">
        <is>
          <t xml:space="preserve">Calculation</t>
        </is>
      </c>
      <c r="B1227">
        <f>IF(ISERROR('Model inputs'!AC230&gt;='Model inputs'!B163),'Model inputs'!AC230&gt;='Model inputs'!B163,IF(OR('Model inputs'!AC230="",'Model inputs'!B163=""),"",'Model inputs'!AC230&gt;='Model inputs'!B163))</f>
      </c>
    </row>
    <row r="1228">
      <c r="A1228" t="inlineStr" s="16">
        <is>
          <t xml:space="preserve">Calculation</t>
        </is>
      </c>
      <c r="B1228">
        <f>IF(ISERROR('Model inputs'!AD230&gt;='Model inputs'!B163),'Model inputs'!AD230&gt;='Model inputs'!B163,IF(OR('Model inputs'!AD230="",'Model inputs'!B163=""),"",'Model inputs'!AD230&gt;='Model inputs'!B163))</f>
      </c>
    </row>
    <row r="1229">
      <c r="A1229" t="inlineStr" s="16">
        <is>
          <t xml:space="preserve">Calculation</t>
        </is>
      </c>
      <c r="B1229">
        <f>IF(ISERROR('Model inputs'!AE230&gt;='Model inputs'!B163),'Model inputs'!AE230&gt;='Model inputs'!B163,IF(OR('Model inputs'!AE230="",'Model inputs'!B163=""),"",'Model inputs'!AE230&gt;='Model inputs'!B163))</f>
      </c>
    </row>
    <row r="1230">
      <c r="A1230" t="inlineStr" s="16">
        <is>
          <t xml:space="preserve">Calculation</t>
        </is>
      </c>
      <c r="B1230">
        <f>IF(ISERROR('Model inputs'!AF230&gt;='Model inputs'!B163),'Model inputs'!AF230&gt;='Model inputs'!B163,IF(OR('Model inputs'!AF230="",'Model inputs'!B163=""),"",'Model inputs'!AF230&gt;='Model inputs'!B163))</f>
      </c>
    </row>
    <row r="1231">
      <c r="A1231" t="inlineStr" s="16">
        <is>
          <t xml:space="preserve">Calculation</t>
        </is>
      </c>
      <c r="B1231">
        <f>IF(ISERROR('Model inputs'!AG230&gt;='Model inputs'!B163),'Model inputs'!AG230&gt;='Model inputs'!B163,IF(OR('Model inputs'!AG230="",'Model inputs'!B163=""),"",'Model inputs'!AG230&gt;='Model inputs'!B163))</f>
      </c>
    </row>
    <row r="1232">
      <c r="A1232" t="inlineStr" s="16">
        <is>
          <t xml:space="preserve">Calculation</t>
        </is>
      </c>
      <c r="B1232">
        <f>IF(ISERROR('Model inputs'!W230&lt;='Model inputs'!B117),'Model inputs'!W230&lt;='Model inputs'!B117,IF(OR('Model inputs'!W230="",'Model inputs'!B117=""),"",'Model inputs'!W230&lt;='Model inputs'!B117))</f>
      </c>
    </row>
    <row r="1233">
      <c r="A1233" t="inlineStr" s="16">
        <is>
          <t xml:space="preserve">Calculation</t>
        </is>
      </c>
      <c r="B1233">
        <f>(IF(IFERROR(IF(ISERROR('Model inputs'!B117=0),'Model inputs'!B117=0,IF('Model inputs'!B117="","",'Model inputs'!B117=0))=TRUE,FALSE),TRUE,IF(IFERROR('Model inputs'!B1232=TRUE,FALSE),TRUE,IF(OR(IF(ISERROR('Model inputs'!B117=0),'Model inputs'!B117=0,IF('Model inputs'!B117="","",'Model inputs'!B117=0))="",'Model inputs'!B1232=""),"",OR(IF(ISERROR('Model inputs'!B117=0),'Model inputs'!B117=0,IF('Model inputs'!B117="","",'Model inputs'!B117=0)),'Model inputs'!B1232)))))</f>
      </c>
    </row>
    <row r="1234">
      <c r="A1234" t="inlineStr" s="16">
        <is>
          <t xml:space="preserve">Calculation</t>
        </is>
      </c>
      <c r="B1234">
        <f>IF(ISERROR('Model inputs'!X230&lt;='Model inputs'!B117),'Model inputs'!X230&lt;='Model inputs'!B117,IF(OR('Model inputs'!X230="",'Model inputs'!B117=""),"",'Model inputs'!X230&lt;='Model inputs'!B117))</f>
      </c>
    </row>
    <row r="1235">
      <c r="A1235" t="inlineStr" s="16">
        <is>
          <t xml:space="preserve">Calculation</t>
        </is>
      </c>
      <c r="B1235">
        <f>(IF(IFERROR(IF(ISERROR('Model inputs'!B117=0),'Model inputs'!B117=0,IF('Model inputs'!B117="","",'Model inputs'!B117=0))=TRUE,FALSE),TRUE,IF(IFERROR('Model inputs'!B1234=TRUE,FALSE),TRUE,IF(OR(IF(ISERROR('Model inputs'!B117=0),'Model inputs'!B117=0,IF('Model inputs'!B117="","",'Model inputs'!B117=0))="",'Model inputs'!B1234=""),"",OR(IF(ISERROR('Model inputs'!B117=0),'Model inputs'!B117=0,IF('Model inputs'!B117="","",'Model inputs'!B117=0)),'Model inputs'!B1234)))))</f>
      </c>
    </row>
    <row r="1236">
      <c r="A1236" t="inlineStr" s="16">
        <is>
          <t xml:space="preserve">Calculation</t>
        </is>
      </c>
      <c r="B1236">
        <f>IF(ISERROR('Model inputs'!Y230&lt;='Model inputs'!B117),'Model inputs'!Y230&lt;='Model inputs'!B117,IF(OR('Model inputs'!Y230="",'Model inputs'!B117=""),"",'Model inputs'!Y230&lt;='Model inputs'!B117))</f>
      </c>
    </row>
    <row r="1237">
      <c r="A1237" t="inlineStr" s="16">
        <is>
          <t xml:space="preserve">Calculation</t>
        </is>
      </c>
      <c r="B1237">
        <f>(IF(IFERROR(IF(ISERROR('Model inputs'!B117=0),'Model inputs'!B117=0,IF('Model inputs'!B117="","",'Model inputs'!B117=0))=TRUE,FALSE),TRUE,IF(IFERROR('Model inputs'!B1236=TRUE,FALSE),TRUE,IF(OR(IF(ISERROR('Model inputs'!B117=0),'Model inputs'!B117=0,IF('Model inputs'!B117="","",'Model inputs'!B117=0))="",'Model inputs'!B1236=""),"",OR(IF(ISERROR('Model inputs'!B117=0),'Model inputs'!B117=0,IF('Model inputs'!B117="","",'Model inputs'!B117=0)),'Model inputs'!B1236)))))</f>
      </c>
    </row>
    <row r="1238">
      <c r="A1238" t="inlineStr" s="16">
        <is>
          <t xml:space="preserve">Calculation</t>
        </is>
      </c>
      <c r="B1238">
        <f>IF(ISERROR('Model inputs'!Z230&lt;='Model inputs'!B117),'Model inputs'!Z230&lt;='Model inputs'!B117,IF(OR('Model inputs'!Z230="",'Model inputs'!B117=""),"",'Model inputs'!Z230&lt;='Model inputs'!B117))</f>
      </c>
    </row>
    <row r="1239">
      <c r="A1239" t="inlineStr" s="16">
        <is>
          <t xml:space="preserve">Calculation</t>
        </is>
      </c>
      <c r="B1239">
        <f>(IF(IFERROR(IF(ISERROR('Model inputs'!B117=0),'Model inputs'!B117=0,IF('Model inputs'!B117="","",'Model inputs'!B117=0))=TRUE,FALSE),TRUE,IF(IFERROR('Model inputs'!B1238=TRUE,FALSE),TRUE,IF(OR(IF(ISERROR('Model inputs'!B117=0),'Model inputs'!B117=0,IF('Model inputs'!B117="","",'Model inputs'!B117=0))="",'Model inputs'!B1238=""),"",OR(IF(ISERROR('Model inputs'!B117=0),'Model inputs'!B117=0,IF('Model inputs'!B117="","",'Model inputs'!B117=0)),'Model inputs'!B1238)))))</f>
      </c>
    </row>
    <row r="1240">
      <c r="A1240" t="inlineStr" s="16">
        <is>
          <t xml:space="preserve">Calculation</t>
        </is>
      </c>
      <c r="B1240">
        <f>IF(ISERROR('Model inputs'!AA230&lt;='Model inputs'!B117),'Model inputs'!AA230&lt;='Model inputs'!B117,IF(OR('Model inputs'!AA230="",'Model inputs'!B117=""),"",'Model inputs'!AA230&lt;='Model inputs'!B117))</f>
      </c>
    </row>
    <row r="1241">
      <c r="A1241" t="inlineStr" s="16">
        <is>
          <t xml:space="preserve">Calculation</t>
        </is>
      </c>
      <c r="B1241">
        <f>(IF(IFERROR(IF(ISERROR('Model inputs'!B117=0),'Model inputs'!B117=0,IF('Model inputs'!B117="","",'Model inputs'!B117=0))=TRUE,FALSE),TRUE,IF(IFERROR('Model inputs'!B1240=TRUE,FALSE),TRUE,IF(OR(IF(ISERROR('Model inputs'!B117=0),'Model inputs'!B117=0,IF('Model inputs'!B117="","",'Model inputs'!B117=0))="",'Model inputs'!B1240=""),"",OR(IF(ISERROR('Model inputs'!B117=0),'Model inputs'!B117=0,IF('Model inputs'!B117="","",'Model inputs'!B117=0)),'Model inputs'!B1240)))))</f>
      </c>
    </row>
    <row r="1242">
      <c r="A1242" t="inlineStr" s="16">
        <is>
          <t xml:space="preserve">Calculation</t>
        </is>
      </c>
      <c r="B1242">
        <f>IF(ISERROR('Model inputs'!AB230&lt;='Model inputs'!B117),'Model inputs'!AB230&lt;='Model inputs'!B117,IF(OR('Model inputs'!AB230="",'Model inputs'!B117=""),"",'Model inputs'!AB230&lt;='Model inputs'!B117))</f>
      </c>
    </row>
    <row r="1243">
      <c r="A1243" t="inlineStr" s="16">
        <is>
          <t xml:space="preserve">Calculation</t>
        </is>
      </c>
      <c r="B1243">
        <f>(IF(IFERROR(IF(ISERROR('Model inputs'!B117=0),'Model inputs'!B117=0,IF('Model inputs'!B117="","",'Model inputs'!B117=0))=TRUE,FALSE),TRUE,IF(IFERROR('Model inputs'!B1242=TRUE,FALSE),TRUE,IF(OR(IF(ISERROR('Model inputs'!B117=0),'Model inputs'!B117=0,IF('Model inputs'!B117="","",'Model inputs'!B117=0))="",'Model inputs'!B1242=""),"",OR(IF(ISERROR('Model inputs'!B117=0),'Model inputs'!B117=0,IF('Model inputs'!B117="","",'Model inputs'!B117=0)),'Model inputs'!B1242)))))</f>
      </c>
    </row>
    <row r="1244">
      <c r="A1244" t="inlineStr" s="16">
        <is>
          <t xml:space="preserve">Calculation</t>
        </is>
      </c>
      <c r="B1244">
        <f>IF(ISERROR('Model inputs'!AC230&lt;='Model inputs'!B117),'Model inputs'!AC230&lt;='Model inputs'!B117,IF(OR('Model inputs'!AC230="",'Model inputs'!B117=""),"",'Model inputs'!AC230&lt;='Model inputs'!B117))</f>
      </c>
    </row>
    <row r="1245">
      <c r="A1245" t="inlineStr" s="16">
        <is>
          <t xml:space="preserve">Calculation</t>
        </is>
      </c>
      <c r="B1245">
        <f>(IF(IFERROR(IF(ISERROR('Model inputs'!B117=0),'Model inputs'!B117=0,IF('Model inputs'!B117="","",'Model inputs'!B117=0))=TRUE,FALSE),TRUE,IF(IFERROR('Model inputs'!B1244=TRUE,FALSE),TRUE,IF(OR(IF(ISERROR('Model inputs'!B117=0),'Model inputs'!B117=0,IF('Model inputs'!B117="","",'Model inputs'!B117=0))="",'Model inputs'!B1244=""),"",OR(IF(ISERROR('Model inputs'!B117=0),'Model inputs'!B117=0,IF('Model inputs'!B117="","",'Model inputs'!B117=0)),'Model inputs'!B1244)))))</f>
      </c>
    </row>
    <row r="1246">
      <c r="A1246" t="inlineStr" s="16">
        <is>
          <t xml:space="preserve">Calculation</t>
        </is>
      </c>
      <c r="B1246">
        <f>IF(ISERROR('Model inputs'!AD230&lt;='Model inputs'!B117),'Model inputs'!AD230&lt;='Model inputs'!B117,IF(OR('Model inputs'!AD230="",'Model inputs'!B117=""),"",'Model inputs'!AD230&lt;='Model inputs'!B117))</f>
      </c>
    </row>
    <row r="1247">
      <c r="A1247" t="inlineStr" s="16">
        <is>
          <t xml:space="preserve">Calculation</t>
        </is>
      </c>
      <c r="B1247">
        <f>(IF(IFERROR(IF(ISERROR('Model inputs'!B117=0),'Model inputs'!B117=0,IF('Model inputs'!B117="","",'Model inputs'!B117=0))=TRUE,FALSE),TRUE,IF(IFERROR('Model inputs'!B1246=TRUE,FALSE),TRUE,IF(OR(IF(ISERROR('Model inputs'!B117=0),'Model inputs'!B117=0,IF('Model inputs'!B117="","",'Model inputs'!B117=0))="",'Model inputs'!B1246=""),"",OR(IF(ISERROR('Model inputs'!B117=0),'Model inputs'!B117=0,IF('Model inputs'!B117="","",'Model inputs'!B117=0)),'Model inputs'!B1246)))))</f>
      </c>
    </row>
    <row r="1248">
      <c r="A1248" t="inlineStr" s="16">
        <is>
          <t xml:space="preserve">Calculation</t>
        </is>
      </c>
      <c r="B1248">
        <f>IF(ISERROR('Model inputs'!AE230&lt;='Model inputs'!B117),'Model inputs'!AE230&lt;='Model inputs'!B117,IF(OR('Model inputs'!AE230="",'Model inputs'!B117=""),"",'Model inputs'!AE230&lt;='Model inputs'!B117))</f>
      </c>
    </row>
    <row r="1249">
      <c r="A1249" t="inlineStr" s="16">
        <is>
          <t xml:space="preserve">Calculation</t>
        </is>
      </c>
      <c r="B1249">
        <f>(IF(IFERROR(IF(ISERROR('Model inputs'!B117=0),'Model inputs'!B117=0,IF('Model inputs'!B117="","",'Model inputs'!B117=0))=TRUE,FALSE),TRUE,IF(IFERROR('Model inputs'!B1248=TRUE,FALSE),TRUE,IF(OR(IF(ISERROR('Model inputs'!B117=0),'Model inputs'!B117=0,IF('Model inputs'!B117="","",'Model inputs'!B117=0))="",'Model inputs'!B1248=""),"",OR(IF(ISERROR('Model inputs'!B117=0),'Model inputs'!B117=0,IF('Model inputs'!B117="","",'Model inputs'!B117=0)),'Model inputs'!B1248)))))</f>
      </c>
    </row>
    <row r="1250">
      <c r="A1250" t="inlineStr" s="16">
        <is>
          <t xml:space="preserve">Calculation</t>
        </is>
      </c>
      <c r="B1250">
        <f>IF(ISERROR('Model inputs'!AF230&lt;='Model inputs'!B117),'Model inputs'!AF230&lt;='Model inputs'!B117,IF(OR('Model inputs'!AF230="",'Model inputs'!B117=""),"",'Model inputs'!AF230&lt;='Model inputs'!B117))</f>
      </c>
    </row>
    <row r="1251">
      <c r="A1251" t="inlineStr" s="16">
        <is>
          <t xml:space="preserve">Calculation</t>
        </is>
      </c>
      <c r="B1251">
        <f>(IF(IFERROR(IF(ISERROR('Model inputs'!B117=0),'Model inputs'!B117=0,IF('Model inputs'!B117="","",'Model inputs'!B117=0))=TRUE,FALSE),TRUE,IF(IFERROR('Model inputs'!B1250=TRUE,FALSE),TRUE,IF(OR(IF(ISERROR('Model inputs'!B117=0),'Model inputs'!B117=0,IF('Model inputs'!B117="","",'Model inputs'!B117=0))="",'Model inputs'!B1250=""),"",OR(IF(ISERROR('Model inputs'!B117=0),'Model inputs'!B117=0,IF('Model inputs'!B117="","",'Model inputs'!B117=0)),'Model inputs'!B1250)))))</f>
      </c>
    </row>
    <row r="1252">
      <c r="A1252" t="inlineStr" s="16">
        <is>
          <t xml:space="preserve">Calculation</t>
        </is>
      </c>
      <c r="B1252">
        <f>IF(ISERROR('Model inputs'!AG230&lt;='Model inputs'!B117),'Model inputs'!AG230&lt;='Model inputs'!B117,IF(OR('Model inputs'!AG230="",'Model inputs'!B117=""),"",'Model inputs'!AG230&lt;='Model inputs'!B117))</f>
      </c>
    </row>
    <row r="1253">
      <c r="A1253" t="inlineStr" s="16">
        <is>
          <t xml:space="preserve">Calculation</t>
        </is>
      </c>
      <c r="B1253">
        <f>(IF(IFERROR(IF(ISERROR('Model inputs'!B117=0),'Model inputs'!B117=0,IF('Model inputs'!B117="","",'Model inputs'!B117=0))=TRUE,FALSE),TRUE,IF(IFERROR('Model inputs'!B1252=TRUE,FALSE),TRUE,IF(OR(IF(ISERROR('Model inputs'!B117=0),'Model inputs'!B117=0,IF('Model inputs'!B117="","",'Model inputs'!B117=0))="",'Model inputs'!B1252=""),"",OR(IF(ISERROR('Model inputs'!B117=0),'Model inputs'!B117=0,IF('Model inputs'!B117="","",'Model inputs'!B117=0)),'Model inputs'!B1252)))))</f>
      </c>
    </row>
    <row r="1254">
      <c r="A1254" t="inlineStr" s="16">
        <is>
          <t xml:space="preserve">Calculation</t>
        </is>
      </c>
      <c r="B1254">
        <f>IF(ISERROR('Model inputs'!W230&lt;='Model inputs'!B118),'Model inputs'!W230&lt;='Model inputs'!B118,IF(OR('Model inputs'!W230="",'Model inputs'!B118=""),"",'Model inputs'!W230&lt;='Model inputs'!B118))</f>
      </c>
    </row>
    <row r="1255">
      <c r="A1255" t="inlineStr" s="16">
        <is>
          <t xml:space="preserve">Calculation</t>
        </is>
      </c>
      <c r="B1255">
        <f>(IF(IFERROR(IF(ISERROR('Model inputs'!B118=0),'Model inputs'!B118=0,IF('Model inputs'!B118="","",'Model inputs'!B118=0))=TRUE,FALSE),TRUE,IF(IFERROR('Model inputs'!B1254=TRUE,FALSE),TRUE,IF(OR(IF(ISERROR('Model inputs'!B118=0),'Model inputs'!B118=0,IF('Model inputs'!B118="","",'Model inputs'!B118=0))="",'Model inputs'!B1254=""),"",OR(IF(ISERROR('Model inputs'!B118=0),'Model inputs'!B118=0,IF('Model inputs'!B118="","",'Model inputs'!B118=0)),'Model inputs'!B1254)))))</f>
      </c>
    </row>
    <row r="1256">
      <c r="A1256" t="inlineStr" s="16">
        <is>
          <t xml:space="preserve">Calculation</t>
        </is>
      </c>
      <c r="B1256">
        <f>IF(ISERROR('Model inputs'!X230&lt;='Model inputs'!B118),'Model inputs'!X230&lt;='Model inputs'!B118,IF(OR('Model inputs'!X230="",'Model inputs'!B118=""),"",'Model inputs'!X230&lt;='Model inputs'!B118))</f>
      </c>
    </row>
    <row r="1257">
      <c r="A1257" t="inlineStr" s="16">
        <is>
          <t xml:space="preserve">Calculation</t>
        </is>
      </c>
      <c r="B1257">
        <f>(IF(IFERROR(IF(ISERROR('Model inputs'!B118=0),'Model inputs'!B118=0,IF('Model inputs'!B118="","",'Model inputs'!B118=0))=TRUE,FALSE),TRUE,IF(IFERROR('Model inputs'!B1256=TRUE,FALSE),TRUE,IF(OR(IF(ISERROR('Model inputs'!B118=0),'Model inputs'!B118=0,IF('Model inputs'!B118="","",'Model inputs'!B118=0))="",'Model inputs'!B1256=""),"",OR(IF(ISERROR('Model inputs'!B118=0),'Model inputs'!B118=0,IF('Model inputs'!B118="","",'Model inputs'!B118=0)),'Model inputs'!B1256)))))</f>
      </c>
    </row>
    <row r="1258">
      <c r="A1258" t="inlineStr" s="16">
        <is>
          <t xml:space="preserve">Calculation</t>
        </is>
      </c>
      <c r="B1258">
        <f>IF(ISERROR('Model inputs'!Y230&lt;='Model inputs'!B118),'Model inputs'!Y230&lt;='Model inputs'!B118,IF(OR('Model inputs'!Y230="",'Model inputs'!B118=""),"",'Model inputs'!Y230&lt;='Model inputs'!B118))</f>
      </c>
    </row>
    <row r="1259">
      <c r="A1259" t="inlineStr" s="16">
        <is>
          <t xml:space="preserve">Calculation</t>
        </is>
      </c>
      <c r="B1259">
        <f>(IF(IFERROR(IF(ISERROR('Model inputs'!B118=0),'Model inputs'!B118=0,IF('Model inputs'!B118="","",'Model inputs'!B118=0))=TRUE,FALSE),TRUE,IF(IFERROR('Model inputs'!B1258=TRUE,FALSE),TRUE,IF(OR(IF(ISERROR('Model inputs'!B118=0),'Model inputs'!B118=0,IF('Model inputs'!B118="","",'Model inputs'!B118=0))="",'Model inputs'!B1258=""),"",OR(IF(ISERROR('Model inputs'!B118=0),'Model inputs'!B118=0,IF('Model inputs'!B118="","",'Model inputs'!B118=0)),'Model inputs'!B1258)))))</f>
      </c>
    </row>
    <row r="1260">
      <c r="A1260" t="inlineStr" s="16">
        <is>
          <t xml:space="preserve">Calculation</t>
        </is>
      </c>
      <c r="B1260">
        <f>IF(ISERROR('Model inputs'!Z230&lt;='Model inputs'!B118),'Model inputs'!Z230&lt;='Model inputs'!B118,IF(OR('Model inputs'!Z230="",'Model inputs'!B118=""),"",'Model inputs'!Z230&lt;='Model inputs'!B118))</f>
      </c>
    </row>
    <row r="1261">
      <c r="A1261" t="inlineStr" s="16">
        <is>
          <t xml:space="preserve">Calculation</t>
        </is>
      </c>
      <c r="B1261">
        <f>(IF(IFERROR(IF(ISERROR('Model inputs'!B118=0),'Model inputs'!B118=0,IF('Model inputs'!B118="","",'Model inputs'!B118=0))=TRUE,FALSE),TRUE,IF(IFERROR('Model inputs'!B1260=TRUE,FALSE),TRUE,IF(OR(IF(ISERROR('Model inputs'!B118=0),'Model inputs'!B118=0,IF('Model inputs'!B118="","",'Model inputs'!B118=0))="",'Model inputs'!B1260=""),"",OR(IF(ISERROR('Model inputs'!B118=0),'Model inputs'!B118=0,IF('Model inputs'!B118="","",'Model inputs'!B118=0)),'Model inputs'!B1260)))))</f>
      </c>
    </row>
    <row r="1262">
      <c r="A1262" t="inlineStr" s="16">
        <is>
          <t xml:space="preserve">Calculation</t>
        </is>
      </c>
      <c r="B1262">
        <f>IF(ISERROR('Model inputs'!AA230&lt;='Model inputs'!B118),'Model inputs'!AA230&lt;='Model inputs'!B118,IF(OR('Model inputs'!AA230="",'Model inputs'!B118=""),"",'Model inputs'!AA230&lt;='Model inputs'!B118))</f>
      </c>
    </row>
    <row r="1263">
      <c r="A1263" t="inlineStr" s="16">
        <is>
          <t xml:space="preserve">Calculation</t>
        </is>
      </c>
      <c r="B1263">
        <f>(IF(IFERROR(IF(ISERROR('Model inputs'!B118=0),'Model inputs'!B118=0,IF('Model inputs'!B118="","",'Model inputs'!B118=0))=TRUE,FALSE),TRUE,IF(IFERROR('Model inputs'!B1262=TRUE,FALSE),TRUE,IF(OR(IF(ISERROR('Model inputs'!B118=0),'Model inputs'!B118=0,IF('Model inputs'!B118="","",'Model inputs'!B118=0))="",'Model inputs'!B1262=""),"",OR(IF(ISERROR('Model inputs'!B118=0),'Model inputs'!B118=0,IF('Model inputs'!B118="","",'Model inputs'!B118=0)),'Model inputs'!B1262)))))</f>
      </c>
    </row>
    <row r="1264">
      <c r="A1264" t="inlineStr" s="16">
        <is>
          <t xml:space="preserve">Calculation</t>
        </is>
      </c>
      <c r="B1264">
        <f>IF(ISERROR('Model inputs'!AB230&lt;='Model inputs'!B118),'Model inputs'!AB230&lt;='Model inputs'!B118,IF(OR('Model inputs'!AB230="",'Model inputs'!B118=""),"",'Model inputs'!AB230&lt;='Model inputs'!B118))</f>
      </c>
    </row>
    <row r="1265">
      <c r="A1265" t="inlineStr" s="16">
        <is>
          <t xml:space="preserve">Calculation</t>
        </is>
      </c>
      <c r="B1265">
        <f>(IF(IFERROR(IF(ISERROR('Model inputs'!B118=0),'Model inputs'!B118=0,IF('Model inputs'!B118="","",'Model inputs'!B118=0))=TRUE,FALSE),TRUE,IF(IFERROR('Model inputs'!B1264=TRUE,FALSE),TRUE,IF(OR(IF(ISERROR('Model inputs'!B118=0),'Model inputs'!B118=0,IF('Model inputs'!B118="","",'Model inputs'!B118=0))="",'Model inputs'!B1264=""),"",OR(IF(ISERROR('Model inputs'!B118=0),'Model inputs'!B118=0,IF('Model inputs'!B118="","",'Model inputs'!B118=0)),'Model inputs'!B1264)))))</f>
      </c>
    </row>
    <row r="1266">
      <c r="A1266" t="inlineStr" s="16">
        <is>
          <t xml:space="preserve">Calculation</t>
        </is>
      </c>
      <c r="B1266">
        <f>IF(ISERROR('Model inputs'!AC230&lt;='Model inputs'!B118),'Model inputs'!AC230&lt;='Model inputs'!B118,IF(OR('Model inputs'!AC230="",'Model inputs'!B118=""),"",'Model inputs'!AC230&lt;='Model inputs'!B118))</f>
      </c>
    </row>
    <row r="1267">
      <c r="A1267" t="inlineStr" s="16">
        <is>
          <t xml:space="preserve">Calculation</t>
        </is>
      </c>
      <c r="B1267">
        <f>(IF(IFERROR(IF(ISERROR('Model inputs'!B118=0),'Model inputs'!B118=0,IF('Model inputs'!B118="","",'Model inputs'!B118=0))=TRUE,FALSE),TRUE,IF(IFERROR('Model inputs'!B1266=TRUE,FALSE),TRUE,IF(OR(IF(ISERROR('Model inputs'!B118=0),'Model inputs'!B118=0,IF('Model inputs'!B118="","",'Model inputs'!B118=0))="",'Model inputs'!B1266=""),"",OR(IF(ISERROR('Model inputs'!B118=0),'Model inputs'!B118=0,IF('Model inputs'!B118="","",'Model inputs'!B118=0)),'Model inputs'!B1266)))))</f>
      </c>
    </row>
    <row r="1268">
      <c r="A1268" t="inlineStr" s="16">
        <is>
          <t xml:space="preserve">Calculation</t>
        </is>
      </c>
      <c r="B1268">
        <f>IF(ISERROR('Model inputs'!AD230&lt;='Model inputs'!B118),'Model inputs'!AD230&lt;='Model inputs'!B118,IF(OR('Model inputs'!AD230="",'Model inputs'!B118=""),"",'Model inputs'!AD230&lt;='Model inputs'!B118))</f>
      </c>
    </row>
    <row r="1269">
      <c r="A1269" t="inlineStr" s="16">
        <is>
          <t xml:space="preserve">Calculation</t>
        </is>
      </c>
      <c r="B1269">
        <f>(IF(IFERROR(IF(ISERROR('Model inputs'!B118=0),'Model inputs'!B118=0,IF('Model inputs'!B118="","",'Model inputs'!B118=0))=TRUE,FALSE),TRUE,IF(IFERROR('Model inputs'!B1268=TRUE,FALSE),TRUE,IF(OR(IF(ISERROR('Model inputs'!B118=0),'Model inputs'!B118=0,IF('Model inputs'!B118="","",'Model inputs'!B118=0))="",'Model inputs'!B1268=""),"",OR(IF(ISERROR('Model inputs'!B118=0),'Model inputs'!B118=0,IF('Model inputs'!B118="","",'Model inputs'!B118=0)),'Model inputs'!B1268)))))</f>
      </c>
    </row>
    <row r="1270">
      <c r="A1270" t="inlineStr" s="16">
        <is>
          <t xml:space="preserve">Calculation</t>
        </is>
      </c>
      <c r="B1270">
        <f>IF(ISERROR('Model inputs'!AE230&lt;='Model inputs'!B118),'Model inputs'!AE230&lt;='Model inputs'!B118,IF(OR('Model inputs'!AE230="",'Model inputs'!B118=""),"",'Model inputs'!AE230&lt;='Model inputs'!B118))</f>
      </c>
    </row>
    <row r="1271">
      <c r="A1271" t="inlineStr" s="16">
        <is>
          <t xml:space="preserve">Calculation</t>
        </is>
      </c>
      <c r="B1271">
        <f>(IF(IFERROR(IF(ISERROR('Model inputs'!B118=0),'Model inputs'!B118=0,IF('Model inputs'!B118="","",'Model inputs'!B118=0))=TRUE,FALSE),TRUE,IF(IFERROR('Model inputs'!B1270=TRUE,FALSE),TRUE,IF(OR(IF(ISERROR('Model inputs'!B118=0),'Model inputs'!B118=0,IF('Model inputs'!B118="","",'Model inputs'!B118=0))="",'Model inputs'!B1270=""),"",OR(IF(ISERROR('Model inputs'!B118=0),'Model inputs'!B118=0,IF('Model inputs'!B118="","",'Model inputs'!B118=0)),'Model inputs'!B1270)))))</f>
      </c>
    </row>
    <row r="1272">
      <c r="A1272" t="inlineStr" s="16">
        <is>
          <t xml:space="preserve">Calculation</t>
        </is>
      </c>
      <c r="B1272">
        <f>IF(ISERROR('Model inputs'!AF230&lt;='Model inputs'!B118),'Model inputs'!AF230&lt;='Model inputs'!B118,IF(OR('Model inputs'!AF230="",'Model inputs'!B118=""),"",'Model inputs'!AF230&lt;='Model inputs'!B118))</f>
      </c>
    </row>
    <row r="1273">
      <c r="A1273" t="inlineStr" s="16">
        <is>
          <t xml:space="preserve">Calculation</t>
        </is>
      </c>
      <c r="B1273">
        <f>(IF(IFERROR(IF(ISERROR('Model inputs'!B118=0),'Model inputs'!B118=0,IF('Model inputs'!B118="","",'Model inputs'!B118=0))=TRUE,FALSE),TRUE,IF(IFERROR('Model inputs'!B1272=TRUE,FALSE),TRUE,IF(OR(IF(ISERROR('Model inputs'!B118=0),'Model inputs'!B118=0,IF('Model inputs'!B118="","",'Model inputs'!B118=0))="",'Model inputs'!B1272=""),"",OR(IF(ISERROR('Model inputs'!B118=0),'Model inputs'!B118=0,IF('Model inputs'!B118="","",'Model inputs'!B118=0)),'Model inputs'!B1272)))))</f>
      </c>
    </row>
    <row r="1274">
      <c r="A1274" t="inlineStr" s="16">
        <is>
          <t xml:space="preserve">Calculation</t>
        </is>
      </c>
      <c r="B1274">
        <f>IF(ISERROR('Model inputs'!AG230&lt;='Model inputs'!B118),'Model inputs'!AG230&lt;='Model inputs'!B118,IF(OR('Model inputs'!AG230="",'Model inputs'!B118=""),"",'Model inputs'!AG230&lt;='Model inputs'!B118))</f>
      </c>
    </row>
    <row r="1275">
      <c r="A1275" t="inlineStr" s="16">
        <is>
          <t xml:space="preserve">Calculation</t>
        </is>
      </c>
      <c r="B1275">
        <f>(IF(IFERROR(IF(ISERROR('Model inputs'!B118=0),'Model inputs'!B118=0,IF('Model inputs'!B118="","",'Model inputs'!B118=0))=TRUE,FALSE),TRUE,IF(IFERROR('Model inputs'!B1274=TRUE,FALSE),TRUE,IF(OR(IF(ISERROR('Model inputs'!B118=0),'Model inputs'!B118=0,IF('Model inputs'!B118="","",'Model inputs'!B118=0))="",'Model inputs'!B1274=""),"",OR(IF(ISERROR('Model inputs'!B118=0),'Model inputs'!B118=0,IF('Model inputs'!B118="","",'Model inputs'!B118=0)),'Model inputs'!B1274)))))</f>
      </c>
    </row>
    <row r="1276">
      <c r="A1276" t="inlineStr" s="16">
        <is>
          <t xml:space="preserve">Calculation</t>
        </is>
      </c>
      <c r="B1276">
        <f>IF(ISERROR('Model inputs'!W230&lt;='Model inputs'!B119),'Model inputs'!W230&lt;='Model inputs'!B119,IF(OR('Model inputs'!W230="",'Model inputs'!B119=""),"",'Model inputs'!W230&lt;='Model inputs'!B119))</f>
      </c>
    </row>
    <row r="1277">
      <c r="A1277" t="inlineStr" s="16">
        <is>
          <t xml:space="preserve">Calculation</t>
        </is>
      </c>
      <c r="B1277">
        <f>(IF(IFERROR(IF(ISERROR('Model inputs'!B119=0),'Model inputs'!B119=0,IF('Model inputs'!B119="","",'Model inputs'!B119=0))=TRUE,FALSE),TRUE,IF(IFERROR('Model inputs'!B1276=TRUE,FALSE),TRUE,IF(OR(IF(ISERROR('Model inputs'!B119=0),'Model inputs'!B119=0,IF('Model inputs'!B119="","",'Model inputs'!B119=0))="",'Model inputs'!B1276=""),"",OR(IF(ISERROR('Model inputs'!B119=0),'Model inputs'!B119=0,IF('Model inputs'!B119="","",'Model inputs'!B119=0)),'Model inputs'!B1276)))))</f>
      </c>
    </row>
    <row r="1278">
      <c r="A1278" t="inlineStr" s="16">
        <is>
          <t xml:space="preserve">Calculation</t>
        </is>
      </c>
      <c r="B1278">
        <f>IF(ISERROR('Model inputs'!X230&lt;='Model inputs'!B119),'Model inputs'!X230&lt;='Model inputs'!B119,IF(OR('Model inputs'!X230="",'Model inputs'!B119=""),"",'Model inputs'!X230&lt;='Model inputs'!B119))</f>
      </c>
    </row>
    <row r="1279">
      <c r="A1279" t="inlineStr" s="16">
        <is>
          <t xml:space="preserve">Calculation</t>
        </is>
      </c>
      <c r="B1279">
        <f>(IF(IFERROR(IF(ISERROR('Model inputs'!B119=0),'Model inputs'!B119=0,IF('Model inputs'!B119="","",'Model inputs'!B119=0))=TRUE,FALSE),TRUE,IF(IFERROR('Model inputs'!B1278=TRUE,FALSE),TRUE,IF(OR(IF(ISERROR('Model inputs'!B119=0),'Model inputs'!B119=0,IF('Model inputs'!B119="","",'Model inputs'!B119=0))="",'Model inputs'!B1278=""),"",OR(IF(ISERROR('Model inputs'!B119=0),'Model inputs'!B119=0,IF('Model inputs'!B119="","",'Model inputs'!B119=0)),'Model inputs'!B1278)))))</f>
      </c>
    </row>
    <row r="1280">
      <c r="A1280" t="inlineStr" s="16">
        <is>
          <t xml:space="preserve">Calculation</t>
        </is>
      </c>
      <c r="B1280">
        <f>IF(ISERROR('Model inputs'!Y230&lt;='Model inputs'!B119),'Model inputs'!Y230&lt;='Model inputs'!B119,IF(OR('Model inputs'!Y230="",'Model inputs'!B119=""),"",'Model inputs'!Y230&lt;='Model inputs'!B119))</f>
      </c>
    </row>
    <row r="1281">
      <c r="A1281" t="inlineStr" s="16">
        <is>
          <t xml:space="preserve">Calculation</t>
        </is>
      </c>
      <c r="B1281">
        <f>(IF(IFERROR(IF(ISERROR('Model inputs'!B119=0),'Model inputs'!B119=0,IF('Model inputs'!B119="","",'Model inputs'!B119=0))=TRUE,FALSE),TRUE,IF(IFERROR('Model inputs'!B1280=TRUE,FALSE),TRUE,IF(OR(IF(ISERROR('Model inputs'!B119=0),'Model inputs'!B119=0,IF('Model inputs'!B119="","",'Model inputs'!B119=0))="",'Model inputs'!B1280=""),"",OR(IF(ISERROR('Model inputs'!B119=0),'Model inputs'!B119=0,IF('Model inputs'!B119="","",'Model inputs'!B119=0)),'Model inputs'!B1280)))))</f>
      </c>
    </row>
    <row r="1282">
      <c r="A1282" t="inlineStr" s="16">
        <is>
          <t xml:space="preserve">Calculation</t>
        </is>
      </c>
      <c r="B1282">
        <f>IF(ISERROR('Model inputs'!Z230&lt;='Model inputs'!B119),'Model inputs'!Z230&lt;='Model inputs'!B119,IF(OR('Model inputs'!Z230="",'Model inputs'!B119=""),"",'Model inputs'!Z230&lt;='Model inputs'!B119))</f>
      </c>
    </row>
    <row r="1283">
      <c r="A1283" t="inlineStr" s="16">
        <is>
          <t xml:space="preserve">Calculation</t>
        </is>
      </c>
      <c r="B1283">
        <f>(IF(IFERROR(IF(ISERROR('Model inputs'!B119=0),'Model inputs'!B119=0,IF('Model inputs'!B119="","",'Model inputs'!B119=0))=TRUE,FALSE),TRUE,IF(IFERROR('Model inputs'!B1282=TRUE,FALSE),TRUE,IF(OR(IF(ISERROR('Model inputs'!B119=0),'Model inputs'!B119=0,IF('Model inputs'!B119="","",'Model inputs'!B119=0))="",'Model inputs'!B1282=""),"",OR(IF(ISERROR('Model inputs'!B119=0),'Model inputs'!B119=0,IF('Model inputs'!B119="","",'Model inputs'!B119=0)),'Model inputs'!B1282)))))</f>
      </c>
    </row>
    <row r="1284">
      <c r="A1284" t="inlineStr" s="16">
        <is>
          <t xml:space="preserve">Calculation</t>
        </is>
      </c>
      <c r="B1284">
        <f>IF(ISERROR('Model inputs'!AA230&lt;='Model inputs'!B119),'Model inputs'!AA230&lt;='Model inputs'!B119,IF(OR('Model inputs'!AA230="",'Model inputs'!B119=""),"",'Model inputs'!AA230&lt;='Model inputs'!B119))</f>
      </c>
    </row>
    <row r="1285">
      <c r="A1285" t="inlineStr" s="16">
        <is>
          <t xml:space="preserve">Calculation</t>
        </is>
      </c>
      <c r="B1285">
        <f>(IF(IFERROR(IF(ISERROR('Model inputs'!B119=0),'Model inputs'!B119=0,IF('Model inputs'!B119="","",'Model inputs'!B119=0))=TRUE,FALSE),TRUE,IF(IFERROR('Model inputs'!B1284=TRUE,FALSE),TRUE,IF(OR(IF(ISERROR('Model inputs'!B119=0),'Model inputs'!B119=0,IF('Model inputs'!B119="","",'Model inputs'!B119=0))="",'Model inputs'!B1284=""),"",OR(IF(ISERROR('Model inputs'!B119=0),'Model inputs'!B119=0,IF('Model inputs'!B119="","",'Model inputs'!B119=0)),'Model inputs'!B1284)))))</f>
      </c>
    </row>
    <row r="1286">
      <c r="A1286" t="inlineStr" s="16">
        <is>
          <t xml:space="preserve">Calculation</t>
        </is>
      </c>
      <c r="B1286">
        <f>IF(ISERROR('Model inputs'!AB230&lt;='Model inputs'!B119),'Model inputs'!AB230&lt;='Model inputs'!B119,IF(OR('Model inputs'!AB230="",'Model inputs'!B119=""),"",'Model inputs'!AB230&lt;='Model inputs'!B119))</f>
      </c>
    </row>
    <row r="1287">
      <c r="A1287" t="inlineStr" s="16">
        <is>
          <t xml:space="preserve">Calculation</t>
        </is>
      </c>
      <c r="B1287">
        <f>(IF(IFERROR(IF(ISERROR('Model inputs'!B119=0),'Model inputs'!B119=0,IF('Model inputs'!B119="","",'Model inputs'!B119=0))=TRUE,FALSE),TRUE,IF(IFERROR('Model inputs'!B1286=TRUE,FALSE),TRUE,IF(OR(IF(ISERROR('Model inputs'!B119=0),'Model inputs'!B119=0,IF('Model inputs'!B119="","",'Model inputs'!B119=0))="",'Model inputs'!B1286=""),"",OR(IF(ISERROR('Model inputs'!B119=0),'Model inputs'!B119=0,IF('Model inputs'!B119="","",'Model inputs'!B119=0)),'Model inputs'!B1286)))))</f>
      </c>
    </row>
    <row r="1288">
      <c r="A1288" t="inlineStr" s="16">
        <is>
          <t xml:space="preserve">Calculation</t>
        </is>
      </c>
      <c r="B1288">
        <f>IF(ISERROR('Model inputs'!AC230&lt;='Model inputs'!B119),'Model inputs'!AC230&lt;='Model inputs'!B119,IF(OR('Model inputs'!AC230="",'Model inputs'!B119=""),"",'Model inputs'!AC230&lt;='Model inputs'!B119))</f>
      </c>
    </row>
    <row r="1289">
      <c r="A1289" t="inlineStr" s="16">
        <is>
          <t xml:space="preserve">Calculation</t>
        </is>
      </c>
      <c r="B1289">
        <f>(IF(IFERROR(IF(ISERROR('Model inputs'!B119=0),'Model inputs'!B119=0,IF('Model inputs'!B119="","",'Model inputs'!B119=0))=TRUE,FALSE),TRUE,IF(IFERROR('Model inputs'!B1288=TRUE,FALSE),TRUE,IF(OR(IF(ISERROR('Model inputs'!B119=0),'Model inputs'!B119=0,IF('Model inputs'!B119="","",'Model inputs'!B119=0))="",'Model inputs'!B1288=""),"",OR(IF(ISERROR('Model inputs'!B119=0),'Model inputs'!B119=0,IF('Model inputs'!B119="","",'Model inputs'!B119=0)),'Model inputs'!B1288)))))</f>
      </c>
    </row>
    <row r="1290">
      <c r="A1290" t="inlineStr" s="16">
        <is>
          <t xml:space="preserve">Calculation</t>
        </is>
      </c>
      <c r="B1290">
        <f>IF(ISERROR('Model inputs'!AD230&lt;='Model inputs'!B119),'Model inputs'!AD230&lt;='Model inputs'!B119,IF(OR('Model inputs'!AD230="",'Model inputs'!B119=""),"",'Model inputs'!AD230&lt;='Model inputs'!B119))</f>
      </c>
    </row>
    <row r="1291">
      <c r="A1291" t="inlineStr" s="16">
        <is>
          <t xml:space="preserve">Calculation</t>
        </is>
      </c>
      <c r="B1291">
        <f>(IF(IFERROR(IF(ISERROR('Model inputs'!B119=0),'Model inputs'!B119=0,IF('Model inputs'!B119="","",'Model inputs'!B119=0))=TRUE,FALSE),TRUE,IF(IFERROR('Model inputs'!B1290=TRUE,FALSE),TRUE,IF(OR(IF(ISERROR('Model inputs'!B119=0),'Model inputs'!B119=0,IF('Model inputs'!B119="","",'Model inputs'!B119=0))="",'Model inputs'!B1290=""),"",OR(IF(ISERROR('Model inputs'!B119=0),'Model inputs'!B119=0,IF('Model inputs'!B119="","",'Model inputs'!B119=0)),'Model inputs'!B1290)))))</f>
      </c>
    </row>
    <row r="1292">
      <c r="A1292" t="inlineStr" s="16">
        <is>
          <t xml:space="preserve">Calculation</t>
        </is>
      </c>
      <c r="B1292">
        <f>IF(ISERROR('Model inputs'!AE230&lt;='Model inputs'!B119),'Model inputs'!AE230&lt;='Model inputs'!B119,IF(OR('Model inputs'!AE230="",'Model inputs'!B119=""),"",'Model inputs'!AE230&lt;='Model inputs'!B119))</f>
      </c>
    </row>
    <row r="1293">
      <c r="A1293" t="inlineStr" s="16">
        <is>
          <t xml:space="preserve">Calculation</t>
        </is>
      </c>
      <c r="B1293">
        <f>(IF(IFERROR(IF(ISERROR('Model inputs'!B119=0),'Model inputs'!B119=0,IF('Model inputs'!B119="","",'Model inputs'!B119=0))=TRUE,FALSE),TRUE,IF(IFERROR('Model inputs'!B1292=TRUE,FALSE),TRUE,IF(OR(IF(ISERROR('Model inputs'!B119=0),'Model inputs'!B119=0,IF('Model inputs'!B119="","",'Model inputs'!B119=0))="",'Model inputs'!B1292=""),"",OR(IF(ISERROR('Model inputs'!B119=0),'Model inputs'!B119=0,IF('Model inputs'!B119="","",'Model inputs'!B119=0)),'Model inputs'!B1292)))))</f>
      </c>
    </row>
    <row r="1294">
      <c r="A1294" t="inlineStr" s="16">
        <is>
          <t xml:space="preserve">Calculation</t>
        </is>
      </c>
      <c r="B1294">
        <f>IF(ISERROR('Model inputs'!AF230&lt;='Model inputs'!B119),'Model inputs'!AF230&lt;='Model inputs'!B119,IF(OR('Model inputs'!AF230="",'Model inputs'!B119=""),"",'Model inputs'!AF230&lt;='Model inputs'!B119))</f>
      </c>
    </row>
    <row r="1295">
      <c r="A1295" t="inlineStr" s="16">
        <is>
          <t xml:space="preserve">Calculation</t>
        </is>
      </c>
      <c r="B1295">
        <f>(IF(IFERROR(IF(ISERROR('Model inputs'!B119=0),'Model inputs'!B119=0,IF('Model inputs'!B119="","",'Model inputs'!B119=0))=TRUE,FALSE),TRUE,IF(IFERROR('Model inputs'!B1294=TRUE,FALSE),TRUE,IF(OR(IF(ISERROR('Model inputs'!B119=0),'Model inputs'!B119=0,IF('Model inputs'!B119="","",'Model inputs'!B119=0))="",'Model inputs'!B1294=""),"",OR(IF(ISERROR('Model inputs'!B119=0),'Model inputs'!B119=0,IF('Model inputs'!B119="","",'Model inputs'!B119=0)),'Model inputs'!B1294)))))</f>
      </c>
    </row>
    <row r="1296">
      <c r="A1296" t="inlineStr" s="16">
        <is>
          <t xml:space="preserve">Calculation</t>
        </is>
      </c>
      <c r="B1296">
        <f>IF(ISERROR('Model inputs'!AG230&lt;='Model inputs'!B119),'Model inputs'!AG230&lt;='Model inputs'!B119,IF(OR('Model inputs'!AG230="",'Model inputs'!B119=""),"",'Model inputs'!AG230&lt;='Model inputs'!B119))</f>
      </c>
    </row>
    <row r="1297">
      <c r="A1297" t="inlineStr" s="16">
        <is>
          <t xml:space="preserve">Calculation</t>
        </is>
      </c>
      <c r="B1297">
        <f>(IF(IFERROR(IF(ISERROR('Model inputs'!B119=0),'Model inputs'!B119=0,IF('Model inputs'!B119="","",'Model inputs'!B119=0))=TRUE,FALSE),TRUE,IF(IFERROR('Model inputs'!B1296=TRUE,FALSE),TRUE,IF(OR(IF(ISERROR('Model inputs'!B119=0),'Model inputs'!B119=0,IF('Model inputs'!B119="","",'Model inputs'!B119=0))="",'Model inputs'!B1296=""),"",OR(IF(ISERROR('Model inputs'!B119=0),'Model inputs'!B119=0,IF('Model inputs'!B119="","",'Model inputs'!B119=0)),'Model inputs'!B1296)))))</f>
      </c>
    </row>
    <row r="1298">
      <c r="A1298" t="inlineStr" s="16">
        <is>
          <t xml:space="preserve">Calculation</t>
        </is>
      </c>
      <c r="B1298">
        <f>IF(ISERROR('Model inputs'!W230&lt;='Model inputs'!B120),'Model inputs'!W230&lt;='Model inputs'!B120,IF(OR('Model inputs'!W230="",'Model inputs'!B120=""),"",'Model inputs'!W230&lt;='Model inputs'!B120))</f>
      </c>
    </row>
    <row r="1299">
      <c r="A1299" t="inlineStr" s="16">
        <is>
          <t xml:space="preserve">Calculation</t>
        </is>
      </c>
      <c r="B1299">
        <f>(IF(IFERROR(IF(ISERROR('Model inputs'!B120=0),'Model inputs'!B120=0,IF('Model inputs'!B120="","",'Model inputs'!B120=0))=TRUE,FALSE),TRUE,IF(IFERROR('Model inputs'!B1298=TRUE,FALSE),TRUE,IF(OR(IF(ISERROR('Model inputs'!B120=0),'Model inputs'!B120=0,IF('Model inputs'!B120="","",'Model inputs'!B120=0))="",'Model inputs'!B1298=""),"",OR(IF(ISERROR('Model inputs'!B120=0),'Model inputs'!B120=0,IF('Model inputs'!B120="","",'Model inputs'!B120=0)),'Model inputs'!B1298)))))</f>
      </c>
    </row>
    <row r="1300">
      <c r="A1300" t="inlineStr" s="16">
        <is>
          <t xml:space="preserve">Calculation</t>
        </is>
      </c>
      <c r="B1300">
        <f>IF(ISERROR('Model inputs'!X230&lt;='Model inputs'!B120),'Model inputs'!X230&lt;='Model inputs'!B120,IF(OR('Model inputs'!X230="",'Model inputs'!B120=""),"",'Model inputs'!X230&lt;='Model inputs'!B120))</f>
      </c>
    </row>
    <row r="1301">
      <c r="A1301" t="inlineStr" s="16">
        <is>
          <t xml:space="preserve">Calculation</t>
        </is>
      </c>
      <c r="B1301">
        <f>(IF(IFERROR(IF(ISERROR('Model inputs'!B120=0),'Model inputs'!B120=0,IF('Model inputs'!B120="","",'Model inputs'!B120=0))=TRUE,FALSE),TRUE,IF(IFERROR('Model inputs'!B1300=TRUE,FALSE),TRUE,IF(OR(IF(ISERROR('Model inputs'!B120=0),'Model inputs'!B120=0,IF('Model inputs'!B120="","",'Model inputs'!B120=0))="",'Model inputs'!B1300=""),"",OR(IF(ISERROR('Model inputs'!B120=0),'Model inputs'!B120=0,IF('Model inputs'!B120="","",'Model inputs'!B120=0)),'Model inputs'!B1300)))))</f>
      </c>
    </row>
    <row r="1302">
      <c r="A1302" t="inlineStr" s="16">
        <is>
          <t xml:space="preserve">Calculation</t>
        </is>
      </c>
      <c r="B1302">
        <f>IF(ISERROR('Model inputs'!Y230&lt;='Model inputs'!B120),'Model inputs'!Y230&lt;='Model inputs'!B120,IF(OR('Model inputs'!Y230="",'Model inputs'!B120=""),"",'Model inputs'!Y230&lt;='Model inputs'!B120))</f>
      </c>
    </row>
    <row r="1303">
      <c r="A1303" t="inlineStr" s="16">
        <is>
          <t xml:space="preserve">Calculation</t>
        </is>
      </c>
      <c r="B1303">
        <f>(IF(IFERROR(IF(ISERROR('Model inputs'!B120=0),'Model inputs'!B120=0,IF('Model inputs'!B120="","",'Model inputs'!B120=0))=TRUE,FALSE),TRUE,IF(IFERROR('Model inputs'!B1302=TRUE,FALSE),TRUE,IF(OR(IF(ISERROR('Model inputs'!B120=0),'Model inputs'!B120=0,IF('Model inputs'!B120="","",'Model inputs'!B120=0))="",'Model inputs'!B1302=""),"",OR(IF(ISERROR('Model inputs'!B120=0),'Model inputs'!B120=0,IF('Model inputs'!B120="","",'Model inputs'!B120=0)),'Model inputs'!B1302)))))</f>
      </c>
    </row>
    <row r="1304">
      <c r="A1304" t="inlineStr" s="16">
        <is>
          <t xml:space="preserve">Calculation</t>
        </is>
      </c>
      <c r="B1304">
        <f>IF(ISERROR('Model inputs'!Z230&lt;='Model inputs'!B120),'Model inputs'!Z230&lt;='Model inputs'!B120,IF(OR('Model inputs'!Z230="",'Model inputs'!B120=""),"",'Model inputs'!Z230&lt;='Model inputs'!B120))</f>
      </c>
    </row>
    <row r="1305">
      <c r="A1305" t="inlineStr" s="16">
        <is>
          <t xml:space="preserve">Calculation</t>
        </is>
      </c>
      <c r="B1305">
        <f>(IF(IFERROR(IF(ISERROR('Model inputs'!B120=0),'Model inputs'!B120=0,IF('Model inputs'!B120="","",'Model inputs'!B120=0))=TRUE,FALSE),TRUE,IF(IFERROR('Model inputs'!B1304=TRUE,FALSE),TRUE,IF(OR(IF(ISERROR('Model inputs'!B120=0),'Model inputs'!B120=0,IF('Model inputs'!B120="","",'Model inputs'!B120=0))="",'Model inputs'!B1304=""),"",OR(IF(ISERROR('Model inputs'!B120=0),'Model inputs'!B120=0,IF('Model inputs'!B120="","",'Model inputs'!B120=0)),'Model inputs'!B1304)))))</f>
      </c>
    </row>
    <row r="1306">
      <c r="A1306" t="inlineStr" s="16">
        <is>
          <t xml:space="preserve">Calculation</t>
        </is>
      </c>
      <c r="B1306">
        <f>IF(ISERROR('Model inputs'!AA230&lt;='Model inputs'!B120),'Model inputs'!AA230&lt;='Model inputs'!B120,IF(OR('Model inputs'!AA230="",'Model inputs'!B120=""),"",'Model inputs'!AA230&lt;='Model inputs'!B120))</f>
      </c>
    </row>
    <row r="1307">
      <c r="A1307" t="inlineStr" s="16">
        <is>
          <t xml:space="preserve">Calculation</t>
        </is>
      </c>
      <c r="B1307">
        <f>(IF(IFERROR(IF(ISERROR('Model inputs'!B120=0),'Model inputs'!B120=0,IF('Model inputs'!B120="","",'Model inputs'!B120=0))=TRUE,FALSE),TRUE,IF(IFERROR('Model inputs'!B1306=TRUE,FALSE),TRUE,IF(OR(IF(ISERROR('Model inputs'!B120=0),'Model inputs'!B120=0,IF('Model inputs'!B120="","",'Model inputs'!B120=0))="",'Model inputs'!B1306=""),"",OR(IF(ISERROR('Model inputs'!B120=0),'Model inputs'!B120=0,IF('Model inputs'!B120="","",'Model inputs'!B120=0)),'Model inputs'!B1306)))))</f>
      </c>
    </row>
    <row r="1308">
      <c r="A1308" t="inlineStr" s="16">
        <is>
          <t xml:space="preserve">Calculation</t>
        </is>
      </c>
      <c r="B1308">
        <f>IF(ISERROR('Model inputs'!AB230&lt;='Model inputs'!B120),'Model inputs'!AB230&lt;='Model inputs'!B120,IF(OR('Model inputs'!AB230="",'Model inputs'!B120=""),"",'Model inputs'!AB230&lt;='Model inputs'!B120))</f>
      </c>
    </row>
    <row r="1309">
      <c r="A1309" t="inlineStr" s="16">
        <is>
          <t xml:space="preserve">Calculation</t>
        </is>
      </c>
      <c r="B1309">
        <f>(IF(IFERROR(IF(ISERROR('Model inputs'!B120=0),'Model inputs'!B120=0,IF('Model inputs'!B120="","",'Model inputs'!B120=0))=TRUE,FALSE),TRUE,IF(IFERROR('Model inputs'!B1308=TRUE,FALSE),TRUE,IF(OR(IF(ISERROR('Model inputs'!B120=0),'Model inputs'!B120=0,IF('Model inputs'!B120="","",'Model inputs'!B120=0))="",'Model inputs'!B1308=""),"",OR(IF(ISERROR('Model inputs'!B120=0),'Model inputs'!B120=0,IF('Model inputs'!B120="","",'Model inputs'!B120=0)),'Model inputs'!B1308)))))</f>
      </c>
    </row>
    <row r="1310">
      <c r="A1310" t="inlineStr" s="16">
        <is>
          <t xml:space="preserve">Calculation</t>
        </is>
      </c>
      <c r="B1310">
        <f>IF(ISERROR('Model inputs'!AC230&lt;='Model inputs'!B120),'Model inputs'!AC230&lt;='Model inputs'!B120,IF(OR('Model inputs'!AC230="",'Model inputs'!B120=""),"",'Model inputs'!AC230&lt;='Model inputs'!B120))</f>
      </c>
    </row>
    <row r="1311">
      <c r="A1311" t="inlineStr" s="16">
        <is>
          <t xml:space="preserve">Calculation</t>
        </is>
      </c>
      <c r="B1311">
        <f>(IF(IFERROR(IF(ISERROR('Model inputs'!B120=0),'Model inputs'!B120=0,IF('Model inputs'!B120="","",'Model inputs'!B120=0))=TRUE,FALSE),TRUE,IF(IFERROR('Model inputs'!B1310=TRUE,FALSE),TRUE,IF(OR(IF(ISERROR('Model inputs'!B120=0),'Model inputs'!B120=0,IF('Model inputs'!B120="","",'Model inputs'!B120=0))="",'Model inputs'!B1310=""),"",OR(IF(ISERROR('Model inputs'!B120=0),'Model inputs'!B120=0,IF('Model inputs'!B120="","",'Model inputs'!B120=0)),'Model inputs'!B1310)))))</f>
      </c>
    </row>
    <row r="1312">
      <c r="A1312" t="inlineStr" s="16">
        <is>
          <t xml:space="preserve">Calculation</t>
        </is>
      </c>
      <c r="B1312">
        <f>IF(ISERROR('Model inputs'!AD230&lt;='Model inputs'!B120),'Model inputs'!AD230&lt;='Model inputs'!B120,IF(OR('Model inputs'!AD230="",'Model inputs'!B120=""),"",'Model inputs'!AD230&lt;='Model inputs'!B120))</f>
      </c>
    </row>
    <row r="1313">
      <c r="A1313" t="inlineStr" s="16">
        <is>
          <t xml:space="preserve">Calculation</t>
        </is>
      </c>
      <c r="B1313">
        <f>(IF(IFERROR(IF(ISERROR('Model inputs'!B120=0),'Model inputs'!B120=0,IF('Model inputs'!B120="","",'Model inputs'!B120=0))=TRUE,FALSE),TRUE,IF(IFERROR('Model inputs'!B1312=TRUE,FALSE),TRUE,IF(OR(IF(ISERROR('Model inputs'!B120=0),'Model inputs'!B120=0,IF('Model inputs'!B120="","",'Model inputs'!B120=0))="",'Model inputs'!B1312=""),"",OR(IF(ISERROR('Model inputs'!B120=0),'Model inputs'!B120=0,IF('Model inputs'!B120="","",'Model inputs'!B120=0)),'Model inputs'!B1312)))))</f>
      </c>
    </row>
    <row r="1314">
      <c r="A1314" t="inlineStr" s="16">
        <is>
          <t xml:space="preserve">Calculation</t>
        </is>
      </c>
      <c r="B1314">
        <f>IF(ISERROR('Model inputs'!AE230&lt;='Model inputs'!B120),'Model inputs'!AE230&lt;='Model inputs'!B120,IF(OR('Model inputs'!AE230="",'Model inputs'!B120=""),"",'Model inputs'!AE230&lt;='Model inputs'!B120))</f>
      </c>
    </row>
    <row r="1315">
      <c r="A1315" t="inlineStr" s="16">
        <is>
          <t xml:space="preserve">Calculation</t>
        </is>
      </c>
      <c r="B1315">
        <f>(IF(IFERROR(IF(ISERROR('Model inputs'!B120=0),'Model inputs'!B120=0,IF('Model inputs'!B120="","",'Model inputs'!B120=0))=TRUE,FALSE),TRUE,IF(IFERROR('Model inputs'!B1314=TRUE,FALSE),TRUE,IF(OR(IF(ISERROR('Model inputs'!B120=0),'Model inputs'!B120=0,IF('Model inputs'!B120="","",'Model inputs'!B120=0))="",'Model inputs'!B1314=""),"",OR(IF(ISERROR('Model inputs'!B120=0),'Model inputs'!B120=0,IF('Model inputs'!B120="","",'Model inputs'!B120=0)),'Model inputs'!B1314)))))</f>
      </c>
    </row>
    <row r="1316">
      <c r="A1316" t="inlineStr" s="16">
        <is>
          <t xml:space="preserve">Calculation</t>
        </is>
      </c>
      <c r="B1316">
        <f>IF(ISERROR('Model inputs'!AF230&lt;='Model inputs'!B120),'Model inputs'!AF230&lt;='Model inputs'!B120,IF(OR('Model inputs'!AF230="",'Model inputs'!B120=""),"",'Model inputs'!AF230&lt;='Model inputs'!B120))</f>
      </c>
    </row>
    <row r="1317">
      <c r="A1317" t="inlineStr" s="16">
        <is>
          <t xml:space="preserve">Calculation</t>
        </is>
      </c>
      <c r="B1317">
        <f>(IF(IFERROR(IF(ISERROR('Model inputs'!B120=0),'Model inputs'!B120=0,IF('Model inputs'!B120="","",'Model inputs'!B120=0))=TRUE,FALSE),TRUE,IF(IFERROR('Model inputs'!B1316=TRUE,FALSE),TRUE,IF(OR(IF(ISERROR('Model inputs'!B120=0),'Model inputs'!B120=0,IF('Model inputs'!B120="","",'Model inputs'!B120=0))="",'Model inputs'!B1316=""),"",OR(IF(ISERROR('Model inputs'!B120=0),'Model inputs'!B120=0,IF('Model inputs'!B120="","",'Model inputs'!B120=0)),'Model inputs'!B1316)))))</f>
      </c>
    </row>
    <row r="1318">
      <c r="A1318" t="inlineStr" s="16">
        <is>
          <t xml:space="preserve">Calculation</t>
        </is>
      </c>
      <c r="B1318">
        <f>IF(ISERROR('Model inputs'!AG230&lt;='Model inputs'!B120),'Model inputs'!AG230&lt;='Model inputs'!B120,IF(OR('Model inputs'!AG230="",'Model inputs'!B120=""),"",'Model inputs'!AG230&lt;='Model inputs'!B120))</f>
      </c>
    </row>
    <row r="1319">
      <c r="A1319" t="inlineStr" s="16">
        <is>
          <t xml:space="preserve">Calculation</t>
        </is>
      </c>
      <c r="B1319">
        <f>(IF(IFERROR(IF(ISERROR('Model inputs'!B120=0),'Model inputs'!B120=0,IF('Model inputs'!B120="","",'Model inputs'!B120=0))=TRUE,FALSE),TRUE,IF(IFERROR('Model inputs'!B1318=TRUE,FALSE),TRUE,IF(OR(IF(ISERROR('Model inputs'!B120=0),'Model inputs'!B120=0,IF('Model inputs'!B120="","",'Model inputs'!B120=0))="",'Model inputs'!B1318=""),"",OR(IF(ISERROR('Model inputs'!B120=0),'Model inputs'!B120=0,IF('Model inputs'!B120="","",'Model inputs'!B120=0)),'Model inputs'!B1318)))))</f>
      </c>
    </row>
    <row r="1320">
      <c r="A1320" t="inlineStr" s="16">
        <is>
          <t xml:space="preserve">Calculation</t>
        </is>
      </c>
      <c r="B1320">
        <f>IF(ISERROR('Model inputs'!W230&lt;='Model inputs'!B121),'Model inputs'!W230&lt;='Model inputs'!B121,IF(OR('Model inputs'!W230="",'Model inputs'!B121=""),"",'Model inputs'!W230&lt;='Model inputs'!B121))</f>
      </c>
    </row>
    <row r="1321">
      <c r="A1321" t="inlineStr" s="16">
        <is>
          <t xml:space="preserve">Calculation</t>
        </is>
      </c>
      <c r="B1321">
        <f>(IF(IFERROR(IF(ISERROR('Model inputs'!B121=0),'Model inputs'!B121=0,IF('Model inputs'!B121="","",'Model inputs'!B121=0))=TRUE,FALSE),TRUE,IF(IFERROR('Model inputs'!B1320=TRUE,FALSE),TRUE,IF(OR(IF(ISERROR('Model inputs'!B121=0),'Model inputs'!B121=0,IF('Model inputs'!B121="","",'Model inputs'!B121=0))="",'Model inputs'!B1320=""),"",OR(IF(ISERROR('Model inputs'!B121=0),'Model inputs'!B121=0,IF('Model inputs'!B121="","",'Model inputs'!B121=0)),'Model inputs'!B1320)))))</f>
      </c>
    </row>
    <row r="1322">
      <c r="A1322" t="inlineStr" s="16">
        <is>
          <t xml:space="preserve">Calculation</t>
        </is>
      </c>
      <c r="B1322">
        <f>IF(ISERROR('Model inputs'!X230&lt;='Model inputs'!B121),'Model inputs'!X230&lt;='Model inputs'!B121,IF(OR('Model inputs'!X230="",'Model inputs'!B121=""),"",'Model inputs'!X230&lt;='Model inputs'!B121))</f>
      </c>
    </row>
    <row r="1323">
      <c r="A1323" t="inlineStr" s="16">
        <is>
          <t xml:space="preserve">Calculation</t>
        </is>
      </c>
      <c r="B1323">
        <f>(IF(IFERROR(IF(ISERROR('Model inputs'!B121=0),'Model inputs'!B121=0,IF('Model inputs'!B121="","",'Model inputs'!B121=0))=TRUE,FALSE),TRUE,IF(IFERROR('Model inputs'!B1322=TRUE,FALSE),TRUE,IF(OR(IF(ISERROR('Model inputs'!B121=0),'Model inputs'!B121=0,IF('Model inputs'!B121="","",'Model inputs'!B121=0))="",'Model inputs'!B1322=""),"",OR(IF(ISERROR('Model inputs'!B121=0),'Model inputs'!B121=0,IF('Model inputs'!B121="","",'Model inputs'!B121=0)),'Model inputs'!B1322)))))</f>
      </c>
    </row>
    <row r="1324">
      <c r="A1324" t="inlineStr" s="16">
        <is>
          <t xml:space="preserve">Calculation</t>
        </is>
      </c>
      <c r="B1324">
        <f>IF(ISERROR('Model inputs'!Y230&lt;='Model inputs'!B121),'Model inputs'!Y230&lt;='Model inputs'!B121,IF(OR('Model inputs'!Y230="",'Model inputs'!B121=""),"",'Model inputs'!Y230&lt;='Model inputs'!B121))</f>
      </c>
    </row>
    <row r="1325">
      <c r="A1325" t="inlineStr" s="16">
        <is>
          <t xml:space="preserve">Calculation</t>
        </is>
      </c>
      <c r="B1325">
        <f>(IF(IFERROR(IF(ISERROR('Model inputs'!B121=0),'Model inputs'!B121=0,IF('Model inputs'!B121="","",'Model inputs'!B121=0))=TRUE,FALSE),TRUE,IF(IFERROR('Model inputs'!B1324=TRUE,FALSE),TRUE,IF(OR(IF(ISERROR('Model inputs'!B121=0),'Model inputs'!B121=0,IF('Model inputs'!B121="","",'Model inputs'!B121=0))="",'Model inputs'!B1324=""),"",OR(IF(ISERROR('Model inputs'!B121=0),'Model inputs'!B121=0,IF('Model inputs'!B121="","",'Model inputs'!B121=0)),'Model inputs'!B1324)))))</f>
      </c>
    </row>
    <row r="1326">
      <c r="A1326" t="inlineStr" s="16">
        <is>
          <t xml:space="preserve">Calculation</t>
        </is>
      </c>
      <c r="B1326">
        <f>IF(ISERROR('Model inputs'!Z230&lt;='Model inputs'!B121),'Model inputs'!Z230&lt;='Model inputs'!B121,IF(OR('Model inputs'!Z230="",'Model inputs'!B121=""),"",'Model inputs'!Z230&lt;='Model inputs'!B121))</f>
      </c>
    </row>
    <row r="1327">
      <c r="A1327" t="inlineStr" s="16">
        <is>
          <t xml:space="preserve">Calculation</t>
        </is>
      </c>
      <c r="B1327">
        <f>(IF(IFERROR(IF(ISERROR('Model inputs'!B121=0),'Model inputs'!B121=0,IF('Model inputs'!B121="","",'Model inputs'!B121=0))=TRUE,FALSE),TRUE,IF(IFERROR('Model inputs'!B1326=TRUE,FALSE),TRUE,IF(OR(IF(ISERROR('Model inputs'!B121=0),'Model inputs'!B121=0,IF('Model inputs'!B121="","",'Model inputs'!B121=0))="",'Model inputs'!B1326=""),"",OR(IF(ISERROR('Model inputs'!B121=0),'Model inputs'!B121=0,IF('Model inputs'!B121="","",'Model inputs'!B121=0)),'Model inputs'!B1326)))))</f>
      </c>
    </row>
    <row r="1328">
      <c r="A1328" t="inlineStr" s="16">
        <is>
          <t xml:space="preserve">Calculation</t>
        </is>
      </c>
      <c r="B1328">
        <f>IF(ISERROR('Model inputs'!AA230&lt;='Model inputs'!B121),'Model inputs'!AA230&lt;='Model inputs'!B121,IF(OR('Model inputs'!AA230="",'Model inputs'!B121=""),"",'Model inputs'!AA230&lt;='Model inputs'!B121))</f>
      </c>
    </row>
    <row r="1329">
      <c r="A1329" t="inlineStr" s="16">
        <is>
          <t xml:space="preserve">Calculation</t>
        </is>
      </c>
      <c r="B1329">
        <f>(IF(IFERROR(IF(ISERROR('Model inputs'!B121=0),'Model inputs'!B121=0,IF('Model inputs'!B121="","",'Model inputs'!B121=0))=TRUE,FALSE),TRUE,IF(IFERROR('Model inputs'!B1328=TRUE,FALSE),TRUE,IF(OR(IF(ISERROR('Model inputs'!B121=0),'Model inputs'!B121=0,IF('Model inputs'!B121="","",'Model inputs'!B121=0))="",'Model inputs'!B1328=""),"",OR(IF(ISERROR('Model inputs'!B121=0),'Model inputs'!B121=0,IF('Model inputs'!B121="","",'Model inputs'!B121=0)),'Model inputs'!B1328)))))</f>
      </c>
    </row>
    <row r="1330">
      <c r="A1330" t="inlineStr" s="16">
        <is>
          <t xml:space="preserve">Calculation</t>
        </is>
      </c>
      <c r="B1330">
        <f>IF(ISERROR('Model inputs'!AB230&lt;='Model inputs'!B121),'Model inputs'!AB230&lt;='Model inputs'!B121,IF(OR('Model inputs'!AB230="",'Model inputs'!B121=""),"",'Model inputs'!AB230&lt;='Model inputs'!B121))</f>
      </c>
    </row>
    <row r="1331">
      <c r="A1331" t="inlineStr" s="16">
        <is>
          <t xml:space="preserve">Calculation</t>
        </is>
      </c>
      <c r="B1331">
        <f>(IF(IFERROR(IF(ISERROR('Model inputs'!B121=0),'Model inputs'!B121=0,IF('Model inputs'!B121="","",'Model inputs'!B121=0))=TRUE,FALSE),TRUE,IF(IFERROR('Model inputs'!B1330=TRUE,FALSE),TRUE,IF(OR(IF(ISERROR('Model inputs'!B121=0),'Model inputs'!B121=0,IF('Model inputs'!B121="","",'Model inputs'!B121=0))="",'Model inputs'!B1330=""),"",OR(IF(ISERROR('Model inputs'!B121=0),'Model inputs'!B121=0,IF('Model inputs'!B121="","",'Model inputs'!B121=0)),'Model inputs'!B1330)))))</f>
      </c>
    </row>
    <row r="1332">
      <c r="A1332" t="inlineStr" s="16">
        <is>
          <t xml:space="preserve">Calculation</t>
        </is>
      </c>
      <c r="B1332">
        <f>IF(ISERROR('Model inputs'!AC230&lt;='Model inputs'!B121),'Model inputs'!AC230&lt;='Model inputs'!B121,IF(OR('Model inputs'!AC230="",'Model inputs'!B121=""),"",'Model inputs'!AC230&lt;='Model inputs'!B121))</f>
      </c>
    </row>
    <row r="1333">
      <c r="A1333" t="inlineStr" s="16">
        <is>
          <t xml:space="preserve">Calculation</t>
        </is>
      </c>
      <c r="B1333">
        <f>(IF(IFERROR(IF(ISERROR('Model inputs'!B121=0),'Model inputs'!B121=0,IF('Model inputs'!B121="","",'Model inputs'!B121=0))=TRUE,FALSE),TRUE,IF(IFERROR('Model inputs'!B1332=TRUE,FALSE),TRUE,IF(OR(IF(ISERROR('Model inputs'!B121=0),'Model inputs'!B121=0,IF('Model inputs'!B121="","",'Model inputs'!B121=0))="",'Model inputs'!B1332=""),"",OR(IF(ISERROR('Model inputs'!B121=0),'Model inputs'!B121=0,IF('Model inputs'!B121="","",'Model inputs'!B121=0)),'Model inputs'!B1332)))))</f>
      </c>
    </row>
    <row r="1334">
      <c r="A1334" t="inlineStr" s="16">
        <is>
          <t xml:space="preserve">Calculation</t>
        </is>
      </c>
      <c r="B1334">
        <f>IF(ISERROR('Model inputs'!AD230&lt;='Model inputs'!B121),'Model inputs'!AD230&lt;='Model inputs'!B121,IF(OR('Model inputs'!AD230="",'Model inputs'!B121=""),"",'Model inputs'!AD230&lt;='Model inputs'!B121))</f>
      </c>
    </row>
    <row r="1335">
      <c r="A1335" t="inlineStr" s="16">
        <is>
          <t xml:space="preserve">Calculation</t>
        </is>
      </c>
      <c r="B1335">
        <f>(IF(IFERROR(IF(ISERROR('Model inputs'!B121=0),'Model inputs'!B121=0,IF('Model inputs'!B121="","",'Model inputs'!B121=0))=TRUE,FALSE),TRUE,IF(IFERROR('Model inputs'!B1334=TRUE,FALSE),TRUE,IF(OR(IF(ISERROR('Model inputs'!B121=0),'Model inputs'!B121=0,IF('Model inputs'!B121="","",'Model inputs'!B121=0))="",'Model inputs'!B1334=""),"",OR(IF(ISERROR('Model inputs'!B121=0),'Model inputs'!B121=0,IF('Model inputs'!B121="","",'Model inputs'!B121=0)),'Model inputs'!B1334)))))</f>
      </c>
    </row>
    <row r="1336">
      <c r="A1336" t="inlineStr" s="16">
        <is>
          <t xml:space="preserve">Calculation</t>
        </is>
      </c>
      <c r="B1336">
        <f>IF(ISERROR('Model inputs'!AE230&lt;='Model inputs'!B121),'Model inputs'!AE230&lt;='Model inputs'!B121,IF(OR('Model inputs'!AE230="",'Model inputs'!B121=""),"",'Model inputs'!AE230&lt;='Model inputs'!B121))</f>
      </c>
    </row>
    <row r="1337">
      <c r="A1337" t="inlineStr" s="16">
        <is>
          <t xml:space="preserve">Calculation</t>
        </is>
      </c>
      <c r="B1337">
        <f>(IF(IFERROR(IF(ISERROR('Model inputs'!B121=0),'Model inputs'!B121=0,IF('Model inputs'!B121="","",'Model inputs'!B121=0))=TRUE,FALSE),TRUE,IF(IFERROR('Model inputs'!B1336=TRUE,FALSE),TRUE,IF(OR(IF(ISERROR('Model inputs'!B121=0),'Model inputs'!B121=0,IF('Model inputs'!B121="","",'Model inputs'!B121=0))="",'Model inputs'!B1336=""),"",OR(IF(ISERROR('Model inputs'!B121=0),'Model inputs'!B121=0,IF('Model inputs'!B121="","",'Model inputs'!B121=0)),'Model inputs'!B1336)))))</f>
      </c>
    </row>
    <row r="1338">
      <c r="A1338" t="inlineStr" s="16">
        <is>
          <t xml:space="preserve">Calculation</t>
        </is>
      </c>
      <c r="B1338">
        <f>IF(ISERROR('Model inputs'!AF230&lt;='Model inputs'!B121),'Model inputs'!AF230&lt;='Model inputs'!B121,IF(OR('Model inputs'!AF230="",'Model inputs'!B121=""),"",'Model inputs'!AF230&lt;='Model inputs'!B121))</f>
      </c>
    </row>
    <row r="1339">
      <c r="A1339" t="inlineStr" s="16">
        <is>
          <t xml:space="preserve">Calculation</t>
        </is>
      </c>
      <c r="B1339">
        <f>(IF(IFERROR(IF(ISERROR('Model inputs'!B121=0),'Model inputs'!B121=0,IF('Model inputs'!B121="","",'Model inputs'!B121=0))=TRUE,FALSE),TRUE,IF(IFERROR('Model inputs'!B1338=TRUE,FALSE),TRUE,IF(OR(IF(ISERROR('Model inputs'!B121=0),'Model inputs'!B121=0,IF('Model inputs'!B121="","",'Model inputs'!B121=0))="",'Model inputs'!B1338=""),"",OR(IF(ISERROR('Model inputs'!B121=0),'Model inputs'!B121=0,IF('Model inputs'!B121="","",'Model inputs'!B121=0)),'Model inputs'!B1338)))))</f>
      </c>
    </row>
    <row r="1340">
      <c r="A1340" t="inlineStr" s="16">
        <is>
          <t xml:space="preserve">Calculation</t>
        </is>
      </c>
      <c r="B1340">
        <f>IF(ISERROR('Model inputs'!AG230&lt;='Model inputs'!B121),'Model inputs'!AG230&lt;='Model inputs'!B121,IF(OR('Model inputs'!AG230="",'Model inputs'!B121=""),"",'Model inputs'!AG230&lt;='Model inputs'!B121))</f>
      </c>
    </row>
    <row r="1341">
      <c r="A1341" t="inlineStr" s="16">
        <is>
          <t xml:space="preserve">Calculation</t>
        </is>
      </c>
      <c r="B1341">
        <f>(IF(IFERROR(IF(ISERROR('Model inputs'!B121=0),'Model inputs'!B121=0,IF('Model inputs'!B121="","",'Model inputs'!B121=0))=TRUE,FALSE),TRUE,IF(IFERROR('Model inputs'!B1340=TRUE,FALSE),TRUE,IF(OR(IF(ISERROR('Model inputs'!B121=0),'Model inputs'!B121=0,IF('Model inputs'!B121="","",'Model inputs'!B121=0))="",'Model inputs'!B1340=""),"",OR(IF(ISERROR('Model inputs'!B121=0),'Model inputs'!B121=0,IF('Model inputs'!B121="","",'Model inputs'!B121=0)),'Model inputs'!B1340)))))</f>
      </c>
    </row>
    <row r="1342">
      <c r="A1342" t="inlineStr" s="16">
        <is>
          <t xml:space="preserve">Calculation</t>
        </is>
      </c>
      <c r="B1342">
        <f>IF(ISERROR('Model inputs'!W230&lt;='Model inputs'!B122),'Model inputs'!W230&lt;='Model inputs'!B122,IF(OR('Model inputs'!W230="",'Model inputs'!B122=""),"",'Model inputs'!W230&lt;='Model inputs'!B122))</f>
      </c>
    </row>
    <row r="1343">
      <c r="A1343" t="inlineStr" s="16">
        <is>
          <t xml:space="preserve">Calculation</t>
        </is>
      </c>
      <c r="B1343">
        <f>(IF(IFERROR(IF(ISERROR('Model inputs'!B122=0),'Model inputs'!B122=0,IF('Model inputs'!B122="","",'Model inputs'!B122=0))=TRUE,FALSE),TRUE,IF(IFERROR('Model inputs'!B1342=TRUE,FALSE),TRUE,IF(OR(IF(ISERROR('Model inputs'!B122=0),'Model inputs'!B122=0,IF('Model inputs'!B122="","",'Model inputs'!B122=0))="",'Model inputs'!B1342=""),"",OR(IF(ISERROR('Model inputs'!B122=0),'Model inputs'!B122=0,IF('Model inputs'!B122="","",'Model inputs'!B122=0)),'Model inputs'!B1342)))))</f>
      </c>
    </row>
    <row r="1344">
      <c r="A1344" t="inlineStr" s="16">
        <is>
          <t xml:space="preserve">Calculation</t>
        </is>
      </c>
      <c r="B1344">
        <f>IF(ISERROR('Model inputs'!X230&lt;='Model inputs'!B122),'Model inputs'!X230&lt;='Model inputs'!B122,IF(OR('Model inputs'!X230="",'Model inputs'!B122=""),"",'Model inputs'!X230&lt;='Model inputs'!B122))</f>
      </c>
    </row>
    <row r="1345">
      <c r="A1345" t="inlineStr" s="16">
        <is>
          <t xml:space="preserve">Calculation</t>
        </is>
      </c>
      <c r="B1345">
        <f>(IF(IFERROR(IF(ISERROR('Model inputs'!B122=0),'Model inputs'!B122=0,IF('Model inputs'!B122="","",'Model inputs'!B122=0))=TRUE,FALSE),TRUE,IF(IFERROR('Model inputs'!B1344=TRUE,FALSE),TRUE,IF(OR(IF(ISERROR('Model inputs'!B122=0),'Model inputs'!B122=0,IF('Model inputs'!B122="","",'Model inputs'!B122=0))="",'Model inputs'!B1344=""),"",OR(IF(ISERROR('Model inputs'!B122=0),'Model inputs'!B122=0,IF('Model inputs'!B122="","",'Model inputs'!B122=0)),'Model inputs'!B1344)))))</f>
      </c>
    </row>
    <row r="1346">
      <c r="A1346" t="inlineStr" s="16">
        <is>
          <t xml:space="preserve">Calculation</t>
        </is>
      </c>
      <c r="B1346">
        <f>IF(ISERROR('Model inputs'!Y230&lt;='Model inputs'!B122),'Model inputs'!Y230&lt;='Model inputs'!B122,IF(OR('Model inputs'!Y230="",'Model inputs'!B122=""),"",'Model inputs'!Y230&lt;='Model inputs'!B122))</f>
      </c>
    </row>
    <row r="1347">
      <c r="A1347" t="inlineStr" s="16">
        <is>
          <t xml:space="preserve">Calculation</t>
        </is>
      </c>
      <c r="B1347">
        <f>(IF(IFERROR(IF(ISERROR('Model inputs'!B122=0),'Model inputs'!B122=0,IF('Model inputs'!B122="","",'Model inputs'!B122=0))=TRUE,FALSE),TRUE,IF(IFERROR('Model inputs'!B1346=TRUE,FALSE),TRUE,IF(OR(IF(ISERROR('Model inputs'!B122=0),'Model inputs'!B122=0,IF('Model inputs'!B122="","",'Model inputs'!B122=0))="",'Model inputs'!B1346=""),"",OR(IF(ISERROR('Model inputs'!B122=0),'Model inputs'!B122=0,IF('Model inputs'!B122="","",'Model inputs'!B122=0)),'Model inputs'!B1346)))))</f>
      </c>
    </row>
    <row r="1348">
      <c r="A1348" t="inlineStr" s="16">
        <is>
          <t xml:space="preserve">Calculation</t>
        </is>
      </c>
      <c r="B1348">
        <f>IF(ISERROR('Model inputs'!Z230&lt;='Model inputs'!B122),'Model inputs'!Z230&lt;='Model inputs'!B122,IF(OR('Model inputs'!Z230="",'Model inputs'!B122=""),"",'Model inputs'!Z230&lt;='Model inputs'!B122))</f>
      </c>
    </row>
    <row r="1349">
      <c r="A1349" t="inlineStr" s="16">
        <is>
          <t xml:space="preserve">Calculation</t>
        </is>
      </c>
      <c r="B1349">
        <f>(IF(IFERROR(IF(ISERROR('Model inputs'!B122=0),'Model inputs'!B122=0,IF('Model inputs'!B122="","",'Model inputs'!B122=0))=TRUE,FALSE),TRUE,IF(IFERROR('Model inputs'!B1348=TRUE,FALSE),TRUE,IF(OR(IF(ISERROR('Model inputs'!B122=0),'Model inputs'!B122=0,IF('Model inputs'!B122="","",'Model inputs'!B122=0))="",'Model inputs'!B1348=""),"",OR(IF(ISERROR('Model inputs'!B122=0),'Model inputs'!B122=0,IF('Model inputs'!B122="","",'Model inputs'!B122=0)),'Model inputs'!B1348)))))</f>
      </c>
    </row>
    <row r="1350">
      <c r="A1350" t="inlineStr" s="16">
        <is>
          <t xml:space="preserve">Calculation</t>
        </is>
      </c>
      <c r="B1350">
        <f>IF(ISERROR('Model inputs'!AA230&lt;='Model inputs'!B122),'Model inputs'!AA230&lt;='Model inputs'!B122,IF(OR('Model inputs'!AA230="",'Model inputs'!B122=""),"",'Model inputs'!AA230&lt;='Model inputs'!B122))</f>
      </c>
    </row>
    <row r="1351">
      <c r="A1351" t="inlineStr" s="16">
        <is>
          <t xml:space="preserve">Calculation</t>
        </is>
      </c>
      <c r="B1351">
        <f>(IF(IFERROR(IF(ISERROR('Model inputs'!B122=0),'Model inputs'!B122=0,IF('Model inputs'!B122="","",'Model inputs'!B122=0))=TRUE,FALSE),TRUE,IF(IFERROR('Model inputs'!B1350=TRUE,FALSE),TRUE,IF(OR(IF(ISERROR('Model inputs'!B122=0),'Model inputs'!B122=0,IF('Model inputs'!B122="","",'Model inputs'!B122=0))="",'Model inputs'!B1350=""),"",OR(IF(ISERROR('Model inputs'!B122=0),'Model inputs'!B122=0,IF('Model inputs'!B122="","",'Model inputs'!B122=0)),'Model inputs'!B1350)))))</f>
      </c>
    </row>
    <row r="1352">
      <c r="A1352" t="inlineStr" s="16">
        <is>
          <t xml:space="preserve">Calculation</t>
        </is>
      </c>
      <c r="B1352">
        <f>IF(ISERROR('Model inputs'!AB230&lt;='Model inputs'!B122),'Model inputs'!AB230&lt;='Model inputs'!B122,IF(OR('Model inputs'!AB230="",'Model inputs'!B122=""),"",'Model inputs'!AB230&lt;='Model inputs'!B122))</f>
      </c>
    </row>
    <row r="1353">
      <c r="A1353" t="inlineStr" s="16">
        <is>
          <t xml:space="preserve">Calculation</t>
        </is>
      </c>
      <c r="B1353">
        <f>(IF(IFERROR(IF(ISERROR('Model inputs'!B122=0),'Model inputs'!B122=0,IF('Model inputs'!B122="","",'Model inputs'!B122=0))=TRUE,FALSE),TRUE,IF(IFERROR('Model inputs'!B1352=TRUE,FALSE),TRUE,IF(OR(IF(ISERROR('Model inputs'!B122=0),'Model inputs'!B122=0,IF('Model inputs'!B122="","",'Model inputs'!B122=0))="",'Model inputs'!B1352=""),"",OR(IF(ISERROR('Model inputs'!B122=0),'Model inputs'!B122=0,IF('Model inputs'!B122="","",'Model inputs'!B122=0)),'Model inputs'!B1352)))))</f>
      </c>
    </row>
    <row r="1354">
      <c r="A1354" t="inlineStr" s="16">
        <is>
          <t xml:space="preserve">Calculation</t>
        </is>
      </c>
      <c r="B1354">
        <f>IF(ISERROR('Model inputs'!AC230&lt;='Model inputs'!B122),'Model inputs'!AC230&lt;='Model inputs'!B122,IF(OR('Model inputs'!AC230="",'Model inputs'!B122=""),"",'Model inputs'!AC230&lt;='Model inputs'!B122))</f>
      </c>
    </row>
    <row r="1355">
      <c r="A1355" t="inlineStr" s="16">
        <is>
          <t xml:space="preserve">Calculation</t>
        </is>
      </c>
      <c r="B1355">
        <f>(IF(IFERROR(IF(ISERROR('Model inputs'!B122=0),'Model inputs'!B122=0,IF('Model inputs'!B122="","",'Model inputs'!B122=0))=TRUE,FALSE),TRUE,IF(IFERROR('Model inputs'!B1354=TRUE,FALSE),TRUE,IF(OR(IF(ISERROR('Model inputs'!B122=0),'Model inputs'!B122=0,IF('Model inputs'!B122="","",'Model inputs'!B122=0))="",'Model inputs'!B1354=""),"",OR(IF(ISERROR('Model inputs'!B122=0),'Model inputs'!B122=0,IF('Model inputs'!B122="","",'Model inputs'!B122=0)),'Model inputs'!B1354)))))</f>
      </c>
    </row>
    <row r="1356">
      <c r="A1356" t="inlineStr" s="16">
        <is>
          <t xml:space="preserve">Calculation</t>
        </is>
      </c>
      <c r="B1356">
        <f>IF(ISERROR('Model inputs'!AD230&lt;='Model inputs'!B122),'Model inputs'!AD230&lt;='Model inputs'!B122,IF(OR('Model inputs'!AD230="",'Model inputs'!B122=""),"",'Model inputs'!AD230&lt;='Model inputs'!B122))</f>
      </c>
    </row>
    <row r="1357">
      <c r="A1357" t="inlineStr" s="16">
        <is>
          <t xml:space="preserve">Calculation</t>
        </is>
      </c>
      <c r="B1357">
        <f>(IF(IFERROR(IF(ISERROR('Model inputs'!B122=0),'Model inputs'!B122=0,IF('Model inputs'!B122="","",'Model inputs'!B122=0))=TRUE,FALSE),TRUE,IF(IFERROR('Model inputs'!B1356=TRUE,FALSE),TRUE,IF(OR(IF(ISERROR('Model inputs'!B122=0),'Model inputs'!B122=0,IF('Model inputs'!B122="","",'Model inputs'!B122=0))="",'Model inputs'!B1356=""),"",OR(IF(ISERROR('Model inputs'!B122=0),'Model inputs'!B122=0,IF('Model inputs'!B122="","",'Model inputs'!B122=0)),'Model inputs'!B1356)))))</f>
      </c>
    </row>
    <row r="1358">
      <c r="A1358" t="inlineStr" s="16">
        <is>
          <t xml:space="preserve">Calculation</t>
        </is>
      </c>
      <c r="B1358">
        <f>IF(ISERROR('Model inputs'!AE230&lt;='Model inputs'!B122),'Model inputs'!AE230&lt;='Model inputs'!B122,IF(OR('Model inputs'!AE230="",'Model inputs'!B122=""),"",'Model inputs'!AE230&lt;='Model inputs'!B122))</f>
      </c>
    </row>
    <row r="1359">
      <c r="A1359" t="inlineStr" s="16">
        <is>
          <t xml:space="preserve">Calculation</t>
        </is>
      </c>
      <c r="B1359">
        <f>(IF(IFERROR(IF(ISERROR('Model inputs'!B122=0),'Model inputs'!B122=0,IF('Model inputs'!B122="","",'Model inputs'!B122=0))=TRUE,FALSE),TRUE,IF(IFERROR('Model inputs'!B1358=TRUE,FALSE),TRUE,IF(OR(IF(ISERROR('Model inputs'!B122=0),'Model inputs'!B122=0,IF('Model inputs'!B122="","",'Model inputs'!B122=0))="",'Model inputs'!B1358=""),"",OR(IF(ISERROR('Model inputs'!B122=0),'Model inputs'!B122=0,IF('Model inputs'!B122="","",'Model inputs'!B122=0)),'Model inputs'!B1358)))))</f>
      </c>
    </row>
    <row r="1360">
      <c r="A1360" t="inlineStr" s="16">
        <is>
          <t xml:space="preserve">Calculation</t>
        </is>
      </c>
      <c r="B1360">
        <f>IF(ISERROR('Model inputs'!AF230&lt;='Model inputs'!B122),'Model inputs'!AF230&lt;='Model inputs'!B122,IF(OR('Model inputs'!AF230="",'Model inputs'!B122=""),"",'Model inputs'!AF230&lt;='Model inputs'!B122))</f>
      </c>
    </row>
    <row r="1361">
      <c r="A1361" t="inlineStr" s="16">
        <is>
          <t xml:space="preserve">Calculation</t>
        </is>
      </c>
      <c r="B1361">
        <f>(IF(IFERROR(IF(ISERROR('Model inputs'!B122=0),'Model inputs'!B122=0,IF('Model inputs'!B122="","",'Model inputs'!B122=0))=TRUE,FALSE),TRUE,IF(IFERROR('Model inputs'!B1360=TRUE,FALSE),TRUE,IF(OR(IF(ISERROR('Model inputs'!B122=0),'Model inputs'!B122=0,IF('Model inputs'!B122="","",'Model inputs'!B122=0))="",'Model inputs'!B1360=""),"",OR(IF(ISERROR('Model inputs'!B122=0),'Model inputs'!B122=0,IF('Model inputs'!B122="","",'Model inputs'!B122=0)),'Model inputs'!B1360)))))</f>
      </c>
    </row>
    <row r="1362">
      <c r="A1362" t="inlineStr" s="16">
        <is>
          <t xml:space="preserve">Calculation</t>
        </is>
      </c>
      <c r="B1362">
        <f>IF(ISERROR('Model inputs'!AG230&lt;='Model inputs'!B122),'Model inputs'!AG230&lt;='Model inputs'!B122,IF(OR('Model inputs'!AG230="",'Model inputs'!B122=""),"",'Model inputs'!AG230&lt;='Model inputs'!B122))</f>
      </c>
    </row>
    <row r="1363">
      <c r="A1363" t="inlineStr" s="16">
        <is>
          <t xml:space="preserve">Calculation</t>
        </is>
      </c>
      <c r="B1363">
        <f>(IF(IFERROR(IF(ISERROR('Model inputs'!B122=0),'Model inputs'!B122=0,IF('Model inputs'!B122="","",'Model inputs'!B122=0))=TRUE,FALSE),TRUE,IF(IFERROR('Model inputs'!B1362=TRUE,FALSE),TRUE,IF(OR(IF(ISERROR('Model inputs'!B122=0),'Model inputs'!B122=0,IF('Model inputs'!B122="","",'Model inputs'!B122=0))="",'Model inputs'!B1362=""),"",OR(IF(ISERROR('Model inputs'!B122=0),'Model inputs'!B122=0,IF('Model inputs'!B122="","",'Model inputs'!B122=0)),'Model inputs'!B1362)))))</f>
      </c>
    </row>
    <row r="1364">
      <c r="A1364" t="inlineStr" s="16">
        <is>
          <t xml:space="preserve">Calculation</t>
        </is>
      </c>
      <c r="B1364">
        <f>IF(ISERROR('Model inputs'!W230&lt;='Model inputs'!B123),'Model inputs'!W230&lt;='Model inputs'!B123,IF(OR('Model inputs'!W230="",'Model inputs'!B123=""),"",'Model inputs'!W230&lt;='Model inputs'!B123))</f>
      </c>
    </row>
    <row r="1365">
      <c r="A1365" t="inlineStr" s="16">
        <is>
          <t xml:space="preserve">Calculation</t>
        </is>
      </c>
      <c r="B1365">
        <f>(IF(IFERROR(IF(ISERROR('Model inputs'!B123=0),'Model inputs'!B123=0,IF('Model inputs'!B123="","",'Model inputs'!B123=0))=TRUE,FALSE),TRUE,IF(IFERROR('Model inputs'!B1364=TRUE,FALSE),TRUE,IF(OR(IF(ISERROR('Model inputs'!B123=0),'Model inputs'!B123=0,IF('Model inputs'!B123="","",'Model inputs'!B123=0))="",'Model inputs'!B1364=""),"",OR(IF(ISERROR('Model inputs'!B123=0),'Model inputs'!B123=0,IF('Model inputs'!B123="","",'Model inputs'!B123=0)),'Model inputs'!B1364)))))</f>
      </c>
    </row>
    <row r="1366">
      <c r="A1366" t="inlineStr" s="16">
        <is>
          <t xml:space="preserve">Calculation</t>
        </is>
      </c>
      <c r="B1366">
        <f>IF(ISERROR('Model inputs'!X230&lt;='Model inputs'!B123),'Model inputs'!X230&lt;='Model inputs'!B123,IF(OR('Model inputs'!X230="",'Model inputs'!B123=""),"",'Model inputs'!X230&lt;='Model inputs'!B123))</f>
      </c>
    </row>
    <row r="1367">
      <c r="A1367" t="inlineStr" s="16">
        <is>
          <t xml:space="preserve">Calculation</t>
        </is>
      </c>
      <c r="B1367">
        <f>(IF(IFERROR(IF(ISERROR('Model inputs'!B123=0),'Model inputs'!B123=0,IF('Model inputs'!B123="","",'Model inputs'!B123=0))=TRUE,FALSE),TRUE,IF(IFERROR('Model inputs'!B1366=TRUE,FALSE),TRUE,IF(OR(IF(ISERROR('Model inputs'!B123=0),'Model inputs'!B123=0,IF('Model inputs'!B123="","",'Model inputs'!B123=0))="",'Model inputs'!B1366=""),"",OR(IF(ISERROR('Model inputs'!B123=0),'Model inputs'!B123=0,IF('Model inputs'!B123="","",'Model inputs'!B123=0)),'Model inputs'!B1366)))))</f>
      </c>
    </row>
    <row r="1368">
      <c r="A1368" t="inlineStr" s="16">
        <is>
          <t xml:space="preserve">Calculation</t>
        </is>
      </c>
      <c r="B1368">
        <f>IF(ISERROR('Model inputs'!Y230&lt;='Model inputs'!B123),'Model inputs'!Y230&lt;='Model inputs'!B123,IF(OR('Model inputs'!Y230="",'Model inputs'!B123=""),"",'Model inputs'!Y230&lt;='Model inputs'!B123))</f>
      </c>
    </row>
    <row r="1369">
      <c r="A1369" t="inlineStr" s="16">
        <is>
          <t xml:space="preserve">Calculation</t>
        </is>
      </c>
      <c r="B1369">
        <f>(IF(IFERROR(IF(ISERROR('Model inputs'!B123=0),'Model inputs'!B123=0,IF('Model inputs'!B123="","",'Model inputs'!B123=0))=TRUE,FALSE),TRUE,IF(IFERROR('Model inputs'!B1368=TRUE,FALSE),TRUE,IF(OR(IF(ISERROR('Model inputs'!B123=0),'Model inputs'!B123=0,IF('Model inputs'!B123="","",'Model inputs'!B123=0))="",'Model inputs'!B1368=""),"",OR(IF(ISERROR('Model inputs'!B123=0),'Model inputs'!B123=0,IF('Model inputs'!B123="","",'Model inputs'!B123=0)),'Model inputs'!B1368)))))</f>
      </c>
    </row>
    <row r="1370">
      <c r="A1370" t="inlineStr" s="16">
        <is>
          <t xml:space="preserve">Calculation</t>
        </is>
      </c>
      <c r="B1370">
        <f>IF(ISERROR('Model inputs'!Z230&lt;='Model inputs'!B123),'Model inputs'!Z230&lt;='Model inputs'!B123,IF(OR('Model inputs'!Z230="",'Model inputs'!B123=""),"",'Model inputs'!Z230&lt;='Model inputs'!B123))</f>
      </c>
    </row>
    <row r="1371">
      <c r="A1371" t="inlineStr" s="16">
        <is>
          <t xml:space="preserve">Calculation</t>
        </is>
      </c>
      <c r="B1371">
        <f>(IF(IFERROR(IF(ISERROR('Model inputs'!B123=0),'Model inputs'!B123=0,IF('Model inputs'!B123="","",'Model inputs'!B123=0))=TRUE,FALSE),TRUE,IF(IFERROR('Model inputs'!B1370=TRUE,FALSE),TRUE,IF(OR(IF(ISERROR('Model inputs'!B123=0),'Model inputs'!B123=0,IF('Model inputs'!B123="","",'Model inputs'!B123=0))="",'Model inputs'!B1370=""),"",OR(IF(ISERROR('Model inputs'!B123=0),'Model inputs'!B123=0,IF('Model inputs'!B123="","",'Model inputs'!B123=0)),'Model inputs'!B1370)))))</f>
      </c>
    </row>
    <row r="1372">
      <c r="A1372" t="inlineStr" s="16">
        <is>
          <t xml:space="preserve">Calculation</t>
        </is>
      </c>
      <c r="B1372">
        <f>IF(ISERROR('Model inputs'!AA230&lt;='Model inputs'!B123),'Model inputs'!AA230&lt;='Model inputs'!B123,IF(OR('Model inputs'!AA230="",'Model inputs'!B123=""),"",'Model inputs'!AA230&lt;='Model inputs'!B123))</f>
      </c>
    </row>
    <row r="1373">
      <c r="A1373" t="inlineStr" s="16">
        <is>
          <t xml:space="preserve">Calculation</t>
        </is>
      </c>
      <c r="B1373">
        <f>(IF(IFERROR(IF(ISERROR('Model inputs'!B123=0),'Model inputs'!B123=0,IF('Model inputs'!B123="","",'Model inputs'!B123=0))=TRUE,FALSE),TRUE,IF(IFERROR('Model inputs'!B1372=TRUE,FALSE),TRUE,IF(OR(IF(ISERROR('Model inputs'!B123=0),'Model inputs'!B123=0,IF('Model inputs'!B123="","",'Model inputs'!B123=0))="",'Model inputs'!B1372=""),"",OR(IF(ISERROR('Model inputs'!B123=0),'Model inputs'!B123=0,IF('Model inputs'!B123="","",'Model inputs'!B123=0)),'Model inputs'!B1372)))))</f>
      </c>
    </row>
    <row r="1374">
      <c r="A1374" t="inlineStr" s="16">
        <is>
          <t xml:space="preserve">Calculation</t>
        </is>
      </c>
      <c r="B1374">
        <f>IF(ISERROR('Model inputs'!AB230&lt;='Model inputs'!B123),'Model inputs'!AB230&lt;='Model inputs'!B123,IF(OR('Model inputs'!AB230="",'Model inputs'!B123=""),"",'Model inputs'!AB230&lt;='Model inputs'!B123))</f>
      </c>
    </row>
    <row r="1375">
      <c r="A1375" t="inlineStr" s="16">
        <is>
          <t xml:space="preserve">Calculation</t>
        </is>
      </c>
      <c r="B1375">
        <f>(IF(IFERROR(IF(ISERROR('Model inputs'!B123=0),'Model inputs'!B123=0,IF('Model inputs'!B123="","",'Model inputs'!B123=0))=TRUE,FALSE),TRUE,IF(IFERROR('Model inputs'!B1374=TRUE,FALSE),TRUE,IF(OR(IF(ISERROR('Model inputs'!B123=0),'Model inputs'!B123=0,IF('Model inputs'!B123="","",'Model inputs'!B123=0))="",'Model inputs'!B1374=""),"",OR(IF(ISERROR('Model inputs'!B123=0),'Model inputs'!B123=0,IF('Model inputs'!B123="","",'Model inputs'!B123=0)),'Model inputs'!B1374)))))</f>
      </c>
    </row>
    <row r="1376">
      <c r="A1376" t="inlineStr" s="16">
        <is>
          <t xml:space="preserve">Calculation</t>
        </is>
      </c>
      <c r="B1376">
        <f>IF(ISERROR('Model inputs'!AC230&lt;='Model inputs'!B123),'Model inputs'!AC230&lt;='Model inputs'!B123,IF(OR('Model inputs'!AC230="",'Model inputs'!B123=""),"",'Model inputs'!AC230&lt;='Model inputs'!B123))</f>
      </c>
    </row>
    <row r="1377">
      <c r="A1377" t="inlineStr" s="16">
        <is>
          <t xml:space="preserve">Calculation</t>
        </is>
      </c>
      <c r="B1377">
        <f>(IF(IFERROR(IF(ISERROR('Model inputs'!B123=0),'Model inputs'!B123=0,IF('Model inputs'!B123="","",'Model inputs'!B123=0))=TRUE,FALSE),TRUE,IF(IFERROR('Model inputs'!B1376=TRUE,FALSE),TRUE,IF(OR(IF(ISERROR('Model inputs'!B123=0),'Model inputs'!B123=0,IF('Model inputs'!B123="","",'Model inputs'!B123=0))="",'Model inputs'!B1376=""),"",OR(IF(ISERROR('Model inputs'!B123=0),'Model inputs'!B123=0,IF('Model inputs'!B123="","",'Model inputs'!B123=0)),'Model inputs'!B1376)))))</f>
      </c>
    </row>
    <row r="1378">
      <c r="A1378" t="inlineStr" s="16">
        <is>
          <t xml:space="preserve">Calculation</t>
        </is>
      </c>
      <c r="B1378">
        <f>IF(ISERROR('Model inputs'!AD230&lt;='Model inputs'!B123),'Model inputs'!AD230&lt;='Model inputs'!B123,IF(OR('Model inputs'!AD230="",'Model inputs'!B123=""),"",'Model inputs'!AD230&lt;='Model inputs'!B123))</f>
      </c>
    </row>
    <row r="1379">
      <c r="A1379" t="inlineStr" s="16">
        <is>
          <t xml:space="preserve">Calculation</t>
        </is>
      </c>
      <c r="B1379">
        <f>(IF(IFERROR(IF(ISERROR('Model inputs'!B123=0),'Model inputs'!B123=0,IF('Model inputs'!B123="","",'Model inputs'!B123=0))=TRUE,FALSE),TRUE,IF(IFERROR('Model inputs'!B1378=TRUE,FALSE),TRUE,IF(OR(IF(ISERROR('Model inputs'!B123=0),'Model inputs'!B123=0,IF('Model inputs'!B123="","",'Model inputs'!B123=0))="",'Model inputs'!B1378=""),"",OR(IF(ISERROR('Model inputs'!B123=0),'Model inputs'!B123=0,IF('Model inputs'!B123="","",'Model inputs'!B123=0)),'Model inputs'!B1378)))))</f>
      </c>
    </row>
    <row r="1380">
      <c r="A1380" t="inlineStr" s="16">
        <is>
          <t xml:space="preserve">Calculation</t>
        </is>
      </c>
      <c r="B1380">
        <f>IF(ISERROR('Model inputs'!AE230&lt;='Model inputs'!B123),'Model inputs'!AE230&lt;='Model inputs'!B123,IF(OR('Model inputs'!AE230="",'Model inputs'!B123=""),"",'Model inputs'!AE230&lt;='Model inputs'!B123))</f>
      </c>
    </row>
    <row r="1381">
      <c r="A1381" t="inlineStr" s="16">
        <is>
          <t xml:space="preserve">Calculation</t>
        </is>
      </c>
      <c r="B1381">
        <f>(IF(IFERROR(IF(ISERROR('Model inputs'!B123=0),'Model inputs'!B123=0,IF('Model inputs'!B123="","",'Model inputs'!B123=0))=TRUE,FALSE),TRUE,IF(IFERROR('Model inputs'!B1380=TRUE,FALSE),TRUE,IF(OR(IF(ISERROR('Model inputs'!B123=0),'Model inputs'!B123=0,IF('Model inputs'!B123="","",'Model inputs'!B123=0))="",'Model inputs'!B1380=""),"",OR(IF(ISERROR('Model inputs'!B123=0),'Model inputs'!B123=0,IF('Model inputs'!B123="","",'Model inputs'!B123=0)),'Model inputs'!B1380)))))</f>
      </c>
    </row>
    <row r="1382">
      <c r="A1382" t="inlineStr" s="16">
        <is>
          <t xml:space="preserve">Calculation</t>
        </is>
      </c>
      <c r="B1382">
        <f>IF(ISERROR('Model inputs'!AF230&lt;='Model inputs'!B123),'Model inputs'!AF230&lt;='Model inputs'!B123,IF(OR('Model inputs'!AF230="",'Model inputs'!B123=""),"",'Model inputs'!AF230&lt;='Model inputs'!B123))</f>
      </c>
    </row>
    <row r="1383">
      <c r="A1383" t="inlineStr" s="16">
        <is>
          <t xml:space="preserve">Calculation</t>
        </is>
      </c>
      <c r="B1383">
        <f>(IF(IFERROR(IF(ISERROR('Model inputs'!B123=0),'Model inputs'!B123=0,IF('Model inputs'!B123="","",'Model inputs'!B123=0))=TRUE,FALSE),TRUE,IF(IFERROR('Model inputs'!B1382=TRUE,FALSE),TRUE,IF(OR(IF(ISERROR('Model inputs'!B123=0),'Model inputs'!B123=0,IF('Model inputs'!B123="","",'Model inputs'!B123=0))="",'Model inputs'!B1382=""),"",OR(IF(ISERROR('Model inputs'!B123=0),'Model inputs'!B123=0,IF('Model inputs'!B123="","",'Model inputs'!B123=0)),'Model inputs'!B1382)))))</f>
      </c>
    </row>
    <row r="1384">
      <c r="A1384" t="inlineStr" s="16">
        <is>
          <t xml:space="preserve">Calculation</t>
        </is>
      </c>
      <c r="B1384">
        <f>IF(ISERROR('Model inputs'!AG230&lt;='Model inputs'!B123),'Model inputs'!AG230&lt;='Model inputs'!B123,IF(OR('Model inputs'!AG230="",'Model inputs'!B123=""),"",'Model inputs'!AG230&lt;='Model inputs'!B123))</f>
      </c>
    </row>
    <row r="1385">
      <c r="A1385" t="inlineStr" s="16">
        <is>
          <t xml:space="preserve">Calculation</t>
        </is>
      </c>
      <c r="B1385">
        <f>(IF(IFERROR(IF(ISERROR('Model inputs'!B123=0),'Model inputs'!B123=0,IF('Model inputs'!B123="","",'Model inputs'!B123=0))=TRUE,FALSE),TRUE,IF(IFERROR('Model inputs'!B1384=TRUE,FALSE),TRUE,IF(OR(IF(ISERROR('Model inputs'!B123=0),'Model inputs'!B123=0,IF('Model inputs'!B123="","",'Model inputs'!B123=0))="",'Model inputs'!B1384=""),"",OR(IF(ISERROR('Model inputs'!B123=0),'Model inputs'!B123=0,IF('Model inputs'!B123="","",'Model inputs'!B123=0)),'Model inputs'!B1384)))))</f>
      </c>
    </row>
    <row r="1386">
      <c r="A1386" t="inlineStr" s="16">
        <is>
          <t xml:space="preserve">Calculation</t>
        </is>
      </c>
      <c r="B1386">
        <f>IF(ISERROR('Model inputs'!W230&lt;='Model inputs'!B124),'Model inputs'!W230&lt;='Model inputs'!B124,IF(OR('Model inputs'!W230="",'Model inputs'!B124=""),"",'Model inputs'!W230&lt;='Model inputs'!B124))</f>
      </c>
    </row>
    <row r="1387">
      <c r="A1387" t="inlineStr" s="16">
        <is>
          <t xml:space="preserve">Calculation</t>
        </is>
      </c>
      <c r="B1387">
        <f>(IF(IFERROR(IF(ISERROR('Model inputs'!B124=0),'Model inputs'!B124=0,IF('Model inputs'!B124="","",'Model inputs'!B124=0))=TRUE,FALSE),TRUE,IF(IFERROR('Model inputs'!B1386=TRUE,FALSE),TRUE,IF(OR(IF(ISERROR('Model inputs'!B124=0),'Model inputs'!B124=0,IF('Model inputs'!B124="","",'Model inputs'!B124=0))="",'Model inputs'!B1386=""),"",OR(IF(ISERROR('Model inputs'!B124=0),'Model inputs'!B124=0,IF('Model inputs'!B124="","",'Model inputs'!B124=0)),'Model inputs'!B1386)))))</f>
      </c>
    </row>
    <row r="1388">
      <c r="A1388" t="inlineStr" s="16">
        <is>
          <t xml:space="preserve">Calculation</t>
        </is>
      </c>
      <c r="B1388">
        <f>IF(ISERROR('Model inputs'!X230&lt;='Model inputs'!B124),'Model inputs'!X230&lt;='Model inputs'!B124,IF(OR('Model inputs'!X230="",'Model inputs'!B124=""),"",'Model inputs'!X230&lt;='Model inputs'!B124))</f>
      </c>
    </row>
    <row r="1389">
      <c r="A1389" t="inlineStr" s="16">
        <is>
          <t xml:space="preserve">Calculation</t>
        </is>
      </c>
      <c r="B1389">
        <f>(IF(IFERROR(IF(ISERROR('Model inputs'!B124=0),'Model inputs'!B124=0,IF('Model inputs'!B124="","",'Model inputs'!B124=0))=TRUE,FALSE),TRUE,IF(IFERROR('Model inputs'!B1388=TRUE,FALSE),TRUE,IF(OR(IF(ISERROR('Model inputs'!B124=0),'Model inputs'!B124=0,IF('Model inputs'!B124="","",'Model inputs'!B124=0))="",'Model inputs'!B1388=""),"",OR(IF(ISERROR('Model inputs'!B124=0),'Model inputs'!B124=0,IF('Model inputs'!B124="","",'Model inputs'!B124=0)),'Model inputs'!B1388)))))</f>
      </c>
    </row>
    <row r="1390">
      <c r="A1390" t="inlineStr" s="16">
        <is>
          <t xml:space="preserve">Calculation</t>
        </is>
      </c>
      <c r="B1390">
        <f>IF(ISERROR('Model inputs'!Y230&lt;='Model inputs'!B124),'Model inputs'!Y230&lt;='Model inputs'!B124,IF(OR('Model inputs'!Y230="",'Model inputs'!B124=""),"",'Model inputs'!Y230&lt;='Model inputs'!B124))</f>
      </c>
    </row>
    <row r="1391">
      <c r="A1391" t="inlineStr" s="16">
        <is>
          <t xml:space="preserve">Calculation</t>
        </is>
      </c>
      <c r="B1391">
        <f>(IF(IFERROR(IF(ISERROR('Model inputs'!B124=0),'Model inputs'!B124=0,IF('Model inputs'!B124="","",'Model inputs'!B124=0))=TRUE,FALSE),TRUE,IF(IFERROR('Model inputs'!B1390=TRUE,FALSE),TRUE,IF(OR(IF(ISERROR('Model inputs'!B124=0),'Model inputs'!B124=0,IF('Model inputs'!B124="","",'Model inputs'!B124=0))="",'Model inputs'!B1390=""),"",OR(IF(ISERROR('Model inputs'!B124=0),'Model inputs'!B124=0,IF('Model inputs'!B124="","",'Model inputs'!B124=0)),'Model inputs'!B1390)))))</f>
      </c>
    </row>
    <row r="1392">
      <c r="A1392" t="inlineStr" s="16">
        <is>
          <t xml:space="preserve">Calculation</t>
        </is>
      </c>
      <c r="B1392">
        <f>IF(ISERROR('Model inputs'!Z230&lt;='Model inputs'!B124),'Model inputs'!Z230&lt;='Model inputs'!B124,IF(OR('Model inputs'!Z230="",'Model inputs'!B124=""),"",'Model inputs'!Z230&lt;='Model inputs'!B124))</f>
      </c>
    </row>
    <row r="1393">
      <c r="A1393" t="inlineStr" s="16">
        <is>
          <t xml:space="preserve">Calculation</t>
        </is>
      </c>
      <c r="B1393">
        <f>(IF(IFERROR(IF(ISERROR('Model inputs'!B124=0),'Model inputs'!B124=0,IF('Model inputs'!B124="","",'Model inputs'!B124=0))=TRUE,FALSE),TRUE,IF(IFERROR('Model inputs'!B1392=TRUE,FALSE),TRUE,IF(OR(IF(ISERROR('Model inputs'!B124=0),'Model inputs'!B124=0,IF('Model inputs'!B124="","",'Model inputs'!B124=0))="",'Model inputs'!B1392=""),"",OR(IF(ISERROR('Model inputs'!B124=0),'Model inputs'!B124=0,IF('Model inputs'!B124="","",'Model inputs'!B124=0)),'Model inputs'!B1392)))))</f>
      </c>
    </row>
    <row r="1394">
      <c r="A1394" t="inlineStr" s="16">
        <is>
          <t xml:space="preserve">Calculation</t>
        </is>
      </c>
      <c r="B1394">
        <f>IF(ISERROR('Model inputs'!AA230&lt;='Model inputs'!B124),'Model inputs'!AA230&lt;='Model inputs'!B124,IF(OR('Model inputs'!AA230="",'Model inputs'!B124=""),"",'Model inputs'!AA230&lt;='Model inputs'!B124))</f>
      </c>
    </row>
    <row r="1395">
      <c r="A1395" t="inlineStr" s="16">
        <is>
          <t xml:space="preserve">Calculation</t>
        </is>
      </c>
      <c r="B1395">
        <f>(IF(IFERROR(IF(ISERROR('Model inputs'!B124=0),'Model inputs'!B124=0,IF('Model inputs'!B124="","",'Model inputs'!B124=0))=TRUE,FALSE),TRUE,IF(IFERROR('Model inputs'!B1394=TRUE,FALSE),TRUE,IF(OR(IF(ISERROR('Model inputs'!B124=0),'Model inputs'!B124=0,IF('Model inputs'!B124="","",'Model inputs'!B124=0))="",'Model inputs'!B1394=""),"",OR(IF(ISERROR('Model inputs'!B124=0),'Model inputs'!B124=0,IF('Model inputs'!B124="","",'Model inputs'!B124=0)),'Model inputs'!B1394)))))</f>
      </c>
    </row>
    <row r="1396">
      <c r="A1396" t="inlineStr" s="16">
        <is>
          <t xml:space="preserve">Calculation</t>
        </is>
      </c>
      <c r="B1396">
        <f>IF(ISERROR('Model inputs'!AB230&lt;='Model inputs'!B124),'Model inputs'!AB230&lt;='Model inputs'!B124,IF(OR('Model inputs'!AB230="",'Model inputs'!B124=""),"",'Model inputs'!AB230&lt;='Model inputs'!B124))</f>
      </c>
    </row>
    <row r="1397">
      <c r="A1397" t="inlineStr" s="16">
        <is>
          <t xml:space="preserve">Calculation</t>
        </is>
      </c>
      <c r="B1397">
        <f>(IF(IFERROR(IF(ISERROR('Model inputs'!B124=0),'Model inputs'!B124=0,IF('Model inputs'!B124="","",'Model inputs'!B124=0))=TRUE,FALSE),TRUE,IF(IFERROR('Model inputs'!B1396=TRUE,FALSE),TRUE,IF(OR(IF(ISERROR('Model inputs'!B124=0),'Model inputs'!B124=0,IF('Model inputs'!B124="","",'Model inputs'!B124=0))="",'Model inputs'!B1396=""),"",OR(IF(ISERROR('Model inputs'!B124=0),'Model inputs'!B124=0,IF('Model inputs'!B124="","",'Model inputs'!B124=0)),'Model inputs'!B1396)))))</f>
      </c>
    </row>
    <row r="1398">
      <c r="A1398" t="inlineStr" s="16">
        <is>
          <t xml:space="preserve">Calculation</t>
        </is>
      </c>
      <c r="B1398">
        <f>IF(ISERROR('Model inputs'!AC230&lt;='Model inputs'!B124),'Model inputs'!AC230&lt;='Model inputs'!B124,IF(OR('Model inputs'!AC230="",'Model inputs'!B124=""),"",'Model inputs'!AC230&lt;='Model inputs'!B124))</f>
      </c>
    </row>
    <row r="1399">
      <c r="A1399" t="inlineStr" s="16">
        <is>
          <t xml:space="preserve">Calculation</t>
        </is>
      </c>
      <c r="B1399">
        <f>(IF(IFERROR(IF(ISERROR('Model inputs'!B124=0),'Model inputs'!B124=0,IF('Model inputs'!B124="","",'Model inputs'!B124=0))=TRUE,FALSE),TRUE,IF(IFERROR('Model inputs'!B1398=TRUE,FALSE),TRUE,IF(OR(IF(ISERROR('Model inputs'!B124=0),'Model inputs'!B124=0,IF('Model inputs'!B124="","",'Model inputs'!B124=0))="",'Model inputs'!B1398=""),"",OR(IF(ISERROR('Model inputs'!B124=0),'Model inputs'!B124=0,IF('Model inputs'!B124="","",'Model inputs'!B124=0)),'Model inputs'!B1398)))))</f>
      </c>
    </row>
    <row r="1400">
      <c r="A1400" t="inlineStr" s="16">
        <is>
          <t xml:space="preserve">Calculation</t>
        </is>
      </c>
      <c r="B1400">
        <f>IF(ISERROR('Model inputs'!AD230&lt;='Model inputs'!B124),'Model inputs'!AD230&lt;='Model inputs'!B124,IF(OR('Model inputs'!AD230="",'Model inputs'!B124=""),"",'Model inputs'!AD230&lt;='Model inputs'!B124))</f>
      </c>
    </row>
    <row r="1401">
      <c r="A1401" t="inlineStr" s="16">
        <is>
          <t xml:space="preserve">Calculation</t>
        </is>
      </c>
      <c r="B1401">
        <f>(IF(IFERROR(IF(ISERROR('Model inputs'!B124=0),'Model inputs'!B124=0,IF('Model inputs'!B124="","",'Model inputs'!B124=0))=TRUE,FALSE),TRUE,IF(IFERROR('Model inputs'!B1400=TRUE,FALSE),TRUE,IF(OR(IF(ISERROR('Model inputs'!B124=0),'Model inputs'!B124=0,IF('Model inputs'!B124="","",'Model inputs'!B124=0))="",'Model inputs'!B1400=""),"",OR(IF(ISERROR('Model inputs'!B124=0),'Model inputs'!B124=0,IF('Model inputs'!B124="","",'Model inputs'!B124=0)),'Model inputs'!B1400)))))</f>
      </c>
    </row>
    <row r="1402">
      <c r="A1402" t="inlineStr" s="16">
        <is>
          <t xml:space="preserve">Calculation</t>
        </is>
      </c>
      <c r="B1402">
        <f>IF(ISERROR('Model inputs'!AE230&lt;='Model inputs'!B124),'Model inputs'!AE230&lt;='Model inputs'!B124,IF(OR('Model inputs'!AE230="",'Model inputs'!B124=""),"",'Model inputs'!AE230&lt;='Model inputs'!B124))</f>
      </c>
    </row>
    <row r="1403">
      <c r="A1403" t="inlineStr" s="16">
        <is>
          <t xml:space="preserve">Calculation</t>
        </is>
      </c>
      <c r="B1403">
        <f>(IF(IFERROR(IF(ISERROR('Model inputs'!B124=0),'Model inputs'!B124=0,IF('Model inputs'!B124="","",'Model inputs'!B124=0))=TRUE,FALSE),TRUE,IF(IFERROR('Model inputs'!B1402=TRUE,FALSE),TRUE,IF(OR(IF(ISERROR('Model inputs'!B124=0),'Model inputs'!B124=0,IF('Model inputs'!B124="","",'Model inputs'!B124=0))="",'Model inputs'!B1402=""),"",OR(IF(ISERROR('Model inputs'!B124=0),'Model inputs'!B124=0,IF('Model inputs'!B124="","",'Model inputs'!B124=0)),'Model inputs'!B1402)))))</f>
      </c>
    </row>
    <row r="1404">
      <c r="A1404" t="inlineStr" s="16">
        <is>
          <t xml:space="preserve">Calculation</t>
        </is>
      </c>
      <c r="B1404">
        <f>IF(ISERROR('Model inputs'!AF230&lt;='Model inputs'!B124),'Model inputs'!AF230&lt;='Model inputs'!B124,IF(OR('Model inputs'!AF230="",'Model inputs'!B124=""),"",'Model inputs'!AF230&lt;='Model inputs'!B124))</f>
      </c>
    </row>
    <row r="1405">
      <c r="A1405" t="inlineStr" s="16">
        <is>
          <t xml:space="preserve">Calculation</t>
        </is>
      </c>
      <c r="B1405">
        <f>(IF(IFERROR(IF(ISERROR('Model inputs'!B124=0),'Model inputs'!B124=0,IF('Model inputs'!B124="","",'Model inputs'!B124=0))=TRUE,FALSE),TRUE,IF(IFERROR('Model inputs'!B1404=TRUE,FALSE),TRUE,IF(OR(IF(ISERROR('Model inputs'!B124=0),'Model inputs'!B124=0,IF('Model inputs'!B124="","",'Model inputs'!B124=0))="",'Model inputs'!B1404=""),"",OR(IF(ISERROR('Model inputs'!B124=0),'Model inputs'!B124=0,IF('Model inputs'!B124="","",'Model inputs'!B124=0)),'Model inputs'!B1404)))))</f>
      </c>
    </row>
    <row r="1406">
      <c r="A1406" t="inlineStr" s="16">
        <is>
          <t xml:space="preserve">Calculation</t>
        </is>
      </c>
      <c r="B1406">
        <f>IF(ISERROR('Model inputs'!AG230&lt;='Model inputs'!B124),'Model inputs'!AG230&lt;='Model inputs'!B124,IF(OR('Model inputs'!AG230="",'Model inputs'!B124=""),"",'Model inputs'!AG230&lt;='Model inputs'!B124))</f>
      </c>
    </row>
    <row r="1407">
      <c r="A1407" t="inlineStr" s="16">
        <is>
          <t xml:space="preserve">Calculation</t>
        </is>
      </c>
      <c r="B1407">
        <f>(IF(IFERROR(IF(ISERROR('Model inputs'!B124=0),'Model inputs'!B124=0,IF('Model inputs'!B124="","",'Model inputs'!B124=0))=TRUE,FALSE),TRUE,IF(IFERROR('Model inputs'!B1406=TRUE,FALSE),TRUE,IF(OR(IF(ISERROR('Model inputs'!B124=0),'Model inputs'!B124=0,IF('Model inputs'!B124="","",'Model inputs'!B124=0))="",'Model inputs'!B1406=""),"",OR(IF(ISERROR('Model inputs'!B124=0),'Model inputs'!B124=0,IF('Model inputs'!B124="","",'Model inputs'!B124=0)),'Model inputs'!B1406)))))</f>
      </c>
    </row>
    <row r="1408">
      <c r="A1408" t="inlineStr" s="16">
        <is>
          <t xml:space="preserve">Calculation</t>
        </is>
      </c>
      <c r="B1408">
        <f>IF(ISERROR('Model inputs'!W230&lt;='Model inputs'!B125),'Model inputs'!W230&lt;='Model inputs'!B125,IF(OR('Model inputs'!W230="",'Model inputs'!B125=""),"",'Model inputs'!W230&lt;='Model inputs'!B125))</f>
      </c>
    </row>
    <row r="1409">
      <c r="A1409" t="inlineStr" s="16">
        <is>
          <t xml:space="preserve">Calculation</t>
        </is>
      </c>
      <c r="B1409">
        <f>(IF(IFERROR(IF(ISERROR('Model inputs'!B125=0),'Model inputs'!B125=0,IF('Model inputs'!B125="","",'Model inputs'!B125=0))=TRUE,FALSE),TRUE,IF(IFERROR('Model inputs'!B1408=TRUE,FALSE),TRUE,IF(OR(IF(ISERROR('Model inputs'!B125=0),'Model inputs'!B125=0,IF('Model inputs'!B125="","",'Model inputs'!B125=0))="",'Model inputs'!B1408=""),"",OR(IF(ISERROR('Model inputs'!B125=0),'Model inputs'!B125=0,IF('Model inputs'!B125="","",'Model inputs'!B125=0)),'Model inputs'!B1408)))))</f>
      </c>
    </row>
    <row r="1410">
      <c r="A1410" t="inlineStr" s="16">
        <is>
          <t xml:space="preserve">Calculation</t>
        </is>
      </c>
      <c r="B1410">
        <f>IF(ISERROR('Model inputs'!X230&lt;='Model inputs'!B125),'Model inputs'!X230&lt;='Model inputs'!B125,IF(OR('Model inputs'!X230="",'Model inputs'!B125=""),"",'Model inputs'!X230&lt;='Model inputs'!B125))</f>
      </c>
    </row>
    <row r="1411">
      <c r="A1411" t="inlineStr" s="16">
        <is>
          <t xml:space="preserve">Calculation</t>
        </is>
      </c>
      <c r="B1411">
        <f>(IF(IFERROR(IF(ISERROR('Model inputs'!B125=0),'Model inputs'!B125=0,IF('Model inputs'!B125="","",'Model inputs'!B125=0))=TRUE,FALSE),TRUE,IF(IFERROR('Model inputs'!B1410=TRUE,FALSE),TRUE,IF(OR(IF(ISERROR('Model inputs'!B125=0),'Model inputs'!B125=0,IF('Model inputs'!B125="","",'Model inputs'!B125=0))="",'Model inputs'!B1410=""),"",OR(IF(ISERROR('Model inputs'!B125=0),'Model inputs'!B125=0,IF('Model inputs'!B125="","",'Model inputs'!B125=0)),'Model inputs'!B1410)))))</f>
      </c>
    </row>
    <row r="1412">
      <c r="A1412" t="inlineStr" s="16">
        <is>
          <t xml:space="preserve">Calculation</t>
        </is>
      </c>
      <c r="B1412">
        <f>IF(ISERROR('Model inputs'!Y230&lt;='Model inputs'!B125),'Model inputs'!Y230&lt;='Model inputs'!B125,IF(OR('Model inputs'!Y230="",'Model inputs'!B125=""),"",'Model inputs'!Y230&lt;='Model inputs'!B125))</f>
      </c>
    </row>
    <row r="1413">
      <c r="A1413" t="inlineStr" s="16">
        <is>
          <t xml:space="preserve">Calculation</t>
        </is>
      </c>
      <c r="B1413">
        <f>(IF(IFERROR(IF(ISERROR('Model inputs'!B125=0),'Model inputs'!B125=0,IF('Model inputs'!B125="","",'Model inputs'!B125=0))=TRUE,FALSE),TRUE,IF(IFERROR('Model inputs'!B1412=TRUE,FALSE),TRUE,IF(OR(IF(ISERROR('Model inputs'!B125=0),'Model inputs'!B125=0,IF('Model inputs'!B125="","",'Model inputs'!B125=0))="",'Model inputs'!B1412=""),"",OR(IF(ISERROR('Model inputs'!B125=0),'Model inputs'!B125=0,IF('Model inputs'!B125="","",'Model inputs'!B125=0)),'Model inputs'!B1412)))))</f>
      </c>
    </row>
    <row r="1414">
      <c r="A1414" t="inlineStr" s="16">
        <is>
          <t xml:space="preserve">Calculation</t>
        </is>
      </c>
      <c r="B1414">
        <f>IF(ISERROR('Model inputs'!Z230&lt;='Model inputs'!B125),'Model inputs'!Z230&lt;='Model inputs'!B125,IF(OR('Model inputs'!Z230="",'Model inputs'!B125=""),"",'Model inputs'!Z230&lt;='Model inputs'!B125))</f>
      </c>
    </row>
    <row r="1415">
      <c r="A1415" t="inlineStr" s="16">
        <is>
          <t xml:space="preserve">Calculation</t>
        </is>
      </c>
      <c r="B1415">
        <f>(IF(IFERROR(IF(ISERROR('Model inputs'!B125=0),'Model inputs'!B125=0,IF('Model inputs'!B125="","",'Model inputs'!B125=0))=TRUE,FALSE),TRUE,IF(IFERROR('Model inputs'!B1414=TRUE,FALSE),TRUE,IF(OR(IF(ISERROR('Model inputs'!B125=0),'Model inputs'!B125=0,IF('Model inputs'!B125="","",'Model inputs'!B125=0))="",'Model inputs'!B1414=""),"",OR(IF(ISERROR('Model inputs'!B125=0),'Model inputs'!B125=0,IF('Model inputs'!B125="","",'Model inputs'!B125=0)),'Model inputs'!B1414)))))</f>
      </c>
    </row>
    <row r="1416">
      <c r="A1416" t="inlineStr" s="16">
        <is>
          <t xml:space="preserve">Calculation</t>
        </is>
      </c>
      <c r="B1416">
        <f>IF(ISERROR('Model inputs'!AA230&lt;='Model inputs'!B125),'Model inputs'!AA230&lt;='Model inputs'!B125,IF(OR('Model inputs'!AA230="",'Model inputs'!B125=""),"",'Model inputs'!AA230&lt;='Model inputs'!B125))</f>
      </c>
    </row>
    <row r="1417">
      <c r="A1417" t="inlineStr" s="16">
        <is>
          <t xml:space="preserve">Calculation</t>
        </is>
      </c>
      <c r="B1417">
        <f>(IF(IFERROR(IF(ISERROR('Model inputs'!B125=0),'Model inputs'!B125=0,IF('Model inputs'!B125="","",'Model inputs'!B125=0))=TRUE,FALSE),TRUE,IF(IFERROR('Model inputs'!B1416=TRUE,FALSE),TRUE,IF(OR(IF(ISERROR('Model inputs'!B125=0),'Model inputs'!B125=0,IF('Model inputs'!B125="","",'Model inputs'!B125=0))="",'Model inputs'!B1416=""),"",OR(IF(ISERROR('Model inputs'!B125=0),'Model inputs'!B125=0,IF('Model inputs'!B125="","",'Model inputs'!B125=0)),'Model inputs'!B1416)))))</f>
      </c>
    </row>
    <row r="1418">
      <c r="A1418" t="inlineStr" s="16">
        <is>
          <t xml:space="preserve">Calculation</t>
        </is>
      </c>
      <c r="B1418">
        <f>IF(ISERROR('Model inputs'!AB230&lt;='Model inputs'!B125),'Model inputs'!AB230&lt;='Model inputs'!B125,IF(OR('Model inputs'!AB230="",'Model inputs'!B125=""),"",'Model inputs'!AB230&lt;='Model inputs'!B125))</f>
      </c>
    </row>
    <row r="1419">
      <c r="A1419" t="inlineStr" s="16">
        <is>
          <t xml:space="preserve">Calculation</t>
        </is>
      </c>
      <c r="B1419">
        <f>(IF(IFERROR(IF(ISERROR('Model inputs'!B125=0),'Model inputs'!B125=0,IF('Model inputs'!B125="","",'Model inputs'!B125=0))=TRUE,FALSE),TRUE,IF(IFERROR('Model inputs'!B1418=TRUE,FALSE),TRUE,IF(OR(IF(ISERROR('Model inputs'!B125=0),'Model inputs'!B125=0,IF('Model inputs'!B125="","",'Model inputs'!B125=0))="",'Model inputs'!B1418=""),"",OR(IF(ISERROR('Model inputs'!B125=0),'Model inputs'!B125=0,IF('Model inputs'!B125="","",'Model inputs'!B125=0)),'Model inputs'!B1418)))))</f>
      </c>
    </row>
    <row r="1420">
      <c r="A1420" t="inlineStr" s="16">
        <is>
          <t xml:space="preserve">Calculation</t>
        </is>
      </c>
      <c r="B1420">
        <f>IF(ISERROR('Model inputs'!AC230&lt;='Model inputs'!B125),'Model inputs'!AC230&lt;='Model inputs'!B125,IF(OR('Model inputs'!AC230="",'Model inputs'!B125=""),"",'Model inputs'!AC230&lt;='Model inputs'!B125))</f>
      </c>
    </row>
    <row r="1421">
      <c r="A1421" t="inlineStr" s="16">
        <is>
          <t xml:space="preserve">Calculation</t>
        </is>
      </c>
      <c r="B1421">
        <f>(IF(IFERROR(IF(ISERROR('Model inputs'!B125=0),'Model inputs'!B125=0,IF('Model inputs'!B125="","",'Model inputs'!B125=0))=TRUE,FALSE),TRUE,IF(IFERROR('Model inputs'!B1420=TRUE,FALSE),TRUE,IF(OR(IF(ISERROR('Model inputs'!B125=0),'Model inputs'!B125=0,IF('Model inputs'!B125="","",'Model inputs'!B125=0))="",'Model inputs'!B1420=""),"",OR(IF(ISERROR('Model inputs'!B125=0),'Model inputs'!B125=0,IF('Model inputs'!B125="","",'Model inputs'!B125=0)),'Model inputs'!B1420)))))</f>
      </c>
    </row>
    <row r="1422">
      <c r="A1422" t="inlineStr" s="16">
        <is>
          <t xml:space="preserve">Calculation</t>
        </is>
      </c>
      <c r="B1422">
        <f>IF(ISERROR('Model inputs'!AD230&lt;='Model inputs'!B125),'Model inputs'!AD230&lt;='Model inputs'!B125,IF(OR('Model inputs'!AD230="",'Model inputs'!B125=""),"",'Model inputs'!AD230&lt;='Model inputs'!B125))</f>
      </c>
    </row>
    <row r="1423">
      <c r="A1423" t="inlineStr" s="16">
        <is>
          <t xml:space="preserve">Calculation</t>
        </is>
      </c>
      <c r="B1423">
        <f>(IF(IFERROR(IF(ISERROR('Model inputs'!B125=0),'Model inputs'!B125=0,IF('Model inputs'!B125="","",'Model inputs'!B125=0))=TRUE,FALSE),TRUE,IF(IFERROR('Model inputs'!B1422=TRUE,FALSE),TRUE,IF(OR(IF(ISERROR('Model inputs'!B125=0),'Model inputs'!B125=0,IF('Model inputs'!B125="","",'Model inputs'!B125=0))="",'Model inputs'!B1422=""),"",OR(IF(ISERROR('Model inputs'!B125=0),'Model inputs'!B125=0,IF('Model inputs'!B125="","",'Model inputs'!B125=0)),'Model inputs'!B1422)))))</f>
      </c>
    </row>
    <row r="1424">
      <c r="A1424" t="inlineStr" s="16">
        <is>
          <t xml:space="preserve">Calculation</t>
        </is>
      </c>
      <c r="B1424">
        <f>IF(ISERROR('Model inputs'!AE230&lt;='Model inputs'!B125),'Model inputs'!AE230&lt;='Model inputs'!B125,IF(OR('Model inputs'!AE230="",'Model inputs'!B125=""),"",'Model inputs'!AE230&lt;='Model inputs'!B125))</f>
      </c>
    </row>
    <row r="1425">
      <c r="A1425" t="inlineStr" s="16">
        <is>
          <t xml:space="preserve">Calculation</t>
        </is>
      </c>
      <c r="B1425">
        <f>(IF(IFERROR(IF(ISERROR('Model inputs'!B125=0),'Model inputs'!B125=0,IF('Model inputs'!B125="","",'Model inputs'!B125=0))=TRUE,FALSE),TRUE,IF(IFERROR('Model inputs'!B1424=TRUE,FALSE),TRUE,IF(OR(IF(ISERROR('Model inputs'!B125=0),'Model inputs'!B125=0,IF('Model inputs'!B125="","",'Model inputs'!B125=0))="",'Model inputs'!B1424=""),"",OR(IF(ISERROR('Model inputs'!B125=0),'Model inputs'!B125=0,IF('Model inputs'!B125="","",'Model inputs'!B125=0)),'Model inputs'!B1424)))))</f>
      </c>
    </row>
    <row r="1426">
      <c r="A1426" t="inlineStr" s="16">
        <is>
          <t xml:space="preserve">Calculation</t>
        </is>
      </c>
      <c r="B1426">
        <f>IF(ISERROR('Model inputs'!AF230&lt;='Model inputs'!B125),'Model inputs'!AF230&lt;='Model inputs'!B125,IF(OR('Model inputs'!AF230="",'Model inputs'!B125=""),"",'Model inputs'!AF230&lt;='Model inputs'!B125))</f>
      </c>
    </row>
    <row r="1427">
      <c r="A1427" t="inlineStr" s="16">
        <is>
          <t xml:space="preserve">Calculation</t>
        </is>
      </c>
      <c r="B1427">
        <f>(IF(IFERROR(IF(ISERROR('Model inputs'!B125=0),'Model inputs'!B125=0,IF('Model inputs'!B125="","",'Model inputs'!B125=0))=TRUE,FALSE),TRUE,IF(IFERROR('Model inputs'!B1426=TRUE,FALSE),TRUE,IF(OR(IF(ISERROR('Model inputs'!B125=0),'Model inputs'!B125=0,IF('Model inputs'!B125="","",'Model inputs'!B125=0))="",'Model inputs'!B1426=""),"",OR(IF(ISERROR('Model inputs'!B125=0),'Model inputs'!B125=0,IF('Model inputs'!B125="","",'Model inputs'!B125=0)),'Model inputs'!B1426)))))</f>
      </c>
    </row>
    <row r="1428">
      <c r="A1428" t="inlineStr" s="16">
        <is>
          <t xml:space="preserve">Calculation</t>
        </is>
      </c>
      <c r="B1428">
        <f>IF(ISERROR('Model inputs'!AG230&lt;='Model inputs'!B125),'Model inputs'!AG230&lt;='Model inputs'!B125,IF(OR('Model inputs'!AG230="",'Model inputs'!B125=""),"",'Model inputs'!AG230&lt;='Model inputs'!B125))</f>
      </c>
    </row>
    <row r="1429">
      <c r="A1429" t="inlineStr" s="16">
        <is>
          <t xml:space="preserve">Calculation</t>
        </is>
      </c>
      <c r="B1429">
        <f>(IF(IFERROR(IF(ISERROR('Model inputs'!B125=0),'Model inputs'!B125=0,IF('Model inputs'!B125="","",'Model inputs'!B125=0))=TRUE,FALSE),TRUE,IF(IFERROR('Model inputs'!B1428=TRUE,FALSE),TRUE,IF(OR(IF(ISERROR('Model inputs'!B125=0),'Model inputs'!B125=0,IF('Model inputs'!B125="","",'Model inputs'!B125=0))="",'Model inputs'!B1428=""),"",OR(IF(ISERROR('Model inputs'!B125=0),'Model inputs'!B125=0,IF('Model inputs'!B125="","",'Model inputs'!B125=0)),'Model inputs'!B1428)))))</f>
      </c>
    </row>
    <row r="1430">
      <c r="A1430" t="inlineStr" s="16">
        <is>
          <t xml:space="preserve">Calculation</t>
        </is>
      </c>
      <c r="B1430">
        <f>IF(ISERROR('Model inputs'!W230&lt;='Model inputs'!B126),'Model inputs'!W230&lt;='Model inputs'!B126,IF(OR('Model inputs'!W230="",'Model inputs'!B126=""),"",'Model inputs'!W230&lt;='Model inputs'!B126))</f>
      </c>
    </row>
    <row r="1431">
      <c r="A1431" t="inlineStr" s="16">
        <is>
          <t xml:space="preserve">Calculation</t>
        </is>
      </c>
      <c r="B1431">
        <f>(IF(IFERROR(IF(ISERROR('Model inputs'!B126=0),'Model inputs'!B126=0,IF('Model inputs'!B126="","",'Model inputs'!B126=0))=TRUE,FALSE),TRUE,IF(IFERROR('Model inputs'!B1430=TRUE,FALSE),TRUE,IF(OR(IF(ISERROR('Model inputs'!B126=0),'Model inputs'!B126=0,IF('Model inputs'!B126="","",'Model inputs'!B126=0))="",'Model inputs'!B1430=""),"",OR(IF(ISERROR('Model inputs'!B126=0),'Model inputs'!B126=0,IF('Model inputs'!B126="","",'Model inputs'!B126=0)),'Model inputs'!B1430)))))</f>
      </c>
    </row>
    <row r="1432">
      <c r="A1432" t="inlineStr" s="16">
        <is>
          <t xml:space="preserve">Calculation</t>
        </is>
      </c>
      <c r="B1432">
        <f>IF(ISERROR('Model inputs'!X230&lt;='Model inputs'!B126),'Model inputs'!X230&lt;='Model inputs'!B126,IF(OR('Model inputs'!X230="",'Model inputs'!B126=""),"",'Model inputs'!X230&lt;='Model inputs'!B126))</f>
      </c>
    </row>
    <row r="1433">
      <c r="A1433" t="inlineStr" s="16">
        <is>
          <t xml:space="preserve">Calculation</t>
        </is>
      </c>
      <c r="B1433">
        <f>(IF(IFERROR(IF(ISERROR('Model inputs'!B126=0),'Model inputs'!B126=0,IF('Model inputs'!B126="","",'Model inputs'!B126=0))=TRUE,FALSE),TRUE,IF(IFERROR('Model inputs'!B1432=TRUE,FALSE),TRUE,IF(OR(IF(ISERROR('Model inputs'!B126=0),'Model inputs'!B126=0,IF('Model inputs'!B126="","",'Model inputs'!B126=0))="",'Model inputs'!B1432=""),"",OR(IF(ISERROR('Model inputs'!B126=0),'Model inputs'!B126=0,IF('Model inputs'!B126="","",'Model inputs'!B126=0)),'Model inputs'!B1432)))))</f>
      </c>
    </row>
    <row r="1434">
      <c r="A1434" t="inlineStr" s="16">
        <is>
          <t xml:space="preserve">Calculation</t>
        </is>
      </c>
      <c r="B1434">
        <f>IF(ISERROR('Model inputs'!Y230&lt;='Model inputs'!B126),'Model inputs'!Y230&lt;='Model inputs'!B126,IF(OR('Model inputs'!Y230="",'Model inputs'!B126=""),"",'Model inputs'!Y230&lt;='Model inputs'!B126))</f>
      </c>
    </row>
    <row r="1435">
      <c r="A1435" t="inlineStr" s="16">
        <is>
          <t xml:space="preserve">Calculation</t>
        </is>
      </c>
      <c r="B1435">
        <f>(IF(IFERROR(IF(ISERROR('Model inputs'!B126=0),'Model inputs'!B126=0,IF('Model inputs'!B126="","",'Model inputs'!B126=0))=TRUE,FALSE),TRUE,IF(IFERROR('Model inputs'!B1434=TRUE,FALSE),TRUE,IF(OR(IF(ISERROR('Model inputs'!B126=0),'Model inputs'!B126=0,IF('Model inputs'!B126="","",'Model inputs'!B126=0))="",'Model inputs'!B1434=""),"",OR(IF(ISERROR('Model inputs'!B126=0),'Model inputs'!B126=0,IF('Model inputs'!B126="","",'Model inputs'!B126=0)),'Model inputs'!B1434)))))</f>
      </c>
    </row>
    <row r="1436">
      <c r="A1436" t="inlineStr" s="16">
        <is>
          <t xml:space="preserve">Calculation</t>
        </is>
      </c>
      <c r="B1436">
        <f>IF(ISERROR('Model inputs'!Z230&lt;='Model inputs'!B126),'Model inputs'!Z230&lt;='Model inputs'!B126,IF(OR('Model inputs'!Z230="",'Model inputs'!B126=""),"",'Model inputs'!Z230&lt;='Model inputs'!B126))</f>
      </c>
    </row>
    <row r="1437">
      <c r="A1437" t="inlineStr" s="16">
        <is>
          <t xml:space="preserve">Calculation</t>
        </is>
      </c>
      <c r="B1437">
        <f>(IF(IFERROR(IF(ISERROR('Model inputs'!B126=0),'Model inputs'!B126=0,IF('Model inputs'!B126="","",'Model inputs'!B126=0))=TRUE,FALSE),TRUE,IF(IFERROR('Model inputs'!B1436=TRUE,FALSE),TRUE,IF(OR(IF(ISERROR('Model inputs'!B126=0),'Model inputs'!B126=0,IF('Model inputs'!B126="","",'Model inputs'!B126=0))="",'Model inputs'!B1436=""),"",OR(IF(ISERROR('Model inputs'!B126=0),'Model inputs'!B126=0,IF('Model inputs'!B126="","",'Model inputs'!B126=0)),'Model inputs'!B1436)))))</f>
      </c>
    </row>
    <row r="1438">
      <c r="A1438" t="inlineStr" s="16">
        <is>
          <t xml:space="preserve">Calculation</t>
        </is>
      </c>
      <c r="B1438">
        <f>IF(ISERROR('Model inputs'!AA230&lt;='Model inputs'!B126),'Model inputs'!AA230&lt;='Model inputs'!B126,IF(OR('Model inputs'!AA230="",'Model inputs'!B126=""),"",'Model inputs'!AA230&lt;='Model inputs'!B126))</f>
      </c>
    </row>
    <row r="1439">
      <c r="A1439" t="inlineStr" s="16">
        <is>
          <t xml:space="preserve">Calculation</t>
        </is>
      </c>
      <c r="B1439">
        <f>(IF(IFERROR(IF(ISERROR('Model inputs'!B126=0),'Model inputs'!B126=0,IF('Model inputs'!B126="","",'Model inputs'!B126=0))=TRUE,FALSE),TRUE,IF(IFERROR('Model inputs'!B1438=TRUE,FALSE),TRUE,IF(OR(IF(ISERROR('Model inputs'!B126=0),'Model inputs'!B126=0,IF('Model inputs'!B126="","",'Model inputs'!B126=0))="",'Model inputs'!B1438=""),"",OR(IF(ISERROR('Model inputs'!B126=0),'Model inputs'!B126=0,IF('Model inputs'!B126="","",'Model inputs'!B126=0)),'Model inputs'!B1438)))))</f>
      </c>
    </row>
    <row r="1440">
      <c r="A1440" t="inlineStr" s="16">
        <is>
          <t xml:space="preserve">Calculation</t>
        </is>
      </c>
      <c r="B1440">
        <f>IF(ISERROR('Model inputs'!AB230&lt;='Model inputs'!B126),'Model inputs'!AB230&lt;='Model inputs'!B126,IF(OR('Model inputs'!AB230="",'Model inputs'!B126=""),"",'Model inputs'!AB230&lt;='Model inputs'!B126))</f>
      </c>
    </row>
    <row r="1441">
      <c r="A1441" t="inlineStr" s="16">
        <is>
          <t xml:space="preserve">Calculation</t>
        </is>
      </c>
      <c r="B1441">
        <f>(IF(IFERROR(IF(ISERROR('Model inputs'!B126=0),'Model inputs'!B126=0,IF('Model inputs'!B126="","",'Model inputs'!B126=0))=TRUE,FALSE),TRUE,IF(IFERROR('Model inputs'!B1440=TRUE,FALSE),TRUE,IF(OR(IF(ISERROR('Model inputs'!B126=0),'Model inputs'!B126=0,IF('Model inputs'!B126="","",'Model inputs'!B126=0))="",'Model inputs'!B1440=""),"",OR(IF(ISERROR('Model inputs'!B126=0),'Model inputs'!B126=0,IF('Model inputs'!B126="","",'Model inputs'!B126=0)),'Model inputs'!B1440)))))</f>
      </c>
    </row>
    <row r="1442">
      <c r="A1442" t="inlineStr" s="16">
        <is>
          <t xml:space="preserve">Calculation</t>
        </is>
      </c>
      <c r="B1442">
        <f>IF(ISERROR('Model inputs'!AC230&lt;='Model inputs'!B126),'Model inputs'!AC230&lt;='Model inputs'!B126,IF(OR('Model inputs'!AC230="",'Model inputs'!B126=""),"",'Model inputs'!AC230&lt;='Model inputs'!B126))</f>
      </c>
    </row>
    <row r="1443">
      <c r="A1443" t="inlineStr" s="16">
        <is>
          <t xml:space="preserve">Calculation</t>
        </is>
      </c>
      <c r="B1443">
        <f>(IF(IFERROR(IF(ISERROR('Model inputs'!B126=0),'Model inputs'!B126=0,IF('Model inputs'!B126="","",'Model inputs'!B126=0))=TRUE,FALSE),TRUE,IF(IFERROR('Model inputs'!B1442=TRUE,FALSE),TRUE,IF(OR(IF(ISERROR('Model inputs'!B126=0),'Model inputs'!B126=0,IF('Model inputs'!B126="","",'Model inputs'!B126=0))="",'Model inputs'!B1442=""),"",OR(IF(ISERROR('Model inputs'!B126=0),'Model inputs'!B126=0,IF('Model inputs'!B126="","",'Model inputs'!B126=0)),'Model inputs'!B1442)))))</f>
      </c>
    </row>
    <row r="1444">
      <c r="A1444" t="inlineStr" s="16">
        <is>
          <t xml:space="preserve">Calculation</t>
        </is>
      </c>
      <c r="B1444">
        <f>IF(ISERROR('Model inputs'!AD230&lt;='Model inputs'!B126),'Model inputs'!AD230&lt;='Model inputs'!B126,IF(OR('Model inputs'!AD230="",'Model inputs'!B126=""),"",'Model inputs'!AD230&lt;='Model inputs'!B126))</f>
      </c>
    </row>
    <row r="1445">
      <c r="A1445" t="inlineStr" s="16">
        <is>
          <t xml:space="preserve">Calculation</t>
        </is>
      </c>
      <c r="B1445">
        <f>(IF(IFERROR(IF(ISERROR('Model inputs'!B126=0),'Model inputs'!B126=0,IF('Model inputs'!B126="","",'Model inputs'!B126=0))=TRUE,FALSE),TRUE,IF(IFERROR('Model inputs'!B1444=TRUE,FALSE),TRUE,IF(OR(IF(ISERROR('Model inputs'!B126=0),'Model inputs'!B126=0,IF('Model inputs'!B126="","",'Model inputs'!B126=0))="",'Model inputs'!B1444=""),"",OR(IF(ISERROR('Model inputs'!B126=0),'Model inputs'!B126=0,IF('Model inputs'!B126="","",'Model inputs'!B126=0)),'Model inputs'!B1444)))))</f>
      </c>
    </row>
    <row r="1446">
      <c r="A1446" t="inlineStr" s="16">
        <is>
          <t xml:space="preserve">Calculation</t>
        </is>
      </c>
      <c r="B1446">
        <f>IF(ISERROR('Model inputs'!AE230&lt;='Model inputs'!B126),'Model inputs'!AE230&lt;='Model inputs'!B126,IF(OR('Model inputs'!AE230="",'Model inputs'!B126=""),"",'Model inputs'!AE230&lt;='Model inputs'!B126))</f>
      </c>
    </row>
    <row r="1447">
      <c r="A1447" t="inlineStr" s="16">
        <is>
          <t xml:space="preserve">Calculation</t>
        </is>
      </c>
      <c r="B1447">
        <f>(IF(IFERROR(IF(ISERROR('Model inputs'!B126=0),'Model inputs'!B126=0,IF('Model inputs'!B126="","",'Model inputs'!B126=0))=TRUE,FALSE),TRUE,IF(IFERROR('Model inputs'!B1446=TRUE,FALSE),TRUE,IF(OR(IF(ISERROR('Model inputs'!B126=0),'Model inputs'!B126=0,IF('Model inputs'!B126="","",'Model inputs'!B126=0))="",'Model inputs'!B1446=""),"",OR(IF(ISERROR('Model inputs'!B126=0),'Model inputs'!B126=0,IF('Model inputs'!B126="","",'Model inputs'!B126=0)),'Model inputs'!B1446)))))</f>
      </c>
    </row>
    <row r="1448">
      <c r="A1448" t="inlineStr" s="16">
        <is>
          <t xml:space="preserve">Calculation</t>
        </is>
      </c>
      <c r="B1448">
        <f>IF(ISERROR('Model inputs'!AF230&lt;='Model inputs'!B126),'Model inputs'!AF230&lt;='Model inputs'!B126,IF(OR('Model inputs'!AF230="",'Model inputs'!B126=""),"",'Model inputs'!AF230&lt;='Model inputs'!B126))</f>
      </c>
    </row>
    <row r="1449">
      <c r="A1449" t="inlineStr" s="16">
        <is>
          <t xml:space="preserve">Calculation</t>
        </is>
      </c>
      <c r="B1449">
        <f>(IF(IFERROR(IF(ISERROR('Model inputs'!B126=0),'Model inputs'!B126=0,IF('Model inputs'!B126="","",'Model inputs'!B126=0))=TRUE,FALSE),TRUE,IF(IFERROR('Model inputs'!B1448=TRUE,FALSE),TRUE,IF(OR(IF(ISERROR('Model inputs'!B126=0),'Model inputs'!B126=0,IF('Model inputs'!B126="","",'Model inputs'!B126=0))="",'Model inputs'!B1448=""),"",OR(IF(ISERROR('Model inputs'!B126=0),'Model inputs'!B126=0,IF('Model inputs'!B126="","",'Model inputs'!B126=0)),'Model inputs'!B1448)))))</f>
      </c>
    </row>
    <row r="1450">
      <c r="A1450" t="inlineStr" s="16">
        <is>
          <t xml:space="preserve">Calculation</t>
        </is>
      </c>
      <c r="B1450">
        <f>IF(ISERROR('Model inputs'!AG230&lt;='Model inputs'!B126),'Model inputs'!AG230&lt;='Model inputs'!B126,IF(OR('Model inputs'!AG230="",'Model inputs'!B126=""),"",'Model inputs'!AG230&lt;='Model inputs'!B126))</f>
      </c>
    </row>
    <row r="1451">
      <c r="A1451" t="inlineStr" s="16">
        <is>
          <t xml:space="preserve">Calculation</t>
        </is>
      </c>
      <c r="B1451">
        <f>(IF(IFERROR(IF(ISERROR('Model inputs'!B126=0),'Model inputs'!B126=0,IF('Model inputs'!B126="","",'Model inputs'!B126=0))=TRUE,FALSE),TRUE,IF(IFERROR('Model inputs'!B1450=TRUE,FALSE),TRUE,IF(OR(IF(ISERROR('Model inputs'!B126=0),'Model inputs'!B126=0,IF('Model inputs'!B126="","",'Model inputs'!B126=0))="",'Model inputs'!B1450=""),"",OR(IF(ISERROR('Model inputs'!B126=0),'Model inputs'!B126=0,IF('Model inputs'!B126="","",'Model inputs'!B126=0)),'Model inputs'!B1450)))))</f>
      </c>
    </row>
    <row r="1452">
      <c r="A1452" t="inlineStr" s="16">
        <is>
          <t xml:space="preserve">Calculation</t>
        </is>
      </c>
      <c r="B1452">
        <f>IF(ISERROR('Model inputs'!W230&lt;='Model inputs'!B127),'Model inputs'!W230&lt;='Model inputs'!B127,IF(OR('Model inputs'!W230="",'Model inputs'!B127=""),"",'Model inputs'!W230&lt;='Model inputs'!B127))</f>
      </c>
    </row>
    <row r="1453">
      <c r="A1453" t="inlineStr" s="16">
        <is>
          <t xml:space="preserve">Calculation</t>
        </is>
      </c>
      <c r="B1453">
        <f>(IF(IFERROR(IF(ISERROR('Model inputs'!B127=0),'Model inputs'!B127=0,IF('Model inputs'!B127="","",'Model inputs'!B127=0))=TRUE,FALSE),TRUE,IF(IFERROR('Model inputs'!B1452=TRUE,FALSE),TRUE,IF(OR(IF(ISERROR('Model inputs'!B127=0),'Model inputs'!B127=0,IF('Model inputs'!B127="","",'Model inputs'!B127=0))="",'Model inputs'!B1452=""),"",OR(IF(ISERROR('Model inputs'!B127=0),'Model inputs'!B127=0,IF('Model inputs'!B127="","",'Model inputs'!B127=0)),'Model inputs'!B1452)))))</f>
      </c>
    </row>
    <row r="1454">
      <c r="A1454" t="inlineStr" s="16">
        <is>
          <t xml:space="preserve">Calculation</t>
        </is>
      </c>
      <c r="B1454">
        <f>IF(ISERROR('Model inputs'!X230&lt;='Model inputs'!B127),'Model inputs'!X230&lt;='Model inputs'!B127,IF(OR('Model inputs'!X230="",'Model inputs'!B127=""),"",'Model inputs'!X230&lt;='Model inputs'!B127))</f>
      </c>
    </row>
    <row r="1455">
      <c r="A1455" t="inlineStr" s="16">
        <is>
          <t xml:space="preserve">Calculation</t>
        </is>
      </c>
      <c r="B1455">
        <f>(IF(IFERROR(IF(ISERROR('Model inputs'!B127=0),'Model inputs'!B127=0,IF('Model inputs'!B127="","",'Model inputs'!B127=0))=TRUE,FALSE),TRUE,IF(IFERROR('Model inputs'!B1454=TRUE,FALSE),TRUE,IF(OR(IF(ISERROR('Model inputs'!B127=0),'Model inputs'!B127=0,IF('Model inputs'!B127="","",'Model inputs'!B127=0))="",'Model inputs'!B1454=""),"",OR(IF(ISERROR('Model inputs'!B127=0),'Model inputs'!B127=0,IF('Model inputs'!B127="","",'Model inputs'!B127=0)),'Model inputs'!B1454)))))</f>
      </c>
    </row>
    <row r="1456">
      <c r="A1456" t="inlineStr" s="16">
        <is>
          <t xml:space="preserve">Calculation</t>
        </is>
      </c>
      <c r="B1456">
        <f>IF(ISERROR('Model inputs'!Y230&lt;='Model inputs'!B127),'Model inputs'!Y230&lt;='Model inputs'!B127,IF(OR('Model inputs'!Y230="",'Model inputs'!B127=""),"",'Model inputs'!Y230&lt;='Model inputs'!B127))</f>
      </c>
    </row>
    <row r="1457">
      <c r="A1457" t="inlineStr" s="16">
        <is>
          <t xml:space="preserve">Calculation</t>
        </is>
      </c>
      <c r="B1457">
        <f>(IF(IFERROR(IF(ISERROR('Model inputs'!B127=0),'Model inputs'!B127=0,IF('Model inputs'!B127="","",'Model inputs'!B127=0))=TRUE,FALSE),TRUE,IF(IFERROR('Model inputs'!B1456=TRUE,FALSE),TRUE,IF(OR(IF(ISERROR('Model inputs'!B127=0),'Model inputs'!B127=0,IF('Model inputs'!B127="","",'Model inputs'!B127=0))="",'Model inputs'!B1456=""),"",OR(IF(ISERROR('Model inputs'!B127=0),'Model inputs'!B127=0,IF('Model inputs'!B127="","",'Model inputs'!B127=0)),'Model inputs'!B1456)))))</f>
      </c>
    </row>
    <row r="1458">
      <c r="A1458" t="inlineStr" s="16">
        <is>
          <t xml:space="preserve">Calculation</t>
        </is>
      </c>
      <c r="B1458">
        <f>IF(ISERROR('Model inputs'!Z230&lt;='Model inputs'!B127),'Model inputs'!Z230&lt;='Model inputs'!B127,IF(OR('Model inputs'!Z230="",'Model inputs'!B127=""),"",'Model inputs'!Z230&lt;='Model inputs'!B127))</f>
      </c>
    </row>
    <row r="1459">
      <c r="A1459" t="inlineStr" s="16">
        <is>
          <t xml:space="preserve">Calculation</t>
        </is>
      </c>
      <c r="B1459">
        <f>(IF(IFERROR(IF(ISERROR('Model inputs'!B127=0),'Model inputs'!B127=0,IF('Model inputs'!B127="","",'Model inputs'!B127=0))=TRUE,FALSE),TRUE,IF(IFERROR('Model inputs'!B1458=TRUE,FALSE),TRUE,IF(OR(IF(ISERROR('Model inputs'!B127=0),'Model inputs'!B127=0,IF('Model inputs'!B127="","",'Model inputs'!B127=0))="",'Model inputs'!B1458=""),"",OR(IF(ISERROR('Model inputs'!B127=0),'Model inputs'!B127=0,IF('Model inputs'!B127="","",'Model inputs'!B127=0)),'Model inputs'!B1458)))))</f>
      </c>
    </row>
    <row r="1460">
      <c r="A1460" t="inlineStr" s="16">
        <is>
          <t xml:space="preserve">Calculation</t>
        </is>
      </c>
      <c r="B1460">
        <f>IF(ISERROR('Model inputs'!AA230&lt;='Model inputs'!B127),'Model inputs'!AA230&lt;='Model inputs'!B127,IF(OR('Model inputs'!AA230="",'Model inputs'!B127=""),"",'Model inputs'!AA230&lt;='Model inputs'!B127))</f>
      </c>
    </row>
    <row r="1461">
      <c r="A1461" t="inlineStr" s="16">
        <is>
          <t xml:space="preserve">Calculation</t>
        </is>
      </c>
      <c r="B1461">
        <f>(IF(IFERROR(IF(ISERROR('Model inputs'!B127=0),'Model inputs'!B127=0,IF('Model inputs'!B127="","",'Model inputs'!B127=0))=TRUE,FALSE),TRUE,IF(IFERROR('Model inputs'!B1460=TRUE,FALSE),TRUE,IF(OR(IF(ISERROR('Model inputs'!B127=0),'Model inputs'!B127=0,IF('Model inputs'!B127="","",'Model inputs'!B127=0))="",'Model inputs'!B1460=""),"",OR(IF(ISERROR('Model inputs'!B127=0),'Model inputs'!B127=0,IF('Model inputs'!B127="","",'Model inputs'!B127=0)),'Model inputs'!B1460)))))</f>
      </c>
    </row>
    <row r="1462">
      <c r="A1462" t="inlineStr" s="16">
        <is>
          <t xml:space="preserve">Calculation</t>
        </is>
      </c>
      <c r="B1462">
        <f>IF(ISERROR('Model inputs'!AB230&lt;='Model inputs'!B127),'Model inputs'!AB230&lt;='Model inputs'!B127,IF(OR('Model inputs'!AB230="",'Model inputs'!B127=""),"",'Model inputs'!AB230&lt;='Model inputs'!B127))</f>
      </c>
    </row>
    <row r="1463">
      <c r="A1463" t="inlineStr" s="16">
        <is>
          <t xml:space="preserve">Calculation</t>
        </is>
      </c>
      <c r="B1463">
        <f>(IF(IFERROR(IF(ISERROR('Model inputs'!B127=0),'Model inputs'!B127=0,IF('Model inputs'!B127="","",'Model inputs'!B127=0))=TRUE,FALSE),TRUE,IF(IFERROR('Model inputs'!B1462=TRUE,FALSE),TRUE,IF(OR(IF(ISERROR('Model inputs'!B127=0),'Model inputs'!B127=0,IF('Model inputs'!B127="","",'Model inputs'!B127=0))="",'Model inputs'!B1462=""),"",OR(IF(ISERROR('Model inputs'!B127=0),'Model inputs'!B127=0,IF('Model inputs'!B127="","",'Model inputs'!B127=0)),'Model inputs'!B1462)))))</f>
      </c>
    </row>
    <row r="1464">
      <c r="A1464" t="inlineStr" s="16">
        <is>
          <t xml:space="preserve">Calculation</t>
        </is>
      </c>
      <c r="B1464">
        <f>IF(ISERROR('Model inputs'!AC230&lt;='Model inputs'!B127),'Model inputs'!AC230&lt;='Model inputs'!B127,IF(OR('Model inputs'!AC230="",'Model inputs'!B127=""),"",'Model inputs'!AC230&lt;='Model inputs'!B127))</f>
      </c>
    </row>
    <row r="1465">
      <c r="A1465" t="inlineStr" s="16">
        <is>
          <t xml:space="preserve">Calculation</t>
        </is>
      </c>
      <c r="B1465">
        <f>(IF(IFERROR(IF(ISERROR('Model inputs'!B127=0),'Model inputs'!B127=0,IF('Model inputs'!B127="","",'Model inputs'!B127=0))=TRUE,FALSE),TRUE,IF(IFERROR('Model inputs'!B1464=TRUE,FALSE),TRUE,IF(OR(IF(ISERROR('Model inputs'!B127=0),'Model inputs'!B127=0,IF('Model inputs'!B127="","",'Model inputs'!B127=0))="",'Model inputs'!B1464=""),"",OR(IF(ISERROR('Model inputs'!B127=0),'Model inputs'!B127=0,IF('Model inputs'!B127="","",'Model inputs'!B127=0)),'Model inputs'!B1464)))))</f>
      </c>
    </row>
    <row r="1466">
      <c r="A1466" t="inlineStr" s="16">
        <is>
          <t xml:space="preserve">Calculation</t>
        </is>
      </c>
      <c r="B1466">
        <f>IF(ISERROR('Model inputs'!AD230&lt;='Model inputs'!B127),'Model inputs'!AD230&lt;='Model inputs'!B127,IF(OR('Model inputs'!AD230="",'Model inputs'!B127=""),"",'Model inputs'!AD230&lt;='Model inputs'!B127))</f>
      </c>
    </row>
    <row r="1467">
      <c r="A1467" t="inlineStr" s="16">
        <is>
          <t xml:space="preserve">Calculation</t>
        </is>
      </c>
      <c r="B1467">
        <f>(IF(IFERROR(IF(ISERROR('Model inputs'!B127=0),'Model inputs'!B127=0,IF('Model inputs'!B127="","",'Model inputs'!B127=0))=TRUE,FALSE),TRUE,IF(IFERROR('Model inputs'!B1466=TRUE,FALSE),TRUE,IF(OR(IF(ISERROR('Model inputs'!B127=0),'Model inputs'!B127=0,IF('Model inputs'!B127="","",'Model inputs'!B127=0))="",'Model inputs'!B1466=""),"",OR(IF(ISERROR('Model inputs'!B127=0),'Model inputs'!B127=0,IF('Model inputs'!B127="","",'Model inputs'!B127=0)),'Model inputs'!B1466)))))</f>
      </c>
    </row>
    <row r="1468">
      <c r="A1468" t="inlineStr" s="16">
        <is>
          <t xml:space="preserve">Calculation</t>
        </is>
      </c>
      <c r="B1468">
        <f>IF(ISERROR('Model inputs'!AE230&lt;='Model inputs'!B127),'Model inputs'!AE230&lt;='Model inputs'!B127,IF(OR('Model inputs'!AE230="",'Model inputs'!B127=""),"",'Model inputs'!AE230&lt;='Model inputs'!B127))</f>
      </c>
    </row>
    <row r="1469">
      <c r="A1469" t="inlineStr" s="16">
        <is>
          <t xml:space="preserve">Calculation</t>
        </is>
      </c>
      <c r="B1469">
        <f>(IF(IFERROR(IF(ISERROR('Model inputs'!B127=0),'Model inputs'!B127=0,IF('Model inputs'!B127="","",'Model inputs'!B127=0))=TRUE,FALSE),TRUE,IF(IFERROR('Model inputs'!B1468=TRUE,FALSE),TRUE,IF(OR(IF(ISERROR('Model inputs'!B127=0),'Model inputs'!B127=0,IF('Model inputs'!B127="","",'Model inputs'!B127=0))="",'Model inputs'!B1468=""),"",OR(IF(ISERROR('Model inputs'!B127=0),'Model inputs'!B127=0,IF('Model inputs'!B127="","",'Model inputs'!B127=0)),'Model inputs'!B1468)))))</f>
      </c>
    </row>
    <row r="1470">
      <c r="A1470" t="inlineStr" s="16">
        <is>
          <t xml:space="preserve">Calculation</t>
        </is>
      </c>
      <c r="B1470">
        <f>IF(ISERROR('Model inputs'!AF230&lt;='Model inputs'!B127),'Model inputs'!AF230&lt;='Model inputs'!B127,IF(OR('Model inputs'!AF230="",'Model inputs'!B127=""),"",'Model inputs'!AF230&lt;='Model inputs'!B127))</f>
      </c>
    </row>
    <row r="1471">
      <c r="A1471" t="inlineStr" s="16">
        <is>
          <t xml:space="preserve">Calculation</t>
        </is>
      </c>
      <c r="B1471">
        <f>(IF(IFERROR(IF(ISERROR('Model inputs'!B127=0),'Model inputs'!B127=0,IF('Model inputs'!B127="","",'Model inputs'!B127=0))=TRUE,FALSE),TRUE,IF(IFERROR('Model inputs'!B1470=TRUE,FALSE),TRUE,IF(OR(IF(ISERROR('Model inputs'!B127=0),'Model inputs'!B127=0,IF('Model inputs'!B127="","",'Model inputs'!B127=0))="",'Model inputs'!B1470=""),"",OR(IF(ISERROR('Model inputs'!B127=0),'Model inputs'!B127=0,IF('Model inputs'!B127="","",'Model inputs'!B127=0)),'Model inputs'!B1470)))))</f>
      </c>
    </row>
    <row r="1472">
      <c r="A1472" t="inlineStr" s="16">
        <is>
          <t xml:space="preserve">Calculation</t>
        </is>
      </c>
      <c r="B1472">
        <f>IF(ISERROR('Model inputs'!AG230&lt;='Model inputs'!B127),'Model inputs'!AG230&lt;='Model inputs'!B127,IF(OR('Model inputs'!AG230="",'Model inputs'!B127=""),"",'Model inputs'!AG230&lt;='Model inputs'!B127))</f>
      </c>
    </row>
    <row r="1473">
      <c r="A1473" t="inlineStr" s="16">
        <is>
          <t xml:space="preserve">Calculation</t>
        </is>
      </c>
      <c r="B1473">
        <f>(IF(IFERROR(IF(ISERROR('Model inputs'!B127=0),'Model inputs'!B127=0,IF('Model inputs'!B127="","",'Model inputs'!B127=0))=TRUE,FALSE),TRUE,IF(IFERROR('Model inputs'!B1472=TRUE,FALSE),TRUE,IF(OR(IF(ISERROR('Model inputs'!B127=0),'Model inputs'!B127=0,IF('Model inputs'!B127="","",'Model inputs'!B127=0))="",'Model inputs'!B1472=""),"",OR(IF(ISERROR('Model inputs'!B127=0),'Model inputs'!B127=0,IF('Model inputs'!B127="","",'Model inputs'!B127=0)),'Model inputs'!B1472)))))</f>
      </c>
    </row>
  </sheetData>
  <mergeCells count="2">
    <mergeCell ref="A1:AG1"/>
    <mergeCell ref="A2:AG2"/>
  </mergeCells>
</worksheet>
</file>