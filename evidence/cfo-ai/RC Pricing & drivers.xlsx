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C Plan pricing &amp; growth assump" sheetId="1" r:id="rId1"/>
    <sheet name="RC Kit cost, fees &amp; cash driver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$&quot;#,##0;(&quot;$&quot;#,##0)"/>
    <numFmt numFmtId="165" formatCode="#,##0;(#,##0)"/>
    <numFmt numFmtId="166" formatCode="#,##0.0;(#,##0.0)"/>
    <numFmt numFmtId="167" formatCode="0%"/>
    <numFmt numFmtId="168" formatCode="0.0%"/>
    <numFmt numFmtId="169" formatCode="&quot;$&quot;#,##0.00;(&quot;$&quot;#,##0.0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5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P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RC Plan pricing &amp; growth assumptions</t>
        </is>
      </c>
    </row>
    <row r="2" ht="20" customHeight="1">
      <c r="A2" t="inlineStr" s="2">
        <is>
          <t xml:space="preserve">RC Pricing &amp; drivers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price</t>
        </is>
      </c>
      <c r="C4" t="inlineStr" s="4">
        <is>
          <t xml:space="preserve">Annual price</t>
        </is>
      </c>
      <c r="D4" t="inlineStr" s="4">
        <is>
          <t xml:space="preserve">Included kits</t>
        </is>
      </c>
      <c r="E4" t="inlineStr" s="4">
        <is>
          <t xml:space="preserve">Seats</t>
        </is>
      </c>
      <c r="F4" t="inlineStr" s="4">
        <is>
          <t xml:space="preserve">Kits used per customer</t>
        </is>
      </c>
      <c r="G4" t="inlineStr" s="4">
        <is>
          <t xml:space="preserve">Overage kits per customer</t>
        </is>
      </c>
      <c r="H4" t="inlineStr" s="4">
        <is>
          <t xml:space="preserve">Starting customers</t>
        </is>
      </c>
      <c r="I4" t="inlineStr" s="4">
        <is>
          <t xml:space="preserve">Waitlist conversions (month 1)</t>
        </is>
      </c>
      <c r="J4" t="inlineStr" s="4">
        <is>
          <t xml:space="preserve">New logos in month 1</t>
        </is>
      </c>
      <c r="K4" t="inlineStr" s="4">
        <is>
          <t xml:space="preserve">Logo growth through month 8</t>
        </is>
      </c>
      <c r="L4" t="inlineStr" s="4">
        <is>
          <t xml:space="preserve">Logo growth after month 8</t>
        </is>
      </c>
      <c r="M4" t="inlineStr" s="4">
        <is>
          <t xml:space="preserve">Monthly logo churn</t>
        </is>
      </c>
      <c r="N4" t="inlineStr" s="4">
        <is>
          <t xml:space="preserve">Annual upgrade rate to next plan</t>
        </is>
      </c>
      <c r="O4" t="inlineStr" s="4">
        <is>
          <t xml:space="preserve">Annual-pay share target</t>
        </is>
      </c>
      <c r="P4" t="inlineStr" s="4">
        <is>
          <t xml:space="preserve">CAC</t>
        </is>
      </c>
    </row>
    <row r="5">
      <c r="A5" t="inlineStr" s="5">
        <is>
          <t xml:space="preserve">Indie</t>
        </is>
      </c>
      <c r="B5" s="6">
        <f>29</f>
        <v>29</v>
      </c>
      <c r="C5" s="6">
        <f>290</f>
        <v>290</v>
      </c>
      <c r="D5" s="7">
        <f>20</f>
        <v>20</v>
      </c>
      <c r="E5" s="7">
        <f>1</f>
        <v>1</v>
      </c>
      <c r="F5" s="8">
        <f>8</f>
        <v>8</v>
      </c>
      <c r="G5" s="8">
        <f>0.5</f>
        <v>0.5</v>
      </c>
      <c r="H5" s="7">
        <f>40</f>
        <v>40</v>
      </c>
      <c r="I5" s="7">
        <f>12</f>
        <v>12</v>
      </c>
      <c r="J5" s="8">
        <f>25</f>
        <v>25</v>
      </c>
      <c r="K5" s="9">
        <f>0.08</f>
        <v>0.08</v>
      </c>
      <c r="L5" s="9">
        <f>0.04</f>
        <v>0.04</v>
      </c>
      <c r="M5" s="10">
        <f>0.06</f>
        <v>0.06</v>
      </c>
      <c r="N5" s="9">
        <f>0.08</f>
        <v>0.08</v>
      </c>
      <c r="O5" s="9">
        <f>0</f>
        <v>0</v>
      </c>
      <c r="P5" s="6">
        <f>40</f>
        <v>40</v>
      </c>
    </row>
    <row r="6">
      <c r="A6" t="inlineStr" s="11">
        <is>
          <t xml:space="preserve">Launch</t>
        </is>
      </c>
      <c r="B6" s="12">
        <f>499</f>
        <v>499</v>
      </c>
      <c r="C6" s="12">
        <f>4990</f>
        <v>4990</v>
      </c>
      <c r="D6" s="13">
        <f>600</f>
        <v>600</v>
      </c>
      <c r="E6" s="13">
        <f>20</f>
        <v>20</v>
      </c>
      <c r="F6" s="14">
        <f>200</f>
        <v>200</v>
      </c>
      <c r="G6" s="14">
        <f>6</f>
        <v>6</v>
      </c>
      <c r="H6" s="13">
        <f>1</f>
        <v>1</v>
      </c>
      <c r="I6" s="13">
        <f>0</f>
        <v>0</v>
      </c>
      <c r="J6" s="14">
        <f>0.5</f>
        <v>0.5</v>
      </c>
      <c r="K6" s="15">
        <f>0</f>
        <v>0</v>
      </c>
      <c r="L6" s="15">
        <f>0</f>
        <v>0</v>
      </c>
      <c r="M6" s="16">
        <f>0.015</f>
        <v>0.015</v>
      </c>
      <c r="N6" s="15">
        <f>0</f>
        <v>0</v>
      </c>
      <c r="O6" s="15">
        <f>0.35</f>
        <v>0.35</v>
      </c>
      <c r="P6" s="12">
        <f>900</f>
        <v>900</v>
      </c>
    </row>
    <row r="7">
      <c r="A7" t="inlineStr" s="5">
        <is>
          <t xml:space="preserve">Team</t>
        </is>
      </c>
      <c r="B7" s="6">
        <f>149</f>
        <v>149</v>
      </c>
      <c r="C7" s="6">
        <f>1490</f>
        <v>1490</v>
      </c>
      <c r="D7" s="7">
        <f>150</f>
        <v>150</v>
      </c>
      <c r="E7" s="7">
        <f>5</f>
        <v>5</v>
      </c>
      <c r="F7" s="8">
        <f>45</f>
        <v>45</v>
      </c>
      <c r="G7" s="8">
        <f>2</f>
        <v>2</v>
      </c>
      <c r="H7" s="7">
        <f>6</f>
        <v>6</v>
      </c>
      <c r="I7" s="7">
        <f>0</f>
        <v>0</v>
      </c>
      <c r="J7" s="8">
        <f>3</f>
        <v>3</v>
      </c>
      <c r="K7" s="9">
        <f>0.1</f>
        <v>0.1</v>
      </c>
      <c r="L7" s="9">
        <f>0.04</f>
        <v>0.04</v>
      </c>
      <c r="M7" s="10">
        <f>0.03</f>
        <v>0.03</v>
      </c>
      <c r="N7" s="9">
        <f>0.05</f>
        <v>0.05</v>
      </c>
      <c r="O7" s="9">
        <f>0.35</f>
        <v>0.35</v>
      </c>
      <c r="P7" s="6">
        <f>220</f>
        <v>220</v>
      </c>
    </row>
  </sheetData>
  <mergeCells count="1">
    <mergeCell ref="A1:P1"/>
  </mergeCells>
</worksheet>
</file>

<file path=xl/worksheets/sheet2.xml><?xml version="1.0" encoding="utf-8"?>
<worksheet xmlns="http://schemas.openxmlformats.org/spreadsheetml/2006/main">
  <dimension ref="A1:B2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RC Kit cost, fees &amp; cash drivers</t>
        </is>
      </c>
    </row>
    <row r="2" ht="20" customHeight="1">
      <c r="A2" t="inlineStr" s="2">
        <is>
          <t xml:space="preserve">RC Pricing &amp; drivers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Overage price per kit</t>
        </is>
      </c>
      <c r="B5" s="17">
        <f>2.5</f>
        <v>2.5</v>
      </c>
    </row>
    <row r="6">
      <c r="A6" t="inlineStr" s="11">
        <is>
          <t xml:space="preserve">Long-trailer add-on price</t>
        </is>
      </c>
      <c r="B6" s="18">
        <f>0.4</f>
        <v>0.4</v>
      </c>
    </row>
    <row r="7">
      <c r="A7" t="inlineStr" s="11">
        <is>
          <t xml:space="preserve">Long-trailer share of kits</t>
        </is>
      </c>
      <c r="B7" s="15">
        <f>0.15</f>
        <v>0.15</v>
      </c>
    </row>
    <row r="8">
      <c r="A8" t="inlineStr" s="11">
        <is>
          <t xml:space="preserve">LLM tokens per kit</t>
        </is>
      </c>
      <c r="B8" s="18">
        <f>0.18</f>
        <v>0.18</v>
      </c>
    </row>
    <row r="9">
      <c r="A9" t="inlineStr" s="11">
        <is>
          <t xml:space="preserve">GitHub API per kit</t>
        </is>
      </c>
      <c r="B9" s="18">
        <f>0</f>
        <v>0</v>
      </c>
    </row>
    <row r="10">
      <c r="A10" t="inlineStr" s="11">
        <is>
          <t xml:space="preserve">Render CPU per kit</t>
        </is>
      </c>
      <c r="B10" s="18">
        <f>0.04</f>
        <v>0.04</v>
      </c>
    </row>
    <row r="11">
      <c r="A11" t="inlineStr" s="11">
        <is>
          <t xml:space="preserve">neatlogs export per kit</t>
        </is>
      </c>
      <c r="B11" s="18">
        <f>0.01</f>
        <v>0.01</v>
      </c>
    </row>
    <row r="12">
      <c r="A12" t="inlineStr" s="11">
        <is>
          <t xml:space="preserve">Kit storage per kit</t>
        </is>
      </c>
      <c r="B12" s="18">
        <f>0.01</f>
        <v>0.01</v>
      </c>
    </row>
    <row r="13">
      <c r="A13" t="inlineStr" s="11">
        <is>
          <t xml:space="preserve">Loaded COGS per kit</t>
        </is>
      </c>
      <c r="B13" s="18">
        <f>'RC Kit cost, fees &amp; cash driver'!B8+'RC Kit cost, fees &amp; cash driver'!B9+'RC Kit cost, fees &amp; cash driver'!B10+'RC Kit cost, fees &amp; cash driver'!B11+'RC Kit cost, fees &amp; cash driver'!B12</f>
        <v>0.24</v>
      </c>
    </row>
    <row r="14">
      <c r="A14" t="inlineStr" s="11">
        <is>
          <t xml:space="preserve">Optimized COGS per kit</t>
        </is>
      </c>
      <c r="B14" s="18">
        <f>0.16</f>
        <v>0.16</v>
      </c>
    </row>
    <row r="15">
      <c r="A15" t="inlineStr" s="11">
        <is>
          <t xml:space="preserve">Cost optimization on</t>
        </is>
      </c>
      <c r="B15" s="13">
        <f>0</f>
        <v>0</v>
      </c>
    </row>
    <row r="16">
      <c r="A16" t="inlineStr" s="11">
        <is>
          <t xml:space="preserve">Cost optimization from month</t>
        </is>
      </c>
      <c r="B16" s="13">
        <f>7</f>
        <v>7</v>
      </c>
    </row>
    <row r="17">
      <c r="A17" t="inlineStr" s="11">
        <is>
          <t xml:space="preserve">Card fee rate</t>
        </is>
      </c>
      <c r="B17" s="16">
        <f>0.029</f>
        <v>0.029</v>
      </c>
    </row>
    <row r="18">
      <c r="A18" t="inlineStr" s="11">
        <is>
          <t xml:space="preserve">Card fee per charge</t>
        </is>
      </c>
      <c r="B18" s="18">
        <f>0.3</f>
        <v>0.3</v>
      </c>
    </row>
    <row r="19">
      <c r="A19" t="inlineStr" s="11">
        <is>
          <t xml:space="preserve">Annual-mix ramp months</t>
        </is>
      </c>
      <c r="B19" s="13">
        <f>6</f>
        <v>6</v>
      </c>
    </row>
    <row r="20">
      <c r="A20" t="inlineStr" s="11">
        <is>
          <t xml:space="preserve">Starting cash</t>
        </is>
      </c>
      <c r="B20" s="12">
        <f>12000</f>
        <v>12000</v>
      </c>
    </row>
    <row r="21">
      <c r="A21" t="inlineStr" s="11">
        <is>
          <t xml:space="preserve">Angel raise on</t>
        </is>
      </c>
      <c r="B21" s="13">
        <f>0</f>
        <v>0</v>
      </c>
    </row>
    <row r="22">
      <c r="A22" t="inlineStr" s="11">
        <is>
          <t xml:space="preserve">Angel raise amount</t>
        </is>
      </c>
      <c r="B22" s="12">
        <f>150000</f>
        <v>150000</v>
      </c>
    </row>
    <row r="23">
      <c r="A23" t="inlineStr" s="11">
        <is>
          <t xml:space="preserve">Angel raise month</t>
        </is>
      </c>
      <c r="B23" s="13">
        <f>5</f>
        <v>5</v>
      </c>
    </row>
    <row r="24">
      <c r="A24" t="inlineStr" s="11">
        <is>
          <t xml:space="preserve">Raise trigger: Team logos above</t>
        </is>
      </c>
      <c r="B24" s="13">
        <f>25</f>
        <v>25</v>
      </c>
    </row>
    <row r="25">
      <c r="A25" t="inlineStr" s="5">
        <is>
          <t xml:space="preserve">Cash floor (months of opex)</t>
        </is>
      </c>
      <c r="B25" s="7">
        <f>4</f>
        <v>4</v>
      </c>
    </row>
  </sheetData>
  <mergeCells count="1">
    <mergeCell ref="A1:B1"/>
  </mergeCells>
</worksheet>
</file>