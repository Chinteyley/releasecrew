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RC Unit economics" sheetId="1" r:id="rId1"/>
    <sheet name="Model inputs" sheetId="2" r:id="rId2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0;(#,##0.0)"/>
    <numFmt numFmtId="165" formatCode="&quot;$&quot;#,##0.00;(&quot;$&quot;#,##0.00)"/>
    <numFmt numFmtId="166" formatCode="0.0%"/>
    <numFmt numFmtId="167" formatCode="&quot;$&quot;#,##0;(&quot;$&quot;#,##0)"/>
    <numFmt numFmtId="168" formatCode="0.0&quot;x&quot;"/>
    <numFmt numFmtId="169" formatCode="#,##0;(#,##0)"/>
    <numFmt numFmtId="170" formatCode="0%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4" fontId="0" fillId="0" borderId="0" xfId="0" applyNumberFormat="1" applyAlignment="1">
      <alignment vertical="center" horizontal="right"/>
    </xf>
    <xf numFmtId="165" fontId="3" fillId="5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/>
    </xf>
    <xf numFmtId="166" fontId="3" fillId="5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8" fontId="3" fillId="5" borderId="1" xfId="0" applyNumberFormat="1" applyFill="1" applyFont="1" applyBorder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9" fontId="0" fillId="0" borderId="0" xfId="0" applyNumberFormat="1" applyAlignment="1">
      <alignment vertical="center" horizontal="right"/>
    </xf>
    <xf numFmtId="169" fontId="3" fillId="5" borderId="1" xfId="0" applyNumberFormat="1" applyFill="1" applyFont="1" applyBorder="1" applyAlignment="1">
      <alignment vertical="center" horizontal="right"/>
    </xf>
    <xf numFmtId="170" fontId="3" fillId="5" borderId="1" xfId="0" applyNumberFormat="1" applyFill="1" applyFont="1" applyBorder="1" applyAlignment="1">
      <alignment vertical="center" horizontal="right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S4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RC Unit economics</t>
        </is>
      </c>
    </row>
    <row r="2" ht="20" customHeight="1">
      <c r="A2" t="inlineStr" s="2">
        <is>
          <t xml:space="preserve">RC Unit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5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5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5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5">
        <is>
          <t xml:space="preserve">2027-10</t>
        </is>
      </c>
      <c r="N4" t="inlineStr" s="4">
        <is>
          <t xml:space="preserve">2027-11</t>
        </is>
      </c>
      <c r="O4" t="inlineStr" s="4">
        <is>
          <t xml:space="preserve">2027-12</t>
        </is>
      </c>
      <c r="P4" t="inlineStr" s="5">
        <is>
          <t xml:space="preserve">2028-01</t>
        </is>
      </c>
      <c r="Q4" t="inlineStr" s="4">
        <is>
          <t xml:space="preserve">2028-02</t>
        </is>
      </c>
      <c r="R4" t="inlineStr" s="4">
        <is>
          <t xml:space="preserve">2028-03</t>
        </is>
      </c>
      <c r="S4" t="inlineStr" s="5">
        <is>
          <t xml:space="preserve">2028-04</t>
        </is>
      </c>
    </row>
    <row r="5">
      <c r="A5" t="inlineStr" s="6">
        <is>
          <t xml:space="preserve">Ending customers</t>
        </is>
      </c>
      <c r="B5" s="7">
        <f>SUM('RC Unit economics'!B6,'RC Unit economics'!B7,'RC Unit economics'!B8)</f>
        <v>47</v>
      </c>
      <c r="C5" s="7">
        <f>SUM('RC Unit economics'!C6,'RC Unit economics'!C7,'RC Unit economics'!C8)</f>
        <v>84.905</v>
      </c>
      <c r="D5" s="7">
        <f>SUM('RC Unit economics'!D6,'RC Unit economics'!D7,'RC Unit economics'!D8)</f>
        <v>110.9505</v>
      </c>
      <c r="E5" s="7">
        <f>SUM('RC Unit economics'!E6,'RC Unit economics'!E7,'RC Unit economics'!E8)</f>
        <v>138.05102827083334</v>
      </c>
      <c r="F5" s="7">
        <f>SUM('RC Unit economics'!F6,'RC Unit economics'!F7,'RC Unit economics'!F8)</f>
        <v>166.3601248259896</v>
      </c>
      <c r="G5" s="7">
        <f>SUM('RC Unit economics'!G6,'RC Unit economics'!G7,'RC Unit economics'!G8)</f>
        <v>196.04006505593594</v>
      </c>
      <c r="H5" s="7">
        <f>SUM('RC Unit economics'!H6,'RC Unit economics'!H7,'RC Unit economics'!H8)</f>
        <v>227.2628736908502</v>
      </c>
      <c r="I5" s="7">
        <f>SUM('RC Unit economics'!I6,'RC Unit economics'!I7,'RC Unit economics'!I8)</f>
        <v>260.21140757088153</v>
      </c>
      <c r="J5" s="7">
        <f>SUM('RC Unit economics'!J6,'RC Unit economics'!J7,'RC Unit economics'!J8)</f>
        <v>295.08051439200136</v>
      </c>
      <c r="K5" s="7">
        <f>SUM('RC Unit economics'!K6,'RC Unit economics'!K7,'RC Unit economics'!K8)</f>
        <v>330.0136817964602</v>
      </c>
      <c r="L5" s="7">
        <f>SUM('RC Unit economics'!L6,'RC Unit economics'!L7,'RC Unit economics'!L8)</f>
        <v>365.0921444578123</v>
      </c>
      <c r="M5" s="7">
        <f>SUM('RC Unit economics'!M6,'RC Unit economics'!M7,'RC Unit economics'!M8)</f>
        <v>400.3954360097452</v>
      </c>
      <c r="N5" s="7">
        <f>SUM('RC Unit economics'!N6,'RC Unit economics'!N7,'RC Unit economics'!N8)</f>
        <v>436.0016417049511</v>
      </c>
      <c r="O5" s="7">
        <f>SUM('RC Unit economics'!O6,'RC Unit economics'!O7,'RC Unit economics'!O8)</f>
        <v>471.98764010807395</v>
      </c>
      <c r="P5" s="7">
        <f>SUM('RC Unit economics'!P6,'RC Unit economics'!P7,'RC Unit economics'!P8)</f>
        <v>508.42933477856207</v>
      </c>
      <c r="Q5" s="7">
        <f>SUM('RC Unit economics'!Q6,'RC Unit economics'!Q7,'RC Unit economics'!Q8)</f>
        <v>545.4018768448782</v>
      </c>
      <c r="R5" s="7">
        <f>SUM('RC Unit economics'!R6,'RC Unit economics'!R7,'RC Unit economics'!R8)</f>
        <v>582.979879321125</v>
      </c>
      <c r="S5" s="7">
        <f>SUM('RC Unit economics'!S6,'RC Unit economics'!S7,'RC Unit economics'!S8)</f>
        <v>621.2376239704861</v>
      </c>
    </row>
    <row r="6" outlineLevel="1">
      <c r="A6" t="inlineStr" s="8">
        <is>
          <t xml:space="preserve">Indie</t>
        </is>
      </c>
      <c r="B6" s="9">
        <f>'Model inputs'!C43+'Model inputs'!C48+'Model inputs'!C68+'Model inputs'!C60-'Model inputs'!C11-'Model inputs'!C64</f>
        <v>40</v>
      </c>
      <c r="C6" s="9">
        <f>'Model inputs'!D43+'Model inputs'!D48+'Model inputs'!D68+'Model inputs'!D60-'Model inputs'!D11-'Model inputs'!D64</f>
        <v>74.33333333333333</v>
      </c>
      <c r="D6" s="9">
        <f>'Model inputs'!E43+'Model inputs'!E48+'Model inputs'!E68+'Model inputs'!E60-'Model inputs'!E11-'Model inputs'!E64</f>
        <v>96.37777777777778</v>
      </c>
      <c r="E6" s="9">
        <f>'Model inputs'!F43+'Model inputs'!F48+'Model inputs'!F68+'Model inputs'!F60-'Model inputs'!F11-'Model inputs'!F64</f>
        <v>119.1125925925926</v>
      </c>
      <c r="F6" s="9">
        <f>'Model inputs'!G43+'Model inputs'!G48+'Model inputs'!G68+'Model inputs'!G60-'Model inputs'!G11-'Model inputs'!G64</f>
        <v>142.66455308641977</v>
      </c>
      <c r="G6" s="9">
        <f>'Model inputs'!H43+'Model inputs'!H48+'Model inputs'!H68+'Model inputs'!H60-'Model inputs'!H11-'Model inputs'!H64</f>
        <v>167.16580688065847</v>
      </c>
      <c r="H6" s="9">
        <f>'Model inputs'!I43+'Model inputs'!I48+'Model inputs'!I68+'Model inputs'!I60-'Model inputs'!I11-'Model inputs'!I64</f>
        <v>192.75462167528124</v>
      </c>
      <c r="I6" s="9">
        <f>'Model inputs'!J43+'Model inputs'!J48+'Model inputs'!J68+'Model inputs'!J60-'Model inputs'!J11-'Model inputs'!J64</f>
        <v>219.57617163719584</v>
      </c>
      <c r="J6" s="9">
        <f>'Model inputs'!K43+'Model inputs'!K48+'Model inputs'!K68+'Model inputs'!K60-'Model inputs'!K11-'Model inputs'!K64</f>
        <v>247.78336691420412</v>
      </c>
      <c r="K6" s="9">
        <f>'Model inputs'!L43+'Model inputs'!L48+'Model inputs'!L68+'Model inputs'!L60-'Model inputs'!L11-'Model inputs'!L64</f>
        <v>275.8239067748581</v>
      </c>
      <c r="L6" s="9">
        <f>'Model inputs'!M43+'Model inputs'!M48+'Model inputs'!M68+'Model inputs'!M60-'Model inputs'!M11-'Model inputs'!M64</f>
        <v>303.77745455099915</v>
      </c>
      <c r="M6" s="9">
        <f>'Model inputs'!N43+'Model inputs'!N48+'Model inputs'!N68+'Model inputs'!N60-'Model inputs'!N11-'Model inputs'!N64</f>
        <v>331.7211048045094</v>
      </c>
      <c r="N6" s="9">
        <f>'Model inputs'!O43+'Model inputs'!O48+'Model inputs'!O68+'Model inputs'!O60-'Model inputs'!O11-'Model inputs'!O64</f>
        <v>359.72966426339536</v>
      </c>
      <c r="O6" s="9">
        <f>'Model inputs'!P43+'Model inputs'!P48+'Model inputs'!P68+'Model inputs'!P60-'Model inputs'!P11-'Model inputs'!P64</f>
        <v>387.87591841618973</v>
      </c>
      <c r="P6" s="9">
        <f>'Model inputs'!Q43+'Model inputs'!Q48+'Model inputs'!Q68+'Model inputs'!Q60-'Model inputs'!Q11-'Model inputs'!Q64</f>
        <v>416.23088489627867</v>
      </c>
      <c r="Q6" s="9">
        <f>'Model inputs'!R43+'Model inputs'!R48+'Model inputs'!R68+'Model inputs'!R60-'Model inputs'!R11-'Model inputs'!R64</f>
        <v>444.8640547193417</v>
      </c>
      <c r="R6" s="9">
        <f>'Model inputs'!S43+'Model inputs'!S48+'Model inputs'!S68+'Model inputs'!S60-'Model inputs'!S11-'Model inputs'!S64</f>
        <v>473.8436223735132</v>
      </c>
      <c r="S6" s="9">
        <f>'Model inputs'!T43+'Model inputs'!T48+'Model inputs'!T68+'Model inputs'!T60-'Model inputs'!T11-'Model inputs'!T64</f>
        <v>503.23670570282496</v>
      </c>
    </row>
    <row r="7" outlineLevel="1">
      <c r="A7" t="inlineStr" s="8">
        <is>
          <t xml:space="preserve">Launch</t>
        </is>
      </c>
      <c r="B7" s="9">
        <f>'Model inputs'!C44+'Model inputs'!C49+'Model inputs'!C69+'Model inputs'!C61-'Model inputs'!C12-'Model inputs'!C65</f>
        <v>1</v>
      </c>
      <c r="C7" s="9">
        <f>'Model inputs'!D44+'Model inputs'!D49+'Model inputs'!D69+'Model inputs'!D61-'Model inputs'!D12-'Model inputs'!D65</f>
        <v>1.51</v>
      </c>
      <c r="D7" s="9">
        <f>'Model inputs'!E44+'Model inputs'!E49+'Model inputs'!E69+'Model inputs'!E61-'Model inputs'!E12-'Model inputs'!E65</f>
        <v>2.025106944444444</v>
      </c>
      <c r="E7" s="9">
        <f>'Model inputs'!F44+'Model inputs'!F49+'Model inputs'!F69+'Model inputs'!F61-'Model inputs'!F12-'Model inputs'!F65</f>
        <v>2.547012070601851</v>
      </c>
      <c r="F7" s="9">
        <f>'Model inputs'!G44+'Model inputs'!G49+'Model inputs'!G69+'Model inputs'!G61-'Model inputs'!G12-'Model inputs'!G65</f>
        <v>3.0771044879079854</v>
      </c>
      <c r="G7" s="9">
        <f>'Model inputs'!H44+'Model inputs'!H49+'Model inputs'!H69+'Model inputs'!H61-'Model inputs'!H12-'Model inputs'!H65</f>
        <v>3.6168582008046233</v>
      </c>
      <c r="H7" s="9">
        <f>'Model inputs'!I44+'Model inputs'!I49+'Model inputs'!I69+'Model inputs'!I61-'Model inputs'!I12-'Model inputs'!I65</f>
        <v>4.167844494352857</v>
      </c>
      <c r="I7" s="9">
        <f>'Model inputs'!J44+'Model inputs'!J49+'Model inputs'!J69+'Model inputs'!J61-'Model inputs'!J12-'Model inputs'!J65</f>
        <v>4.731745191609298</v>
      </c>
      <c r="J7" s="9">
        <f>'Model inputs'!K44+'Model inputs'!K49+'Model inputs'!K69+'Model inputs'!K61-'Model inputs'!K12-'Model inputs'!K65</f>
        <v>5.310366891827144</v>
      </c>
      <c r="K7" s="9">
        <f>'Model inputs'!L44+'Model inputs'!L49+'Model inputs'!L69+'Model inputs'!L61-'Model inputs'!L12-'Model inputs'!L65</f>
        <v>5.905656307557946</v>
      </c>
      <c r="L7" s="9">
        <f>'Model inputs'!M44+'Model inputs'!M49+'Model inputs'!M69+'Model inputs'!M61-'Model inputs'!M12-'Model inputs'!M65</f>
        <v>6.51825529091976</v>
      </c>
      <c r="M7" s="9">
        <f>'Model inputs'!N44+'Model inputs'!N49+'Model inputs'!N69+'Model inputs'!N61-'Model inputs'!N12-'Model inputs'!N65</f>
        <v>7.148799939122187</v>
      </c>
      <c r="N7" s="9">
        <f>'Model inputs'!O44+'Model inputs'!O49+'Model inputs'!O69+'Model inputs'!O61-'Model inputs'!O12-'Model inputs'!O65</f>
        <v>7.797924320310828</v>
      </c>
      <c r="O7" s="9">
        <f>'Model inputs'!P44+'Model inputs'!P49+'Model inputs'!P69+'Model inputs'!P61-'Model inputs'!P12-'Model inputs'!P65</f>
        <v>8.466264010178019</v>
      </c>
      <c r="P7" s="9">
        <f>'Model inputs'!Q44+'Model inputs'!Q49+'Model inputs'!Q69+'Model inputs'!Q61-'Model inputs'!Q12-'Model inputs'!Q65</f>
        <v>9.154459457032457</v>
      </c>
      <c r="Q7" s="9">
        <f>'Model inputs'!R44+'Model inputs'!R49+'Model inputs'!R69+'Model inputs'!R61-'Model inputs'!R12-'Model inputs'!R65</f>
        <v>9.86315919194885</v>
      </c>
      <c r="R7" s="9">
        <f>'Model inputs'!S44+'Model inputs'!S49+'Model inputs'!S69+'Model inputs'!S61-'Model inputs'!S12-'Model inputs'!S65</f>
        <v>10.59302289962623</v>
      </c>
      <c r="S7" s="9">
        <f>'Model inputs'!T44+'Model inputs'!T49+'Model inputs'!T69+'Model inputs'!T61-'Model inputs'!T12-'Model inputs'!T65</f>
        <v>11.344724364665112</v>
      </c>
    </row>
    <row r="8" outlineLevel="1">
      <c r="A8" t="inlineStr" s="8">
        <is>
          <t xml:space="preserve">Team</t>
        </is>
      </c>
      <c r="B8" s="9">
        <f>'Model inputs'!C45+'Model inputs'!C50+'Model inputs'!C70+'Model inputs'!C62-'Model inputs'!C13-'Model inputs'!C66</f>
        <v>6</v>
      </c>
      <c r="C8" s="9">
        <f>'Model inputs'!D45+'Model inputs'!D50+'Model inputs'!D70+'Model inputs'!D62-'Model inputs'!D13-'Model inputs'!D66</f>
        <v>9.061666666666667</v>
      </c>
      <c r="D8" s="9">
        <f>'Model inputs'!E45+'Model inputs'!E50+'Model inputs'!E70+'Model inputs'!E62-'Model inputs'!E13-'Model inputs'!E66</f>
        <v>12.547615277777778</v>
      </c>
      <c r="E8" s="9">
        <f>'Model inputs'!F45+'Model inputs'!F50+'Model inputs'!F70+'Model inputs'!F62-'Model inputs'!F13-'Model inputs'!F66</f>
        <v>16.391423607638888</v>
      </c>
      <c r="F8" s="9">
        <f>'Model inputs'!G45+'Model inputs'!G50+'Model inputs'!G70+'Model inputs'!G62-'Model inputs'!G13-'Model inputs'!G66</f>
        <v>20.618467251661844</v>
      </c>
      <c r="G8" s="9">
        <f>'Model inputs'!H45+'Model inputs'!H50+'Model inputs'!H70+'Model inputs'!H62-'Model inputs'!H13-'Model inputs'!H66</f>
        <v>25.257399974472865</v>
      </c>
      <c r="H8" s="9">
        <f>'Model inputs'!I45+'Model inputs'!I50+'Model inputs'!I70+'Model inputs'!I62-'Model inputs'!I13-'Model inputs'!I66</f>
        <v>30.3404075212161</v>
      </c>
      <c r="I8" s="9">
        <f>'Model inputs'!J45+'Model inputs'!J50+'Model inputs'!J70+'Model inputs'!J62-'Model inputs'!J13-'Model inputs'!J66</f>
        <v>35.90349074207642</v>
      </c>
      <c r="J8" s="9">
        <f>'Model inputs'!K45+'Model inputs'!K50+'Model inputs'!K70+'Model inputs'!K62-'Model inputs'!K13-'Model inputs'!K66</f>
        <v>41.986780585970116</v>
      </c>
      <c r="K8" s="9">
        <f>'Model inputs'!L45+'Model inputs'!L50+'Model inputs'!L70+'Model inputs'!L62-'Model inputs'!L13-'Model inputs'!L66</f>
        <v>48.284118714044176</v>
      </c>
      <c r="L8" s="9">
        <f>'Model inputs'!M45+'Model inputs'!M50+'Model inputs'!M70+'Model inputs'!M62-'Model inputs'!M13-'Model inputs'!M66</f>
        <v>54.79643461589339</v>
      </c>
      <c r="M8" s="9">
        <f>'Model inputs'!N45+'Model inputs'!N50+'Model inputs'!N70+'Model inputs'!N62-'Model inputs'!N13-'Model inputs'!N66</f>
        <v>61.52553126611357</v>
      </c>
      <c r="N8" s="9">
        <f>'Model inputs'!O45+'Model inputs'!O50+'Model inputs'!O70+'Model inputs'!O62-'Model inputs'!O13-'Model inputs'!O66</f>
        <v>68.47405312124489</v>
      </c>
      <c r="O8" s="9">
        <f>'Model inputs'!P45+'Model inputs'!P50+'Model inputs'!P70+'Model inputs'!P62-'Model inputs'!P13-'Model inputs'!P66</f>
        <v>75.64545768170619</v>
      </c>
      <c r="P8" s="9">
        <f>'Model inputs'!Q45+'Model inputs'!Q50+'Model inputs'!Q70+'Model inputs'!Q62-'Model inputs'!Q13-'Model inputs'!Q66</f>
        <v>83.04399042525094</v>
      </c>
      <c r="Q8" s="9">
        <f>'Model inputs'!R45+'Model inputs'!R50+'Model inputs'!R70+'Model inputs'!R62-'Model inputs'!R13-'Model inputs'!R66</f>
        <v>90.67466293358764</v>
      </c>
      <c r="R8" s="9">
        <f>'Model inputs'!S45+'Model inputs'!S50+'Model inputs'!S70+'Model inputs'!S62-'Model inputs'!S13-'Model inputs'!S66</f>
        <v>98.54323404798558</v>
      </c>
      <c r="S8" s="9">
        <f>'Model inputs'!T45+'Model inputs'!T50+'Model inputs'!T70+'Model inputs'!T62-'Model inputs'!T13-'Model inputs'!T66</f>
        <v>106.65619390299605</v>
      </c>
    </row>
    <row r="9">
      <c r="A9" t="inlineStr" s="6">
        <is>
          <t xml:space="preserve">ARPU</t>
        </is>
      </c>
      <c r="B9" s="10">
        <f>IFERROR('Model inputs'!C55/'RC Unit economics'!B5,"")</f>
        <v>57.397446808510644</v>
      </c>
      <c r="C9" s="10">
        <f>IFERROR('Model inputs'!D55/'RC Unit economics'!C5,"")</f>
        <v>52.787174745412635</v>
      </c>
      <c r="D9" s="10">
        <f>IFERROR('Model inputs'!E55/'RC Unit economics'!D5,"")</f>
        <v>53.557490692754705</v>
      </c>
      <c r="E9" s="10">
        <f>IFERROR('Model inputs'!F55/'RC Unit economics'!E5,"")</f>
        <v>54.08686724056214</v>
      </c>
      <c r="F9" s="10">
        <f>IFERROR('Model inputs'!G55/'RC Unit economics'!F5,"")</f>
        <v>54.4735640825492</v>
      </c>
      <c r="G9" s="10">
        <f>IFERROR('Model inputs'!H55/'RC Unit economics'!G5,"")</f>
        <v>54.764216097937826</v>
      </c>
      <c r="H9" s="10">
        <f>IFERROR('Model inputs'!I55/'RC Unit economics'!H5,"")</f>
        <v>54.984228527033125</v>
      </c>
      <c r="I9" s="10">
        <f>IFERROR('Model inputs'!J55/'RC Unit economics'!I5,"")</f>
        <v>55.437060202185535</v>
      </c>
      <c r="J9" s="10">
        <f>IFERROR('Model inputs'!K55/'RC Unit economics'!J5,"")</f>
        <v>55.855389225024105</v>
      </c>
      <c r="K9" s="10">
        <f>IFERROR('Model inputs'!L55/'RC Unit economics'!K5,"")</f>
        <v>56.28005101050247</v>
      </c>
      <c r="L9" s="10">
        <f>IFERROR('Model inputs'!M55/'RC Unit economics'!L5,"")</f>
        <v>56.704348903926885</v>
      </c>
      <c r="M9" s="10">
        <f>IFERROR('Model inputs'!N55/'RC Unit economics'!M5,"")</f>
        <v>57.12394851454399</v>
      </c>
      <c r="N9" s="10">
        <f>IFERROR('Model inputs'!O55/'RC Unit economics'!N5,"")</f>
        <v>57.53593634393053</v>
      </c>
      <c r="O9" s="10">
        <f>IFERROR('Model inputs'!P55/'RC Unit economics'!O5,"")</f>
        <v>57.93830258849521</v>
      </c>
      <c r="P9" s="10">
        <f>IFERROR('Model inputs'!Q55/'RC Unit economics'!P5,"")</f>
        <v>58.329640145192364</v>
      </c>
      <c r="Q9" s="10">
        <f>IFERROR('Model inputs'!R55/'RC Unit economics'!Q5,"")</f>
        <v>58.708960722889714</v>
      </c>
      <c r="R9" s="10">
        <f>IFERROR('Model inputs'!S55/'RC Unit economics'!R5,"")</f>
        <v>59.075577663153986</v>
      </c>
      <c r="S9" s="10">
        <f>IFERROR('Model inputs'!T55/'RC Unit economics'!S5,"")</f>
        <v>59.429028416192935</v>
      </c>
    </row>
    <row r="10" outlineLevel="1">
      <c r="A10" t="inlineStr" s="8">
        <is>
          <t xml:space="preserve">Indie</t>
        </is>
      </c>
      <c r="B10" s="11">
        <f>IFERROR('Model inputs'!C56/'RC Unit economics'!B6,"")</f>
        <v>30.76</v>
      </c>
      <c r="C10" s="11">
        <f>IFERROR('Model inputs'!D56/'RC Unit economics'!C6,"")</f>
        <v>30.76</v>
      </c>
      <c r="D10" s="11">
        <f>IFERROR('Model inputs'!E56/'RC Unit economics'!D6,"")</f>
        <v>30.76</v>
      </c>
      <c r="E10" s="11">
        <f>IFERROR('Model inputs'!F56/'RC Unit economics'!E6,"")</f>
        <v>30.76</v>
      </c>
      <c r="F10" s="11">
        <f>IFERROR('Model inputs'!G56/'RC Unit economics'!F6,"")</f>
        <v>30.76</v>
      </c>
      <c r="G10" s="11">
        <f>IFERROR('Model inputs'!H56/'RC Unit economics'!G6,"")</f>
        <v>30.76</v>
      </c>
      <c r="H10" s="11">
        <f>IFERROR('Model inputs'!I56/'RC Unit economics'!H6,"")</f>
        <v>30.759999999999994</v>
      </c>
      <c r="I10" s="11">
        <f>IFERROR('Model inputs'!J56/'RC Unit economics'!I6,"")</f>
        <v>30.76</v>
      </c>
      <c r="J10" s="11">
        <f>IFERROR('Model inputs'!K56/'RC Unit economics'!J6,"")</f>
        <v>30.76</v>
      </c>
      <c r="K10" s="11">
        <f>IFERROR('Model inputs'!L56/'RC Unit economics'!K6,"")</f>
        <v>30.76</v>
      </c>
      <c r="L10" s="11">
        <f>IFERROR('Model inputs'!M56/'RC Unit economics'!L6,"")</f>
        <v>30.760000000000005</v>
      </c>
      <c r="M10" s="11">
        <f>IFERROR('Model inputs'!N56/'RC Unit economics'!M6,"")</f>
        <v>30.759999999999998</v>
      </c>
      <c r="N10" s="11">
        <f>IFERROR('Model inputs'!O56/'RC Unit economics'!N6,"")</f>
        <v>30.76</v>
      </c>
      <c r="O10" s="11">
        <f>IFERROR('Model inputs'!P56/'RC Unit economics'!O6,"")</f>
        <v>30.759999999999998</v>
      </c>
      <c r="P10" s="11">
        <f>IFERROR('Model inputs'!Q56/'RC Unit economics'!P6,"")</f>
        <v>30.76</v>
      </c>
      <c r="Q10" s="11">
        <f>IFERROR('Model inputs'!R56/'RC Unit economics'!Q6,"")</f>
        <v>30.759999999999998</v>
      </c>
      <c r="R10" s="11">
        <f>IFERROR('Model inputs'!S56/'RC Unit economics'!R6,"")</f>
        <v>30.759999999999998</v>
      </c>
      <c r="S10" s="11">
        <f>IFERROR('Model inputs'!T56/'RC Unit economics'!S6,"")</f>
        <v>30.76</v>
      </c>
    </row>
    <row r="11" outlineLevel="1">
      <c r="A11" t="inlineStr" s="8">
        <is>
          <t xml:space="preserve">Launch</t>
        </is>
      </c>
      <c r="B11" s="11">
        <f>IFERROR('Model inputs'!C57/'RC Unit economics'!B7,"")</f>
        <v>526.36</v>
      </c>
      <c r="C11" s="11">
        <f>IFERROR('Model inputs'!D57/'RC Unit economics'!C7,"")</f>
        <v>521.5086111111111</v>
      </c>
      <c r="D11" s="11">
        <f>IFERROR('Model inputs'!E57/'RC Unit economics'!D7,"")</f>
        <v>516.6572222222221</v>
      </c>
      <c r="E11" s="11">
        <f>IFERROR('Model inputs'!F57/'RC Unit economics'!E7,"")</f>
        <v>511.80583333333334</v>
      </c>
      <c r="F11" s="11">
        <f>IFERROR('Model inputs'!G57/'RC Unit economics'!F7,"")</f>
        <v>506.95444444444433</v>
      </c>
      <c r="G11" s="11">
        <f>IFERROR('Model inputs'!H57/'RC Unit economics'!G7,"")</f>
        <v>502.1030555555555</v>
      </c>
      <c r="H11" s="11">
        <f>IFERROR('Model inputs'!I57/'RC Unit economics'!H7,"")</f>
        <v>497.2516666666666</v>
      </c>
      <c r="I11" s="11">
        <f>IFERROR('Model inputs'!J57/'RC Unit economics'!I7,"")</f>
        <v>497.25166666666667</v>
      </c>
      <c r="J11" s="11">
        <f>IFERROR('Model inputs'!K57/'RC Unit economics'!J7,"")</f>
        <v>497.2516666666666</v>
      </c>
      <c r="K11" s="11">
        <f>IFERROR('Model inputs'!L57/'RC Unit economics'!K7,"")</f>
        <v>497.25166666666667</v>
      </c>
      <c r="L11" s="11">
        <f>IFERROR('Model inputs'!M57/'RC Unit economics'!L7,"")</f>
        <v>497.2516666666667</v>
      </c>
      <c r="M11" s="11">
        <f>IFERROR('Model inputs'!N57/'RC Unit economics'!M7,"")</f>
        <v>497.2516666666667</v>
      </c>
      <c r="N11" s="11">
        <f>IFERROR('Model inputs'!O57/'RC Unit economics'!N7,"")</f>
        <v>497.25166666666667</v>
      </c>
      <c r="O11" s="11">
        <f>IFERROR('Model inputs'!P57/'RC Unit economics'!O7,"")</f>
        <v>497.2516666666667</v>
      </c>
      <c r="P11" s="11">
        <f>IFERROR('Model inputs'!Q57/'RC Unit economics'!P7,"")</f>
        <v>497.2516666666666</v>
      </c>
      <c r="Q11" s="11">
        <f>IFERROR('Model inputs'!R57/'RC Unit economics'!Q7,"")</f>
        <v>497.2516666666667</v>
      </c>
      <c r="R11" s="11">
        <f>IFERROR('Model inputs'!S57/'RC Unit economics'!R7,"")</f>
        <v>497.25166666666667</v>
      </c>
      <c r="S11" s="11">
        <f>IFERROR('Model inputs'!T57/'RC Unit economics'!S7,"")</f>
        <v>497.2516666666666</v>
      </c>
    </row>
    <row r="12" outlineLevel="1">
      <c r="A12" t="inlineStr" s="8">
        <is>
          <t xml:space="preserve">Team</t>
        </is>
      </c>
      <c r="B12" s="11">
        <f>IFERROR('Model inputs'!C58/'RC Unit economics'!B8,"")</f>
        <v>156.82</v>
      </c>
      <c r="C12" s="11">
        <f>IFERROR('Model inputs'!D58/'RC Unit economics'!C8,"")</f>
        <v>155.3713888888889</v>
      </c>
      <c r="D12" s="11">
        <f>IFERROR('Model inputs'!E58/'RC Unit economics'!D8,"")</f>
        <v>153.92277777777778</v>
      </c>
      <c r="E12" s="11">
        <f>IFERROR('Model inputs'!F58/'RC Unit economics'!E8,"")</f>
        <v>152.47416666666666</v>
      </c>
      <c r="F12" s="11">
        <f>IFERROR('Model inputs'!G58/'RC Unit economics'!F8,"")</f>
        <v>151.02555555555554</v>
      </c>
      <c r="G12" s="11">
        <f>IFERROR('Model inputs'!H58/'RC Unit economics'!G8,"")</f>
        <v>149.57694444444445</v>
      </c>
      <c r="H12" s="11">
        <f>IFERROR('Model inputs'!I58/'RC Unit economics'!H8,"")</f>
        <v>148.12833333333333</v>
      </c>
      <c r="I12" s="11">
        <f>IFERROR('Model inputs'!J58/'RC Unit economics'!I8,"")</f>
        <v>148.12833333333333</v>
      </c>
      <c r="J12" s="11">
        <f>IFERROR('Model inputs'!K58/'RC Unit economics'!J8,"")</f>
        <v>148.12833333333333</v>
      </c>
      <c r="K12" s="11">
        <f>IFERROR('Model inputs'!L58/'RC Unit economics'!K8,"")</f>
        <v>148.12833333333333</v>
      </c>
      <c r="L12" s="11">
        <f>IFERROR('Model inputs'!M58/'RC Unit economics'!L8,"")</f>
        <v>148.12833333333333</v>
      </c>
      <c r="M12" s="11">
        <f>IFERROR('Model inputs'!N58/'RC Unit economics'!M8,"")</f>
        <v>148.12833333333336</v>
      </c>
      <c r="N12" s="11">
        <f>IFERROR('Model inputs'!O58/'RC Unit economics'!N8,"")</f>
        <v>148.12833333333333</v>
      </c>
      <c r="O12" s="11">
        <f>IFERROR('Model inputs'!P58/'RC Unit economics'!O8,"")</f>
        <v>148.12833333333333</v>
      </c>
      <c r="P12" s="11">
        <f>IFERROR('Model inputs'!Q58/'RC Unit economics'!P8,"")</f>
        <v>148.12833333333333</v>
      </c>
      <c r="Q12" s="11">
        <f>IFERROR('Model inputs'!R58/'RC Unit economics'!Q8,"")</f>
        <v>148.12833333333336</v>
      </c>
      <c r="R12" s="11">
        <f>IFERROR('Model inputs'!S58/'RC Unit economics'!R8,"")</f>
        <v>148.12833333333333</v>
      </c>
      <c r="S12" s="11">
        <f>IFERROR('Model inputs'!T58/'RC Unit economics'!S8,"")</f>
        <v>148.12833333333333</v>
      </c>
    </row>
    <row r="13">
      <c r="A13" t="inlineStr" s="6">
        <is>
          <t xml:space="preserve">Kits per customer</t>
        </is>
      </c>
      <c r="B13" s="7">
        <f>IFERROR('Model inputs'!C20/'RC Unit economics'!B5,"")</f>
        <v>17.617021276595743</v>
      </c>
      <c r="C13" s="7">
        <f>IFERROR('Model inputs'!D20/'RC Unit economics'!C5,"")</f>
        <v>16.12144946312545</v>
      </c>
      <c r="D13" s="7">
        <f>IFERROR('Model inputs'!E20/'RC Unit economics'!D5,"")</f>
        <v>16.458880849768338</v>
      </c>
      <c r="E13" s="7">
        <f>IFERROR('Model inputs'!F20/'RC Unit economics'!E5,"")</f>
        <v>16.715112245401293</v>
      </c>
      <c r="F13" s="7">
        <f>IFERROR('Model inputs'!G20/'RC Unit economics'!F5,"")</f>
        <v>16.92472994665518</v>
      </c>
      <c r="G13" s="7">
        <f>IFERROR('Model inputs'!H20/'RC Unit economics'!G5,"")</f>
        <v>17.1040544477214</v>
      </c>
      <c r="H13" s="7">
        <f>IFERROR('Model inputs'!I20/'RC Unit economics'!H5,"")</f>
        <v>17.261901778599565</v>
      </c>
      <c r="I13" s="7">
        <f>IFERROR('Model inputs'!J20/'RC Unit economics'!I5,"")</f>
        <v>17.403545353912595</v>
      </c>
      <c r="J13" s="7">
        <f>IFERROR('Model inputs'!K20/'RC Unit economics'!J5,"")</f>
        <v>17.532411100364943</v>
      </c>
      <c r="K13" s="7">
        <f>IFERROR('Model inputs'!L20/'RC Unit economics'!K5,"")</f>
        <v>17.667212931187766</v>
      </c>
      <c r="L13" s="7">
        <f>IFERROR('Model inputs'!M20/'RC Unit economics'!L5,"")</f>
        <v>17.80455010943432</v>
      </c>
      <c r="M13" s="7">
        <f>IFERROR('Model inputs'!N20/'RC Unit economics'!M5,"")</f>
        <v>17.94221787190898</v>
      </c>
      <c r="N13" s="7">
        <f>IFERROR('Model inputs'!O20/'RC Unit economics'!N5,"")</f>
        <v>18.07872791968868</v>
      </c>
      <c r="O13" s="7">
        <f>IFERROR('Model inputs'!P20/'RC Unit economics'!O5,"")</f>
        <v>18.21304515878026</v>
      </c>
      <c r="P13" s="7">
        <f>IFERROR('Model inputs'!Q20/'RC Unit economics'!P5,"")</f>
        <v>18.34443467707465</v>
      </c>
      <c r="Q13" s="7">
        <f>IFERROR('Model inputs'!R20/'RC Unit economics'!Q5,"")</f>
        <v>18.47236843924531</v>
      </c>
      <c r="R13" s="7">
        <f>IFERROR('Model inputs'!S20/'RC Unit economics'!R5,"")</f>
        <v>18.5964660056156</v>
      </c>
      <c r="S13" s="7">
        <f>IFERROR('Model inputs'!T20/'RC Unit economics'!S5,"")</f>
        <v>18.71645547918108</v>
      </c>
    </row>
    <row r="14" outlineLevel="1">
      <c r="A14" t="inlineStr" s="8">
        <is>
          <t xml:space="preserve">Indie</t>
        </is>
      </c>
      <c r="B14" s="9">
        <f>IFERROR('Model inputs'!C21/'RC Unit economics'!B6,"")</f>
        <v>8.5</v>
      </c>
      <c r="C14" s="9">
        <f>IFERROR('Model inputs'!D21/'RC Unit economics'!C6,"")</f>
        <v>8.5</v>
      </c>
      <c r="D14" s="9">
        <f>IFERROR('Model inputs'!E21/'RC Unit economics'!D6,"")</f>
        <v>8.5</v>
      </c>
      <c r="E14" s="9">
        <f>IFERROR('Model inputs'!F21/'RC Unit economics'!E6,"")</f>
        <v>8.5</v>
      </c>
      <c r="F14" s="9">
        <f>IFERROR('Model inputs'!G21/'RC Unit economics'!F6,"")</f>
        <v>8.5</v>
      </c>
      <c r="G14" s="9">
        <f>IFERROR('Model inputs'!H21/'RC Unit economics'!G6,"")</f>
        <v>8.5</v>
      </c>
      <c r="H14" s="9">
        <f>IFERROR('Model inputs'!I21/'RC Unit economics'!H6,"")</f>
        <v>8.5</v>
      </c>
      <c r="I14" s="9">
        <f>IFERROR('Model inputs'!J21/'RC Unit economics'!I6,"")</f>
        <v>8.5</v>
      </c>
      <c r="J14" s="9">
        <f>IFERROR('Model inputs'!K21/'RC Unit economics'!J6,"")</f>
        <v>8.5</v>
      </c>
      <c r="K14" s="9">
        <f>IFERROR('Model inputs'!L21/'RC Unit economics'!K6,"")</f>
        <v>8.5</v>
      </c>
      <c r="L14" s="9">
        <f>IFERROR('Model inputs'!M21/'RC Unit economics'!L6,"")</f>
        <v>8.5</v>
      </c>
      <c r="M14" s="9">
        <f>IFERROR('Model inputs'!N21/'RC Unit economics'!M6,"")</f>
        <v>8.5</v>
      </c>
      <c r="N14" s="9">
        <f>IFERROR('Model inputs'!O21/'RC Unit economics'!N6,"")</f>
        <v>8.5</v>
      </c>
      <c r="O14" s="9">
        <f>IFERROR('Model inputs'!P21/'RC Unit economics'!O6,"")</f>
        <v>8.5</v>
      </c>
      <c r="P14" s="9">
        <f>IFERROR('Model inputs'!Q21/'RC Unit economics'!P6,"")</f>
        <v>8.5</v>
      </c>
      <c r="Q14" s="9">
        <f>IFERROR('Model inputs'!R21/'RC Unit economics'!Q6,"")</f>
        <v>8.5</v>
      </c>
      <c r="R14" s="9">
        <f>IFERROR('Model inputs'!S21/'RC Unit economics'!R6,"")</f>
        <v>8.5</v>
      </c>
      <c r="S14" s="9">
        <f>IFERROR('Model inputs'!T21/'RC Unit economics'!S6,"")</f>
        <v>8.5</v>
      </c>
    </row>
    <row r="15" outlineLevel="1">
      <c r="A15" t="inlineStr" s="8">
        <is>
          <t xml:space="preserve">Launch</t>
        </is>
      </c>
      <c r="B15" s="9">
        <f>IFERROR('Model inputs'!C22/'RC Unit economics'!B7,"")</f>
        <v>206</v>
      </c>
      <c r="C15" s="9">
        <f>IFERROR('Model inputs'!D22/'RC Unit economics'!C7,"")</f>
        <v>206</v>
      </c>
      <c r="D15" s="9">
        <f>IFERROR('Model inputs'!E22/'RC Unit economics'!D7,"")</f>
        <v>206</v>
      </c>
      <c r="E15" s="9">
        <f>IFERROR('Model inputs'!F22/'RC Unit economics'!E7,"")</f>
        <v>205.99999999999997</v>
      </c>
      <c r="F15" s="9">
        <f>IFERROR('Model inputs'!G22/'RC Unit economics'!F7,"")</f>
        <v>205.99999999999997</v>
      </c>
      <c r="G15" s="9">
        <f>IFERROR('Model inputs'!H22/'RC Unit economics'!G7,"")</f>
        <v>206</v>
      </c>
      <c r="H15" s="9">
        <f>IFERROR('Model inputs'!I22/'RC Unit economics'!H7,"")</f>
        <v>206</v>
      </c>
      <c r="I15" s="9">
        <f>IFERROR('Model inputs'!J22/'RC Unit economics'!I7,"")</f>
        <v>206</v>
      </c>
      <c r="J15" s="9">
        <f>IFERROR('Model inputs'!K22/'RC Unit economics'!J7,"")</f>
        <v>206</v>
      </c>
      <c r="K15" s="9">
        <f>IFERROR('Model inputs'!L22/'RC Unit economics'!K7,"")</f>
        <v>206</v>
      </c>
      <c r="L15" s="9">
        <f>IFERROR('Model inputs'!M22/'RC Unit economics'!L7,"")</f>
        <v>206</v>
      </c>
      <c r="M15" s="9">
        <f>IFERROR('Model inputs'!N22/'RC Unit economics'!M7,"")</f>
        <v>206</v>
      </c>
      <c r="N15" s="9">
        <f>IFERROR('Model inputs'!O22/'RC Unit economics'!N7,"")</f>
        <v>206</v>
      </c>
      <c r="O15" s="9">
        <f>IFERROR('Model inputs'!P22/'RC Unit economics'!O7,"")</f>
        <v>206</v>
      </c>
      <c r="P15" s="9">
        <f>IFERROR('Model inputs'!Q22/'RC Unit economics'!P7,"")</f>
        <v>206</v>
      </c>
      <c r="Q15" s="9">
        <f>IFERROR('Model inputs'!R22/'RC Unit economics'!Q7,"")</f>
        <v>206</v>
      </c>
      <c r="R15" s="9">
        <f>IFERROR('Model inputs'!S22/'RC Unit economics'!R7,"")</f>
        <v>206</v>
      </c>
      <c r="S15" s="9">
        <f>IFERROR('Model inputs'!T22/'RC Unit economics'!S7,"")</f>
        <v>206.00000000000003</v>
      </c>
    </row>
    <row r="16" outlineLevel="1">
      <c r="A16" t="inlineStr" s="8">
        <is>
          <t xml:space="preserve">Team</t>
        </is>
      </c>
      <c r="B16" s="9">
        <f>IFERROR('Model inputs'!C23/'RC Unit economics'!B8,"")</f>
        <v>47</v>
      </c>
      <c r="C16" s="9">
        <f>IFERROR('Model inputs'!D23/'RC Unit economics'!C8,"")</f>
        <v>47</v>
      </c>
      <c r="D16" s="9">
        <f>IFERROR('Model inputs'!E23/'RC Unit economics'!D8,"")</f>
        <v>47</v>
      </c>
      <c r="E16" s="9">
        <f>IFERROR('Model inputs'!F23/'RC Unit economics'!E8,"")</f>
        <v>47</v>
      </c>
      <c r="F16" s="9">
        <f>IFERROR('Model inputs'!G23/'RC Unit economics'!F8,"")</f>
        <v>47</v>
      </c>
      <c r="G16" s="9">
        <f>IFERROR('Model inputs'!H23/'RC Unit economics'!G8,"")</f>
        <v>47</v>
      </c>
      <c r="H16" s="9">
        <f>IFERROR('Model inputs'!I23/'RC Unit economics'!H8,"")</f>
        <v>47</v>
      </c>
      <c r="I16" s="9">
        <f>IFERROR('Model inputs'!J23/'RC Unit economics'!I8,"")</f>
        <v>47</v>
      </c>
      <c r="J16" s="9">
        <f>IFERROR('Model inputs'!K23/'RC Unit economics'!J8,"")</f>
        <v>47</v>
      </c>
      <c r="K16" s="9">
        <f>IFERROR('Model inputs'!L23/'RC Unit economics'!K8,"")</f>
        <v>47.00000000000001</v>
      </c>
      <c r="L16" s="9">
        <f>IFERROR('Model inputs'!M23/'RC Unit economics'!L8,"")</f>
        <v>47</v>
      </c>
      <c r="M16" s="9">
        <f>IFERROR('Model inputs'!N23/'RC Unit economics'!M8,"")</f>
        <v>47</v>
      </c>
      <c r="N16" s="9">
        <f>IFERROR('Model inputs'!O23/'RC Unit economics'!N8,"")</f>
        <v>47</v>
      </c>
      <c r="O16" s="9">
        <f>IFERROR('Model inputs'!P23/'RC Unit economics'!O8,"")</f>
        <v>47</v>
      </c>
      <c r="P16" s="9">
        <f>IFERROR('Model inputs'!Q23/'RC Unit economics'!P8,"")</f>
        <v>47</v>
      </c>
      <c r="Q16" s="9">
        <f>IFERROR('Model inputs'!R23/'RC Unit economics'!Q8,"")</f>
        <v>47</v>
      </c>
      <c r="R16" s="9">
        <f>IFERROR('Model inputs'!S23/'RC Unit economics'!R8,"")</f>
        <v>47.00000000000001</v>
      </c>
      <c r="S16" s="9">
        <f>IFERROR('Model inputs'!T23/'RC Unit economics'!S8,"")</f>
        <v>47</v>
      </c>
    </row>
    <row r="17">
      <c r="A17" t="inlineStr" s="12">
        <is>
          <t xml:space="preserve">COGS per kit</t>
        </is>
      </c>
      <c r="B17" s="11">
        <f>IF(IF(IF(IFERROR(IF(ISERROR('Model inputs'!B19=1),'Model inputs'!B19=1,IF('Model inputs'!B19="","",'Model inputs'!B19=1))=FALSE,FALSE),FALSE,IF(IFERROR('Model inputs'!B214=FALSE,FALSE),FALSE,IF(OR(IF(ISERROR('Model inputs'!B19=1),'Model inputs'!B19=1,IF('Model inputs'!B19="","",'Model inputs'!B19=1))="",'Model inputs'!B214=""),"",AND(IF(ISERROR('Model inputs'!B19=1),'Model inputs'!B19=1,IF('Model inputs'!B19="","",'Model inputs'!B19=1)),'Model inputs'!B214))))="",FALSE,IF(IFERROR(IF(ISERROR('Model inputs'!B19=1),'Model inputs'!B19=1,IF('Model inputs'!B19="","",'Model inputs'!B19=1))=FALSE,FALSE),FALSE,IF(IFERROR('Model inputs'!B214=FALSE,FALSE),FALSE,IF(OR(IF(ISERROR('Model inputs'!B19=1),'Model inputs'!B19=1,IF('Model inputs'!B19="","",'Model inputs'!B19=1))="",'Model inputs'!B214=""),"",AND(IF(ISERROR('Model inputs'!B19=1),'Model inputs'!B19=1,IF('Model inputs'!B19="","",'Model inputs'!B19=1)),'Model inputs'!B214))))),IF('Model inputs'!B46="","",'Model inputs'!B46),IF('Model inputs'!B36="","",'Model inputs'!B36))</f>
        <v>0.24</v>
      </c>
      <c r="C17" s="11">
        <f>IF(IF(IF(IFERROR(IF(ISERROR('Model inputs'!B19=1),'Model inputs'!B19=1,IF('Model inputs'!B19="","",'Model inputs'!B19=1))=FALSE,FALSE),FALSE,IF(IFERROR('Model inputs'!B215=FALSE,FALSE),FALSE,IF(OR(IF(ISERROR('Model inputs'!B19=1),'Model inputs'!B19=1,IF('Model inputs'!B19="","",'Model inputs'!B19=1))="",'Model inputs'!B215=""),"",AND(IF(ISERROR('Model inputs'!B19=1),'Model inputs'!B19=1,IF('Model inputs'!B19="","",'Model inputs'!B19=1)),'Model inputs'!B215))))="",FALSE,IF(IFERROR(IF(ISERROR('Model inputs'!B19=1),'Model inputs'!B19=1,IF('Model inputs'!B19="","",'Model inputs'!B19=1))=FALSE,FALSE),FALSE,IF(IFERROR('Model inputs'!B215=FALSE,FALSE),FALSE,IF(OR(IF(ISERROR('Model inputs'!B19=1),'Model inputs'!B19=1,IF('Model inputs'!B19="","",'Model inputs'!B19=1))="",'Model inputs'!B215=""),"",AND(IF(ISERROR('Model inputs'!B19=1),'Model inputs'!B19=1,IF('Model inputs'!B19="","",'Model inputs'!B19=1)),'Model inputs'!B215))))),IF('Model inputs'!B46="","",'Model inputs'!B46),IF('Model inputs'!B36="","",'Model inputs'!B36))</f>
        <v>0.24</v>
      </c>
      <c r="D17" s="11">
        <f>IF(IF(IF(IFERROR(IF(ISERROR('Model inputs'!B19=1),'Model inputs'!B19=1,IF('Model inputs'!B19="","",'Model inputs'!B19=1))=FALSE,FALSE),FALSE,IF(IFERROR('Model inputs'!B216=FALSE,FALSE),FALSE,IF(OR(IF(ISERROR('Model inputs'!B19=1),'Model inputs'!B19=1,IF('Model inputs'!B19="","",'Model inputs'!B19=1))="",'Model inputs'!B216=""),"",AND(IF(ISERROR('Model inputs'!B19=1),'Model inputs'!B19=1,IF('Model inputs'!B19="","",'Model inputs'!B19=1)),'Model inputs'!B216))))="",FALSE,IF(IFERROR(IF(ISERROR('Model inputs'!B19=1),'Model inputs'!B19=1,IF('Model inputs'!B19="","",'Model inputs'!B19=1))=FALSE,FALSE),FALSE,IF(IFERROR('Model inputs'!B216=FALSE,FALSE),FALSE,IF(OR(IF(ISERROR('Model inputs'!B19=1),'Model inputs'!B19=1,IF('Model inputs'!B19="","",'Model inputs'!B19=1))="",'Model inputs'!B216=""),"",AND(IF(ISERROR('Model inputs'!B19=1),'Model inputs'!B19=1,IF('Model inputs'!B19="","",'Model inputs'!B19=1)),'Model inputs'!B216))))),IF('Model inputs'!B46="","",'Model inputs'!B46),IF('Model inputs'!B36="","",'Model inputs'!B36))</f>
        <v>0.24</v>
      </c>
      <c r="E17" s="11">
        <f>IF(IF(IF(IFERROR(IF(ISERROR('Model inputs'!B19=1),'Model inputs'!B19=1,IF('Model inputs'!B19="","",'Model inputs'!B19=1))=FALSE,FALSE),FALSE,IF(IFERROR('Model inputs'!B217=FALSE,FALSE),FALSE,IF(OR(IF(ISERROR('Model inputs'!B19=1),'Model inputs'!B19=1,IF('Model inputs'!B19="","",'Model inputs'!B19=1))="",'Model inputs'!B217=""),"",AND(IF(ISERROR('Model inputs'!B19=1),'Model inputs'!B19=1,IF('Model inputs'!B19="","",'Model inputs'!B19=1)),'Model inputs'!B217))))="",FALSE,IF(IFERROR(IF(ISERROR('Model inputs'!B19=1),'Model inputs'!B19=1,IF('Model inputs'!B19="","",'Model inputs'!B19=1))=FALSE,FALSE),FALSE,IF(IFERROR('Model inputs'!B217=FALSE,FALSE),FALSE,IF(OR(IF(ISERROR('Model inputs'!B19=1),'Model inputs'!B19=1,IF('Model inputs'!B19="","",'Model inputs'!B19=1))="",'Model inputs'!B217=""),"",AND(IF(ISERROR('Model inputs'!B19=1),'Model inputs'!B19=1,IF('Model inputs'!B19="","",'Model inputs'!B19=1)),'Model inputs'!B217))))),IF('Model inputs'!B46="","",'Model inputs'!B46),IF('Model inputs'!B36="","",'Model inputs'!B36))</f>
        <v>0.24</v>
      </c>
      <c r="F17" s="11">
        <f>IF(IF(IF(IFERROR(IF(ISERROR('Model inputs'!B19=1),'Model inputs'!B19=1,IF('Model inputs'!B19="","",'Model inputs'!B19=1))=FALSE,FALSE),FALSE,IF(IFERROR('Model inputs'!B218=FALSE,FALSE),FALSE,IF(OR(IF(ISERROR('Model inputs'!B19=1),'Model inputs'!B19=1,IF('Model inputs'!B19="","",'Model inputs'!B19=1))="",'Model inputs'!B218=""),"",AND(IF(ISERROR('Model inputs'!B19=1),'Model inputs'!B19=1,IF('Model inputs'!B19="","",'Model inputs'!B19=1)),'Model inputs'!B218))))="",FALSE,IF(IFERROR(IF(ISERROR('Model inputs'!B19=1),'Model inputs'!B19=1,IF('Model inputs'!B19="","",'Model inputs'!B19=1))=FALSE,FALSE),FALSE,IF(IFERROR('Model inputs'!B218=FALSE,FALSE),FALSE,IF(OR(IF(ISERROR('Model inputs'!B19=1),'Model inputs'!B19=1,IF('Model inputs'!B19="","",'Model inputs'!B19=1))="",'Model inputs'!B218=""),"",AND(IF(ISERROR('Model inputs'!B19=1),'Model inputs'!B19=1,IF('Model inputs'!B19="","",'Model inputs'!B19=1)),'Model inputs'!B218))))),IF('Model inputs'!B46="","",'Model inputs'!B46),IF('Model inputs'!B36="","",'Model inputs'!B36))</f>
        <v>0.24</v>
      </c>
      <c r="G17" s="11">
        <f>IF(IF(IF(IFERROR(IF(ISERROR('Model inputs'!B19=1),'Model inputs'!B19=1,IF('Model inputs'!B19="","",'Model inputs'!B19=1))=FALSE,FALSE),FALSE,IF(IFERROR('Model inputs'!B219=FALSE,FALSE),FALSE,IF(OR(IF(ISERROR('Model inputs'!B19=1),'Model inputs'!B19=1,IF('Model inputs'!B19="","",'Model inputs'!B19=1))="",'Model inputs'!B219=""),"",AND(IF(ISERROR('Model inputs'!B19=1),'Model inputs'!B19=1,IF('Model inputs'!B19="","",'Model inputs'!B19=1)),'Model inputs'!B219))))="",FALSE,IF(IFERROR(IF(ISERROR('Model inputs'!B19=1),'Model inputs'!B19=1,IF('Model inputs'!B19="","",'Model inputs'!B19=1))=FALSE,FALSE),FALSE,IF(IFERROR('Model inputs'!B219=FALSE,FALSE),FALSE,IF(OR(IF(ISERROR('Model inputs'!B19=1),'Model inputs'!B19=1,IF('Model inputs'!B19="","",'Model inputs'!B19=1))="",'Model inputs'!B219=""),"",AND(IF(ISERROR('Model inputs'!B19=1),'Model inputs'!B19=1,IF('Model inputs'!B19="","",'Model inputs'!B19=1)),'Model inputs'!B219))))),IF('Model inputs'!B46="","",'Model inputs'!B46),IF('Model inputs'!B36="","",'Model inputs'!B36))</f>
        <v>0.24</v>
      </c>
      <c r="H17" s="11">
        <f>IF(IF(IF(IFERROR(IF(ISERROR('Model inputs'!B19=1),'Model inputs'!B19=1,IF('Model inputs'!B19="","",'Model inputs'!B19=1))=FALSE,FALSE),FALSE,IF(IFERROR('Model inputs'!B220=FALSE,FALSE),FALSE,IF(OR(IF(ISERROR('Model inputs'!B19=1),'Model inputs'!B19=1,IF('Model inputs'!B19="","",'Model inputs'!B19=1))="",'Model inputs'!B220=""),"",AND(IF(ISERROR('Model inputs'!B19=1),'Model inputs'!B19=1,IF('Model inputs'!B19="","",'Model inputs'!B19=1)),'Model inputs'!B220))))="",FALSE,IF(IFERROR(IF(ISERROR('Model inputs'!B19=1),'Model inputs'!B19=1,IF('Model inputs'!B19="","",'Model inputs'!B19=1))=FALSE,FALSE),FALSE,IF(IFERROR('Model inputs'!B220=FALSE,FALSE),FALSE,IF(OR(IF(ISERROR('Model inputs'!B19=1),'Model inputs'!B19=1,IF('Model inputs'!B19="","",'Model inputs'!B19=1))="",'Model inputs'!B220=""),"",AND(IF(ISERROR('Model inputs'!B19=1),'Model inputs'!B19=1,IF('Model inputs'!B19="","",'Model inputs'!B19=1)),'Model inputs'!B220))))),IF('Model inputs'!B46="","",'Model inputs'!B46),IF('Model inputs'!B36="","",'Model inputs'!B36))</f>
        <v>0.24</v>
      </c>
      <c r="I17" s="11">
        <f>IF(IF(IF(IFERROR(IF(ISERROR('Model inputs'!B19=1),'Model inputs'!B19=1,IF('Model inputs'!B19="","",'Model inputs'!B19=1))=FALSE,FALSE),FALSE,IF(IFERROR('Model inputs'!B221=FALSE,FALSE),FALSE,IF(OR(IF(ISERROR('Model inputs'!B19=1),'Model inputs'!B19=1,IF('Model inputs'!B19="","",'Model inputs'!B19=1))="",'Model inputs'!B221=""),"",AND(IF(ISERROR('Model inputs'!B19=1),'Model inputs'!B19=1,IF('Model inputs'!B19="","",'Model inputs'!B19=1)),'Model inputs'!B221))))="",FALSE,IF(IFERROR(IF(ISERROR('Model inputs'!B19=1),'Model inputs'!B19=1,IF('Model inputs'!B19="","",'Model inputs'!B19=1))=FALSE,FALSE),FALSE,IF(IFERROR('Model inputs'!B221=FALSE,FALSE),FALSE,IF(OR(IF(ISERROR('Model inputs'!B19=1),'Model inputs'!B19=1,IF('Model inputs'!B19="","",'Model inputs'!B19=1))="",'Model inputs'!B221=""),"",AND(IF(ISERROR('Model inputs'!B19=1),'Model inputs'!B19=1,IF('Model inputs'!B19="","",'Model inputs'!B19=1)),'Model inputs'!B221))))),IF('Model inputs'!B46="","",'Model inputs'!B46),IF('Model inputs'!B36="","",'Model inputs'!B36))</f>
        <v>0.24</v>
      </c>
      <c r="J17" s="11">
        <f>IF(IF(IF(IFERROR(IF(ISERROR('Model inputs'!B19=1),'Model inputs'!B19=1,IF('Model inputs'!B19="","",'Model inputs'!B19=1))=FALSE,FALSE),FALSE,IF(IFERROR('Model inputs'!B222=FALSE,FALSE),FALSE,IF(OR(IF(ISERROR('Model inputs'!B19=1),'Model inputs'!B19=1,IF('Model inputs'!B19="","",'Model inputs'!B19=1))="",'Model inputs'!B222=""),"",AND(IF(ISERROR('Model inputs'!B19=1),'Model inputs'!B19=1,IF('Model inputs'!B19="","",'Model inputs'!B19=1)),'Model inputs'!B222))))="",FALSE,IF(IFERROR(IF(ISERROR('Model inputs'!B19=1),'Model inputs'!B19=1,IF('Model inputs'!B19="","",'Model inputs'!B19=1))=FALSE,FALSE),FALSE,IF(IFERROR('Model inputs'!B222=FALSE,FALSE),FALSE,IF(OR(IF(ISERROR('Model inputs'!B19=1),'Model inputs'!B19=1,IF('Model inputs'!B19="","",'Model inputs'!B19=1))="",'Model inputs'!B222=""),"",AND(IF(ISERROR('Model inputs'!B19=1),'Model inputs'!B19=1,IF('Model inputs'!B19="","",'Model inputs'!B19=1)),'Model inputs'!B222))))),IF('Model inputs'!B46="","",'Model inputs'!B46),IF('Model inputs'!B36="","",'Model inputs'!B36))</f>
        <v>0.24</v>
      </c>
      <c r="K17" s="11">
        <f>IF(IF(IF(IFERROR(IF(ISERROR('Model inputs'!B19=1),'Model inputs'!B19=1,IF('Model inputs'!B19="","",'Model inputs'!B19=1))=FALSE,FALSE),FALSE,IF(IFERROR('Model inputs'!B223=FALSE,FALSE),FALSE,IF(OR(IF(ISERROR('Model inputs'!B19=1),'Model inputs'!B19=1,IF('Model inputs'!B19="","",'Model inputs'!B19=1))="",'Model inputs'!B223=""),"",AND(IF(ISERROR('Model inputs'!B19=1),'Model inputs'!B19=1,IF('Model inputs'!B19="","",'Model inputs'!B19=1)),'Model inputs'!B223))))="",FALSE,IF(IFERROR(IF(ISERROR('Model inputs'!B19=1),'Model inputs'!B19=1,IF('Model inputs'!B19="","",'Model inputs'!B19=1))=FALSE,FALSE),FALSE,IF(IFERROR('Model inputs'!B223=FALSE,FALSE),FALSE,IF(OR(IF(ISERROR('Model inputs'!B19=1),'Model inputs'!B19=1,IF('Model inputs'!B19="","",'Model inputs'!B19=1))="",'Model inputs'!B223=""),"",AND(IF(ISERROR('Model inputs'!B19=1),'Model inputs'!B19=1,IF('Model inputs'!B19="","",'Model inputs'!B19=1)),'Model inputs'!B223))))),IF('Model inputs'!B46="","",'Model inputs'!B46),IF('Model inputs'!B36="","",'Model inputs'!B36))</f>
        <v>0.24</v>
      </c>
      <c r="L17" s="11">
        <f>IF(IF(IF(IFERROR(IF(ISERROR('Model inputs'!B19=1),'Model inputs'!B19=1,IF('Model inputs'!B19="","",'Model inputs'!B19=1))=FALSE,FALSE),FALSE,IF(IFERROR('Model inputs'!B224=FALSE,FALSE),FALSE,IF(OR(IF(ISERROR('Model inputs'!B19=1),'Model inputs'!B19=1,IF('Model inputs'!B19="","",'Model inputs'!B19=1))="",'Model inputs'!B224=""),"",AND(IF(ISERROR('Model inputs'!B19=1),'Model inputs'!B19=1,IF('Model inputs'!B19="","",'Model inputs'!B19=1)),'Model inputs'!B224))))="",FALSE,IF(IFERROR(IF(ISERROR('Model inputs'!B19=1),'Model inputs'!B19=1,IF('Model inputs'!B19="","",'Model inputs'!B19=1))=FALSE,FALSE),FALSE,IF(IFERROR('Model inputs'!B224=FALSE,FALSE),FALSE,IF(OR(IF(ISERROR('Model inputs'!B19=1),'Model inputs'!B19=1,IF('Model inputs'!B19="","",'Model inputs'!B19=1))="",'Model inputs'!B224=""),"",AND(IF(ISERROR('Model inputs'!B19=1),'Model inputs'!B19=1,IF('Model inputs'!B19="","",'Model inputs'!B19=1)),'Model inputs'!B224))))),IF('Model inputs'!B46="","",'Model inputs'!B46),IF('Model inputs'!B36="","",'Model inputs'!B36))</f>
        <v>0.24</v>
      </c>
      <c r="M17" s="11">
        <f>IF(IF(IF(IFERROR(IF(ISERROR('Model inputs'!B19=1),'Model inputs'!B19=1,IF('Model inputs'!B19="","",'Model inputs'!B19=1))=FALSE,FALSE),FALSE,IF(IFERROR('Model inputs'!B225=FALSE,FALSE),FALSE,IF(OR(IF(ISERROR('Model inputs'!B19=1),'Model inputs'!B19=1,IF('Model inputs'!B19="","",'Model inputs'!B19=1))="",'Model inputs'!B225=""),"",AND(IF(ISERROR('Model inputs'!B19=1),'Model inputs'!B19=1,IF('Model inputs'!B19="","",'Model inputs'!B19=1)),'Model inputs'!B225))))="",FALSE,IF(IFERROR(IF(ISERROR('Model inputs'!B19=1),'Model inputs'!B19=1,IF('Model inputs'!B19="","",'Model inputs'!B19=1))=FALSE,FALSE),FALSE,IF(IFERROR('Model inputs'!B225=FALSE,FALSE),FALSE,IF(OR(IF(ISERROR('Model inputs'!B19=1),'Model inputs'!B19=1,IF('Model inputs'!B19="","",'Model inputs'!B19=1))="",'Model inputs'!B225=""),"",AND(IF(ISERROR('Model inputs'!B19=1),'Model inputs'!B19=1,IF('Model inputs'!B19="","",'Model inputs'!B19=1)),'Model inputs'!B225))))),IF('Model inputs'!B46="","",'Model inputs'!B46),IF('Model inputs'!B36="","",'Model inputs'!B36))</f>
        <v>0.24</v>
      </c>
      <c r="N17" s="11">
        <f>IF(IF(IF(IFERROR(IF(ISERROR('Model inputs'!B19=1),'Model inputs'!B19=1,IF('Model inputs'!B19="","",'Model inputs'!B19=1))=FALSE,FALSE),FALSE,IF(IFERROR('Model inputs'!B226=FALSE,FALSE),FALSE,IF(OR(IF(ISERROR('Model inputs'!B19=1),'Model inputs'!B19=1,IF('Model inputs'!B19="","",'Model inputs'!B19=1))="",'Model inputs'!B226=""),"",AND(IF(ISERROR('Model inputs'!B19=1),'Model inputs'!B19=1,IF('Model inputs'!B19="","",'Model inputs'!B19=1)),'Model inputs'!B226))))="",FALSE,IF(IFERROR(IF(ISERROR('Model inputs'!B19=1),'Model inputs'!B19=1,IF('Model inputs'!B19="","",'Model inputs'!B19=1))=FALSE,FALSE),FALSE,IF(IFERROR('Model inputs'!B226=FALSE,FALSE),FALSE,IF(OR(IF(ISERROR('Model inputs'!B19=1),'Model inputs'!B19=1,IF('Model inputs'!B19="","",'Model inputs'!B19=1))="",'Model inputs'!B226=""),"",AND(IF(ISERROR('Model inputs'!B19=1),'Model inputs'!B19=1,IF('Model inputs'!B19="","",'Model inputs'!B19=1)),'Model inputs'!B226))))),IF('Model inputs'!B46="","",'Model inputs'!B46),IF('Model inputs'!B36="","",'Model inputs'!B36))</f>
        <v>0.24</v>
      </c>
      <c r="O17" s="11">
        <f>IF(IF(IF(IFERROR(IF(ISERROR('Model inputs'!B19=1),'Model inputs'!B19=1,IF('Model inputs'!B19="","",'Model inputs'!B19=1))=FALSE,FALSE),FALSE,IF(IFERROR('Model inputs'!B227=FALSE,FALSE),FALSE,IF(OR(IF(ISERROR('Model inputs'!B19=1),'Model inputs'!B19=1,IF('Model inputs'!B19="","",'Model inputs'!B19=1))="",'Model inputs'!B227=""),"",AND(IF(ISERROR('Model inputs'!B19=1),'Model inputs'!B19=1,IF('Model inputs'!B19="","",'Model inputs'!B19=1)),'Model inputs'!B227))))="",FALSE,IF(IFERROR(IF(ISERROR('Model inputs'!B19=1),'Model inputs'!B19=1,IF('Model inputs'!B19="","",'Model inputs'!B19=1))=FALSE,FALSE),FALSE,IF(IFERROR('Model inputs'!B227=FALSE,FALSE),FALSE,IF(OR(IF(ISERROR('Model inputs'!B19=1),'Model inputs'!B19=1,IF('Model inputs'!B19="","",'Model inputs'!B19=1))="",'Model inputs'!B227=""),"",AND(IF(ISERROR('Model inputs'!B19=1),'Model inputs'!B19=1,IF('Model inputs'!B19="","",'Model inputs'!B19=1)),'Model inputs'!B227))))),IF('Model inputs'!B46="","",'Model inputs'!B46),IF('Model inputs'!B36="","",'Model inputs'!B36))</f>
        <v>0.24</v>
      </c>
      <c r="P17" s="11">
        <f>IF(IF(IF(IFERROR(IF(ISERROR('Model inputs'!B19=1),'Model inputs'!B19=1,IF('Model inputs'!B19="","",'Model inputs'!B19=1))=FALSE,FALSE),FALSE,IF(IFERROR('Model inputs'!B228=FALSE,FALSE),FALSE,IF(OR(IF(ISERROR('Model inputs'!B19=1),'Model inputs'!B19=1,IF('Model inputs'!B19="","",'Model inputs'!B19=1))="",'Model inputs'!B228=""),"",AND(IF(ISERROR('Model inputs'!B19=1),'Model inputs'!B19=1,IF('Model inputs'!B19="","",'Model inputs'!B19=1)),'Model inputs'!B228))))="",FALSE,IF(IFERROR(IF(ISERROR('Model inputs'!B19=1),'Model inputs'!B19=1,IF('Model inputs'!B19="","",'Model inputs'!B19=1))=FALSE,FALSE),FALSE,IF(IFERROR('Model inputs'!B228=FALSE,FALSE),FALSE,IF(OR(IF(ISERROR('Model inputs'!B19=1),'Model inputs'!B19=1,IF('Model inputs'!B19="","",'Model inputs'!B19=1))="",'Model inputs'!B228=""),"",AND(IF(ISERROR('Model inputs'!B19=1),'Model inputs'!B19=1,IF('Model inputs'!B19="","",'Model inputs'!B19=1)),'Model inputs'!B228))))),IF('Model inputs'!B46="","",'Model inputs'!B46),IF('Model inputs'!B36="","",'Model inputs'!B36))</f>
        <v>0.24</v>
      </c>
      <c r="Q17" s="11">
        <f>IF(IF(IF(IFERROR(IF(ISERROR('Model inputs'!B19=1),'Model inputs'!B19=1,IF('Model inputs'!B19="","",'Model inputs'!B19=1))=FALSE,FALSE),FALSE,IF(IFERROR('Model inputs'!B229=FALSE,FALSE),FALSE,IF(OR(IF(ISERROR('Model inputs'!B19=1),'Model inputs'!B19=1,IF('Model inputs'!B19="","",'Model inputs'!B19=1))="",'Model inputs'!B229=""),"",AND(IF(ISERROR('Model inputs'!B19=1),'Model inputs'!B19=1,IF('Model inputs'!B19="","",'Model inputs'!B19=1)),'Model inputs'!B229))))="",FALSE,IF(IFERROR(IF(ISERROR('Model inputs'!B19=1),'Model inputs'!B19=1,IF('Model inputs'!B19="","",'Model inputs'!B19=1))=FALSE,FALSE),FALSE,IF(IFERROR('Model inputs'!B229=FALSE,FALSE),FALSE,IF(OR(IF(ISERROR('Model inputs'!B19=1),'Model inputs'!B19=1,IF('Model inputs'!B19="","",'Model inputs'!B19=1))="",'Model inputs'!B229=""),"",AND(IF(ISERROR('Model inputs'!B19=1),'Model inputs'!B19=1,IF('Model inputs'!B19="","",'Model inputs'!B19=1)),'Model inputs'!B229))))),IF('Model inputs'!B46="","",'Model inputs'!B46),IF('Model inputs'!B36="","",'Model inputs'!B36))</f>
        <v>0.24</v>
      </c>
      <c r="R17" s="11">
        <f>IF(IF(IF(IFERROR(IF(ISERROR('Model inputs'!B19=1),'Model inputs'!B19=1,IF('Model inputs'!B19="","",'Model inputs'!B19=1))=FALSE,FALSE),FALSE,IF(IFERROR('Model inputs'!B230=FALSE,FALSE),FALSE,IF(OR(IF(ISERROR('Model inputs'!B19=1),'Model inputs'!B19=1,IF('Model inputs'!B19="","",'Model inputs'!B19=1))="",'Model inputs'!B230=""),"",AND(IF(ISERROR('Model inputs'!B19=1),'Model inputs'!B19=1,IF('Model inputs'!B19="","",'Model inputs'!B19=1)),'Model inputs'!B230))))="",FALSE,IF(IFERROR(IF(ISERROR('Model inputs'!B19=1),'Model inputs'!B19=1,IF('Model inputs'!B19="","",'Model inputs'!B19=1))=FALSE,FALSE),FALSE,IF(IFERROR('Model inputs'!B230=FALSE,FALSE),FALSE,IF(OR(IF(ISERROR('Model inputs'!B19=1),'Model inputs'!B19=1,IF('Model inputs'!B19="","",'Model inputs'!B19=1))="",'Model inputs'!B230=""),"",AND(IF(ISERROR('Model inputs'!B19=1),'Model inputs'!B19=1,IF('Model inputs'!B19="","",'Model inputs'!B19=1)),'Model inputs'!B230))))),IF('Model inputs'!B46="","",'Model inputs'!B46),IF('Model inputs'!B36="","",'Model inputs'!B36))</f>
        <v>0.24</v>
      </c>
      <c r="S17" s="11">
        <f>IF(IF(IF(IFERROR(IF(ISERROR('Model inputs'!B19=1),'Model inputs'!B19=1,IF('Model inputs'!B19="","",'Model inputs'!B19=1))=FALSE,FALSE),FALSE,IF(IFERROR('Model inputs'!B231=FALSE,FALSE),FALSE,IF(OR(IF(ISERROR('Model inputs'!B19=1),'Model inputs'!B19=1,IF('Model inputs'!B19="","",'Model inputs'!B19=1))="",'Model inputs'!B231=""),"",AND(IF(ISERROR('Model inputs'!B19=1),'Model inputs'!B19=1,IF('Model inputs'!B19="","",'Model inputs'!B19=1)),'Model inputs'!B231))))="",FALSE,IF(IFERROR(IF(ISERROR('Model inputs'!B19=1),'Model inputs'!B19=1,IF('Model inputs'!B19="","",'Model inputs'!B19=1))=FALSE,FALSE),FALSE,IF(IFERROR('Model inputs'!B231=FALSE,FALSE),FALSE,IF(OR(IF(ISERROR('Model inputs'!B19=1),'Model inputs'!B19=1,IF('Model inputs'!B19="","",'Model inputs'!B19=1))="",'Model inputs'!B231=""),"",AND(IF(ISERROR('Model inputs'!B19=1),'Model inputs'!B19=1,IF('Model inputs'!B19="","",'Model inputs'!B19=1)),'Model inputs'!B231))))),IF('Model inputs'!B46="","",'Model inputs'!B46),IF('Model inputs'!B36="","",'Model inputs'!B36))</f>
        <v>0.24</v>
      </c>
    </row>
    <row r="18">
      <c r="A18" t="inlineStr" s="6">
        <is>
          <t xml:space="preserve">Payment fees per customer</t>
        </is>
      </c>
      <c r="B18" s="10">
        <f>IFERROR('Model inputs'!C51/'RC Unit economics'!B5,"")</f>
        <v>1.9645259574468088</v>
      </c>
      <c r="C18" s="10">
        <f>IFERROR('Model inputs'!D51/'RC Unit economics'!C5,"")</f>
        <v>2.2150412829044224</v>
      </c>
      <c r="D18" s="10">
        <f>IFERROR('Model inputs'!E51/'RC Unit economics'!D5,"")</f>
        <v>2.343774835388554</v>
      </c>
      <c r="E18" s="10">
        <f>IFERROR('Model inputs'!F51/'RC Unit economics'!E5,"")</f>
        <v>2.427844536887719</v>
      </c>
      <c r="F18" s="10">
        <f>IFERROR('Model inputs'!G51/'RC Unit economics'!F5,"")</f>
        <v>2.4872788163764428</v>
      </c>
      <c r="G18" s="10">
        <f>IFERROR('Model inputs'!H51/'RC Unit economics'!G5,"")</f>
        <v>2.5315316958454654</v>
      </c>
      <c r="H18" s="10">
        <f>IFERROR('Model inputs'!I51/'RC Unit economics'!H5,"")</f>
        <v>2.5657001030544375</v>
      </c>
      <c r="I18" s="10">
        <f>IFERROR('Model inputs'!J51/'RC Unit economics'!I5,"")</f>
        <v>2.1416561013533526</v>
      </c>
      <c r="J18" s="10">
        <f>IFERROR('Model inputs'!K51/'RC Unit economics'!J5,"")</f>
        <v>2.1289564400608136</v>
      </c>
      <c r="K18" s="10">
        <f>IFERROR('Model inputs'!L51/'RC Unit economics'!K5,"")</f>
        <v>2.107473753637229</v>
      </c>
      <c r="L18" s="10">
        <f>IFERROR('Model inputs'!M51/'RC Unit economics'!L5,"")</f>
        <v>2.091813541420741</v>
      </c>
      <c r="M18" s="10">
        <f>IFERROR('Model inputs'!N51/'RC Unit economics'!M5,"")</f>
        <v>2.080344335901883</v>
      </c>
      <c r="N18" s="10">
        <f>IFERROR('Model inputs'!O51/'RC Unit economics'!N5,"")</f>
        <v>2.0719659500473875</v>
      </c>
      <c r="O18" s="10">
        <f>IFERROR('Model inputs'!P51/'RC Unit economics'!O5,"")</f>
        <v>2.1222931100907343</v>
      </c>
      <c r="P18" s="10">
        <f>IFERROR('Model inputs'!Q51/'RC Unit economics'!P5,"")</f>
        <v>2.1536666472556036</v>
      </c>
      <c r="Q18" s="10">
        <f>IFERROR('Model inputs'!R51/'RC Unit economics'!Q5,"")</f>
        <v>2.186118526213596</v>
      </c>
      <c r="R18" s="10">
        <f>IFERROR('Model inputs'!S51/'RC Unit economics'!R5,"")</f>
        <v>2.2197540820937456</v>
      </c>
      <c r="S18" s="10">
        <f>IFERROR('Model inputs'!T51/'RC Unit economics'!S5,"")</f>
        <v>2.254694997630119</v>
      </c>
    </row>
    <row r="19" outlineLevel="1">
      <c r="A19" t="inlineStr" s="8">
        <is>
          <t xml:space="preserve">Indie</t>
        </is>
      </c>
      <c r="B19" s="11">
        <f>IFERROR('Model inputs'!C52/'RC Unit economics'!B6,"")</f>
        <v>1.19204</v>
      </c>
      <c r="C19" s="11">
        <f>IFERROR('Model inputs'!D52/'RC Unit economics'!C6,"")</f>
        <v>1.19204</v>
      </c>
      <c r="D19" s="11">
        <f>IFERROR('Model inputs'!E52/'RC Unit economics'!D6,"")</f>
        <v>1.1920400000000002</v>
      </c>
      <c r="E19" s="11">
        <f>IFERROR('Model inputs'!F52/'RC Unit economics'!E6,"")</f>
        <v>1.19204</v>
      </c>
      <c r="F19" s="11">
        <f>IFERROR('Model inputs'!G52/'RC Unit economics'!F6,"")</f>
        <v>1.19204</v>
      </c>
      <c r="G19" s="11">
        <f>IFERROR('Model inputs'!H52/'RC Unit economics'!G6,"")</f>
        <v>1.1920400000000002</v>
      </c>
      <c r="H19" s="11">
        <f>IFERROR('Model inputs'!I52/'RC Unit economics'!H6,"")</f>
        <v>1.1920399999999998</v>
      </c>
      <c r="I19" s="11">
        <f>IFERROR('Model inputs'!J52/'RC Unit economics'!I6,"")</f>
        <v>1.19204</v>
      </c>
      <c r="J19" s="11">
        <f>IFERROR('Model inputs'!K52/'RC Unit economics'!J6,"")</f>
        <v>1.19204</v>
      </c>
      <c r="K19" s="11">
        <f>IFERROR('Model inputs'!L52/'RC Unit economics'!K6,"")</f>
        <v>1.19204</v>
      </c>
      <c r="L19" s="11">
        <f>IFERROR('Model inputs'!M52/'RC Unit economics'!L6,"")</f>
        <v>1.1920400000000002</v>
      </c>
      <c r="M19" s="11">
        <f>IFERROR('Model inputs'!N52/'RC Unit economics'!M6,"")</f>
        <v>1.19204</v>
      </c>
      <c r="N19" s="11">
        <f>IFERROR('Model inputs'!O52/'RC Unit economics'!N6,"")</f>
        <v>1.19204</v>
      </c>
      <c r="O19" s="11">
        <f>IFERROR('Model inputs'!P52/'RC Unit economics'!O6,"")</f>
        <v>1.19204</v>
      </c>
      <c r="P19" s="11">
        <f>IFERROR('Model inputs'!Q52/'RC Unit economics'!P6,"")</f>
        <v>1.19204</v>
      </c>
      <c r="Q19" s="11">
        <f>IFERROR('Model inputs'!R52/'RC Unit economics'!Q6,"")</f>
        <v>1.19204</v>
      </c>
      <c r="R19" s="11">
        <f>IFERROR('Model inputs'!S52/'RC Unit economics'!R6,"")</f>
        <v>1.19204</v>
      </c>
      <c r="S19" s="11">
        <f>IFERROR('Model inputs'!T52/'RC Unit economics'!S6,"")</f>
        <v>1.19204</v>
      </c>
    </row>
    <row r="20" outlineLevel="1">
      <c r="A20" t="inlineStr" s="8">
        <is>
          <t xml:space="preserve">Launch</t>
        </is>
      </c>
      <c r="B20" s="11">
        <f>IFERROR('Model inputs'!C53/'RC Unit economics'!B7,"")</f>
        <v>15.564440000000001</v>
      </c>
      <c r="C20" s="11">
        <f>IFERROR('Model inputs'!D53/'RC Unit economics'!C7,"")</f>
        <v>23.161715</v>
      </c>
      <c r="D20" s="11">
        <f>IFERROR('Model inputs'!E53/'RC Unit economics'!D7,"")</f>
        <v>24.546296029105456</v>
      </c>
      <c r="E20" s="11">
        <f>IFERROR('Model inputs'!F53/'RC Unit economics'!E7,"")</f>
        <v>25.106812501807273</v>
      </c>
      <c r="F20" s="11">
        <f>IFERROR('Model inputs'!G53/'RC Unit economics'!F7,"")</f>
        <v>25.26351615310435</v>
      </c>
      <c r="G20" s="11">
        <f>IFERROR('Model inputs'!H53/'RC Unit economics'!G7,"")</f>
        <v>25.196332233085457</v>
      </c>
      <c r="H20" s="11">
        <f>IFERROR('Model inputs'!I53/'RC Unit economics'!H7,"")</f>
        <v>24.995371700586702</v>
      </c>
      <c r="I20" s="11">
        <f>IFERROR('Model inputs'!J53/'RC Unit economics'!I7,"")</f>
        <v>17.11365943081901</v>
      </c>
      <c r="J20" s="11">
        <f>IFERROR('Model inputs'!K53/'RC Unit economics'!J7,"")</f>
        <v>16.60308116027796</v>
      </c>
      <c r="K20" s="11">
        <f>IFERROR('Model inputs'!L53/'RC Unit economics'!K7,"")</f>
        <v>16.19509974319629</v>
      </c>
      <c r="L20" s="11">
        <f>IFERROR('Model inputs'!M53/'RC Unit economics'!L7,"")</f>
        <v>15.854261618372119</v>
      </c>
      <c r="M20" s="11">
        <f>IFERROR('Model inputs'!N53/'RC Unit economics'!M7,"")</f>
        <v>15.565347632881288</v>
      </c>
      <c r="N20" s="11">
        <f>IFERROR('Model inputs'!O53/'RC Unit economics'!N7,"")</f>
        <v>15.317404324617748</v>
      </c>
      <c r="O20" s="11">
        <f>IFERROR('Model inputs'!P53/'RC Unit economics'!O7,"")</f>
        <v>16.360798402041667</v>
      </c>
      <c r="P20" s="11">
        <f>IFERROR('Model inputs'!Q53/'RC Unit economics'!P7,"")</f>
        <v>16.889447093159067</v>
      </c>
      <c r="Q20" s="11">
        <f>IFERROR('Model inputs'!R53/'RC Unit economics'!Q7,"")</f>
        <v>17.360236908864405</v>
      </c>
      <c r="R20" s="11">
        <f>IFERROR('Model inputs'!S53/'RC Unit economics'!R7,"")</f>
        <v>17.78559209100397</v>
      </c>
      <c r="S20" s="11">
        <f>IFERROR('Model inputs'!T53/'RC Unit economics'!S7,"")</f>
        <v>18.175508968805406</v>
      </c>
    </row>
    <row r="21" outlineLevel="1">
      <c r="A21" t="inlineStr" s="8">
        <is>
          <t xml:space="preserve">Team</t>
        </is>
      </c>
      <c r="B21" s="11">
        <f>IFERROR('Model inputs'!C54/'RC Unit economics'!B8,"")</f>
        <v>4.84778</v>
      </c>
      <c r="C21" s="11">
        <f>IFERROR('Model inputs'!D54/'RC Unit economics'!C8,"")</f>
        <v>7.116304999999999</v>
      </c>
      <c r="D21" s="11">
        <f>IFERROR('Model inputs'!E54/'RC Unit economics'!D8,"")</f>
        <v>7.606859709164524</v>
      </c>
      <c r="E21" s="11">
        <f>IFERROR('Model inputs'!F54/'RC Unit economics'!E8,"")</f>
        <v>7.884129440003865</v>
      </c>
      <c r="F21" s="11">
        <f>IFERROR('Model inputs'!G54/'RC Unit economics'!F8,"")</f>
        <v>8.050243480628138</v>
      </c>
      <c r="G21" s="11">
        <f>IFERROR('Model inputs'!H54/'RC Unit economics'!G8,"")</f>
        <v>8.151343734958317</v>
      </c>
      <c r="H21" s="11">
        <f>IFERROR('Model inputs'!I54/'RC Unit economics'!H8,"")</f>
        <v>8.211502654552355</v>
      </c>
      <c r="I21" s="11">
        <f>IFERROR('Model inputs'!J54/'RC Unit economics'!I8,"")</f>
        <v>5.97608446616725</v>
      </c>
      <c r="J21" s="11">
        <f>IFERROR('Model inputs'!K54/'RC Unit economics'!J8,"")</f>
        <v>5.827487148200187</v>
      </c>
      <c r="K21" s="11">
        <f>IFERROR('Model inputs'!L54/'RC Unit economics'!K8,"")</f>
        <v>5.613840682289336</v>
      </c>
      <c r="L21" s="11">
        <f>IFERROR('Model inputs'!M54/'RC Unit economics'!L8,"")</f>
        <v>5.442830215747849</v>
      </c>
      <c r="M21" s="11">
        <f>IFERROR('Model inputs'!N54/'RC Unit economics'!M8,"")</f>
        <v>5.302871649025627</v>
      </c>
      <c r="N21" s="11">
        <f>IFERROR('Model inputs'!O54/'RC Unit economics'!N8,"")</f>
        <v>5.186262984215392</v>
      </c>
      <c r="O21" s="11">
        <f>IFERROR('Model inputs'!P54/'RC Unit economics'!O8,"")</f>
        <v>5.298634980279384</v>
      </c>
      <c r="P21" s="11">
        <f>IFERROR('Model inputs'!Q54/'RC Unit economics'!P8,"")</f>
        <v>5.34908878808037</v>
      </c>
      <c r="Q21" s="11">
        <f>IFERROR('Model inputs'!R54/'RC Unit economics'!Q8,"")</f>
        <v>5.412654464809003</v>
      </c>
      <c r="R21" s="11">
        <f>IFERROR('Model inputs'!S54/'RC Unit economics'!R8,"")</f>
        <v>5.48823301984073</v>
      </c>
      <c r="S21" s="11">
        <f>IFERROR('Model inputs'!T54/'RC Unit economics'!S8,"")</f>
        <v>5.5751749546031855</v>
      </c>
    </row>
    <row r="22">
      <c r="A22" t="inlineStr" s="6">
        <is>
          <t xml:space="preserve">Contribution per customer</t>
        </is>
      </c>
      <c r="B22" s="10">
        <f>IFERROR('Model inputs'!C14/'RC Unit economics'!B5,"")</f>
        <v>51.204835744680864</v>
      </c>
      <c r="C22" s="10">
        <f>IFERROR('Model inputs'!D14/'RC Unit economics'!C5,"")</f>
        <v>46.7029855913581</v>
      </c>
      <c r="D22" s="10">
        <f>IFERROR('Model inputs'!E14/'RC Unit economics'!D5,"")</f>
        <v>47.26358445342176</v>
      </c>
      <c r="E22" s="10">
        <f>IFERROR('Model inputs'!F14/'RC Unit economics'!E5,"")</f>
        <v>47.64739576477812</v>
      </c>
      <c r="F22" s="10">
        <f>IFERROR('Model inputs'!G14/'RC Unit economics'!F5,"")</f>
        <v>47.92435007897553</v>
      </c>
      <c r="G22" s="10">
        <f>IFERROR('Model inputs'!H14/'RC Unit economics'!G5,"")</f>
        <v>48.12771133463922</v>
      </c>
      <c r="H22" s="10">
        <f>IFERROR('Model inputs'!I14/'RC Unit economics'!H5,"")</f>
        <v>48.27567199711479</v>
      </c>
      <c r="I22" s="10">
        <f>IFERROR('Model inputs'!J14/'RC Unit economics'!I5,"")</f>
        <v>49.118553215893165</v>
      </c>
      <c r="J22" s="10">
        <f>IFERROR('Model inputs'!K14/'RC Unit economics'!J5,"")</f>
        <v>49.51865412087571</v>
      </c>
      <c r="K22" s="10">
        <f>IFERROR('Model inputs'!L14/'RC Unit economics'!K5,"")</f>
        <v>49.93244615338018</v>
      </c>
      <c r="L22" s="10">
        <f>IFERROR('Model inputs'!M14/'RC Unit economics'!L5,"")</f>
        <v>50.339443336241914</v>
      </c>
      <c r="M22" s="10">
        <f>IFERROR('Model inputs'!N14/'RC Unit economics'!M5,"")</f>
        <v>50.73747188938395</v>
      </c>
      <c r="N22" s="10">
        <f>IFERROR('Model inputs'!O14/'RC Unit economics'!N5,"")</f>
        <v>51.12507569315786</v>
      </c>
      <c r="O22" s="10">
        <f>IFERROR('Model inputs'!P14/'RC Unit economics'!O5,"")</f>
        <v>51.44487864029722</v>
      </c>
      <c r="P22" s="10">
        <f>IFERROR('Model inputs'!Q14/'RC Unit economics'!P5,"")</f>
        <v>51.77330917543885</v>
      </c>
      <c r="Q22" s="10">
        <f>IFERROR('Model inputs'!R14/'RC Unit economics'!Q5,"")</f>
        <v>52.08947377125724</v>
      </c>
      <c r="R22" s="10">
        <f>IFERROR('Model inputs'!S14/'RC Unit economics'!R5,"")</f>
        <v>52.392671739712505</v>
      </c>
      <c r="S22" s="10">
        <f>IFERROR('Model inputs'!T14/'RC Unit economics'!S5,"")</f>
        <v>52.68238410355936</v>
      </c>
    </row>
    <row r="23" outlineLevel="1">
      <c r="A23" t="inlineStr" s="8">
        <is>
          <t xml:space="preserve">Indie</t>
        </is>
      </c>
      <c r="B23" s="11">
        <f>IFERROR('Model inputs'!C15/'RC Unit economics'!B6,"")</f>
        <v>27.527960000000007</v>
      </c>
      <c r="C23" s="11">
        <f>IFERROR('Model inputs'!D15/'RC Unit economics'!C6,"")</f>
        <v>27.527960000000004</v>
      </c>
      <c r="D23" s="11">
        <f>IFERROR('Model inputs'!E15/'RC Unit economics'!D6,"")</f>
        <v>27.527960000000007</v>
      </c>
      <c r="E23" s="11">
        <f>IFERROR('Model inputs'!F15/'RC Unit economics'!E6,"")</f>
        <v>27.527960000000004</v>
      </c>
      <c r="F23" s="11">
        <f>IFERROR('Model inputs'!G15/'RC Unit economics'!F6,"")</f>
        <v>27.527960000000007</v>
      </c>
      <c r="G23" s="11">
        <f>IFERROR('Model inputs'!H15/'RC Unit economics'!G6,"")</f>
        <v>27.52796</v>
      </c>
      <c r="H23" s="11">
        <f>IFERROR('Model inputs'!I15/'RC Unit economics'!H6,"")</f>
        <v>27.527959999999997</v>
      </c>
      <c r="I23" s="11">
        <f>IFERROR('Model inputs'!J15/'RC Unit economics'!I6,"")</f>
        <v>27.52796</v>
      </c>
      <c r="J23" s="11">
        <f>IFERROR('Model inputs'!K15/'RC Unit economics'!J6,"")</f>
        <v>27.52796</v>
      </c>
      <c r="K23" s="11">
        <f>IFERROR('Model inputs'!L15/'RC Unit economics'!K6,"")</f>
        <v>27.52796</v>
      </c>
      <c r="L23" s="11">
        <f>IFERROR('Model inputs'!M15/'RC Unit economics'!L6,"")</f>
        <v>27.527960000000007</v>
      </c>
      <c r="M23" s="11">
        <f>IFERROR('Model inputs'!N15/'RC Unit economics'!M6,"")</f>
        <v>27.52796</v>
      </c>
      <c r="N23" s="11">
        <f>IFERROR('Model inputs'!O15/'RC Unit economics'!N6,"")</f>
        <v>27.52796</v>
      </c>
      <c r="O23" s="11">
        <f>IFERROR('Model inputs'!P15/'RC Unit economics'!O6,"")</f>
        <v>27.527959999999997</v>
      </c>
      <c r="P23" s="11">
        <f>IFERROR('Model inputs'!Q15/'RC Unit economics'!P6,"")</f>
        <v>27.527960000000004</v>
      </c>
      <c r="Q23" s="11">
        <f>IFERROR('Model inputs'!R15/'RC Unit economics'!Q6,"")</f>
        <v>27.527959999999997</v>
      </c>
      <c r="R23" s="11">
        <f>IFERROR('Model inputs'!S15/'RC Unit economics'!R6,"")</f>
        <v>27.527959999999997</v>
      </c>
      <c r="S23" s="11">
        <f>IFERROR('Model inputs'!T15/'RC Unit economics'!S6,"")</f>
        <v>27.527960000000004</v>
      </c>
    </row>
    <row r="24" outlineLevel="1">
      <c r="A24" t="inlineStr" s="8">
        <is>
          <t xml:space="preserve">Launch</t>
        </is>
      </c>
      <c r="B24" s="11">
        <f>IFERROR('Model inputs'!C16/'RC Unit economics'!B7,"")</f>
        <v>461.35556</v>
      </c>
      <c r="C24" s="11">
        <f>IFERROR('Model inputs'!D16/'RC Unit economics'!C7,"")</f>
        <v>448.9068961111111</v>
      </c>
      <c r="D24" s="11">
        <f>IFERROR('Model inputs'!E16/'RC Unit economics'!D7,"")</f>
        <v>442.6709261931167</v>
      </c>
      <c r="E24" s="11">
        <f>IFERROR('Model inputs'!F16/'RC Unit economics'!E7,"")</f>
        <v>437.2590208315261</v>
      </c>
      <c r="F24" s="11">
        <f>IFERROR('Model inputs'!G16/'RC Unit economics'!F7,"")</f>
        <v>432.25092829133996</v>
      </c>
      <c r="G24" s="11">
        <f>IFERROR('Model inputs'!H16/'RC Unit economics'!G7,"")</f>
        <v>427.46672332247005</v>
      </c>
      <c r="H24" s="11">
        <f>IFERROR('Model inputs'!I16/'RC Unit economics'!H7,"")</f>
        <v>422.8162949660799</v>
      </c>
      <c r="I24" s="11">
        <f>IFERROR('Model inputs'!J16/'RC Unit economics'!I7,"")</f>
        <v>430.6980072358477</v>
      </c>
      <c r="J24" s="11">
        <f>IFERROR('Model inputs'!K16/'RC Unit economics'!J7,"")</f>
        <v>431.20858550638866</v>
      </c>
      <c r="K24" s="11">
        <f>IFERROR('Model inputs'!L16/'RC Unit economics'!K7,"")</f>
        <v>431.6165669234704</v>
      </c>
      <c r="L24" s="11">
        <f>IFERROR('Model inputs'!M16/'RC Unit economics'!L7,"")</f>
        <v>431.9574050482946</v>
      </c>
      <c r="M24" s="11">
        <f>IFERROR('Model inputs'!N16/'RC Unit economics'!M7,"")</f>
        <v>432.2463190337854</v>
      </c>
      <c r="N24" s="11">
        <f>IFERROR('Model inputs'!O16/'RC Unit economics'!N7,"")</f>
        <v>432.49426234204896</v>
      </c>
      <c r="O24" s="11">
        <f>IFERROR('Model inputs'!P16/'RC Unit economics'!O7,"")</f>
        <v>431.45086826462506</v>
      </c>
      <c r="P24" s="11">
        <f>IFERROR('Model inputs'!Q16/'RC Unit economics'!P7,"")</f>
        <v>430.9222195735076</v>
      </c>
      <c r="Q24" s="11">
        <f>IFERROR('Model inputs'!R16/'RC Unit economics'!Q7,"")</f>
        <v>430.4514297578023</v>
      </c>
      <c r="R24" s="11">
        <f>IFERROR('Model inputs'!S16/'RC Unit economics'!R7,"")</f>
        <v>430.0260745756626</v>
      </c>
      <c r="S24" s="11">
        <f>IFERROR('Model inputs'!T16/'RC Unit economics'!S7,"")</f>
        <v>429.63615769786117</v>
      </c>
    </row>
    <row r="25" outlineLevel="1">
      <c r="A25" t="inlineStr" s="8">
        <is>
          <t xml:space="preserve">Team</t>
        </is>
      </c>
      <c r="B25" s="11">
        <f>IFERROR('Model inputs'!C17/'RC Unit economics'!B8,"")</f>
        <v>140.69222</v>
      </c>
      <c r="C25" s="11">
        <f>IFERROR('Model inputs'!D17/'RC Unit economics'!C8,"")</f>
        <v>136.9750838888889</v>
      </c>
      <c r="D25" s="11">
        <f>IFERROR('Model inputs'!E17/'RC Unit economics'!D8,"")</f>
        <v>135.03591806861323</v>
      </c>
      <c r="E25" s="11">
        <f>IFERROR('Model inputs'!F17/'RC Unit economics'!E8,"")</f>
        <v>133.3100372266628</v>
      </c>
      <c r="F25" s="11">
        <f>IFERROR('Model inputs'!G17/'RC Unit economics'!F8,"")</f>
        <v>131.69531207492741</v>
      </c>
      <c r="G25" s="11">
        <f>IFERROR('Model inputs'!H17/'RC Unit economics'!G8,"")</f>
        <v>130.14560070948613</v>
      </c>
      <c r="H25" s="11">
        <f>IFERROR('Model inputs'!I17/'RC Unit economics'!H8,"")</f>
        <v>128.63683067878097</v>
      </c>
      <c r="I25" s="11">
        <f>IFERROR('Model inputs'!J17/'RC Unit economics'!I8,"")</f>
        <v>130.8722488671661</v>
      </c>
      <c r="J25" s="11">
        <f>IFERROR('Model inputs'!K17/'RC Unit economics'!J8,"")</f>
        <v>131.02084618513317</v>
      </c>
      <c r="K25" s="11">
        <f>IFERROR('Model inputs'!L17/'RC Unit economics'!K8,"")</f>
        <v>131.234492651044</v>
      </c>
      <c r="L25" s="11">
        <f>IFERROR('Model inputs'!M17/'RC Unit economics'!L8,"")</f>
        <v>131.40550311758548</v>
      </c>
      <c r="M25" s="11">
        <f>IFERROR('Model inputs'!N17/'RC Unit economics'!M8,"")</f>
        <v>131.54546168430772</v>
      </c>
      <c r="N25" s="11">
        <f>IFERROR('Model inputs'!O17/'RC Unit economics'!N8,"")</f>
        <v>131.66207034911793</v>
      </c>
      <c r="O25" s="11">
        <f>IFERROR('Model inputs'!P17/'RC Unit economics'!O8,"")</f>
        <v>131.54969835305394</v>
      </c>
      <c r="P25" s="11">
        <f>IFERROR('Model inputs'!Q17/'RC Unit economics'!P8,"")</f>
        <v>131.49924454525294</v>
      </c>
      <c r="Q25" s="11">
        <f>IFERROR('Model inputs'!R17/'RC Unit economics'!Q8,"")</f>
        <v>131.43567886852435</v>
      </c>
      <c r="R25" s="11">
        <f>IFERROR('Model inputs'!S17/'RC Unit economics'!R8,"")</f>
        <v>131.36010031349264</v>
      </c>
      <c r="S25" s="11">
        <f>IFERROR('Model inputs'!T17/'RC Unit economics'!S8,"")</f>
        <v>131.27315837873016</v>
      </c>
    </row>
    <row r="26">
      <c r="A26" t="inlineStr" s="6">
        <is>
          <t xml:space="preserve">Contribution margin %</t>
        </is>
      </c>
      <c r="B26" s="13">
        <f>IFERROR('Model inputs'!C14/'Model inputs'!C55,"")</f>
        <v>0.8921099908069157</v>
      </c>
      <c r="C26" s="13">
        <f>IFERROR('Model inputs'!D14/'Model inputs'!D55,"")</f>
        <v>0.8847411481406614</v>
      </c>
      <c r="D26" s="13">
        <f>IFERROR('Model inputs'!E14/'Model inputs'!E55,"")</f>
        <v>0.88248317540791</v>
      </c>
      <c r="E26" s="13">
        <f>IFERROR('Model inputs'!F14/'Model inputs'!F55,"")</f>
        <v>0.8809420511056189</v>
      </c>
      <c r="F26" s="13">
        <f>IFERROR('Model inputs'!G14/'Model inputs'!G55,"")</f>
        <v>0.879772617895003</v>
      </c>
      <c r="G26" s="13">
        <f>IFERROR('Model inputs'!H14/'Model inputs'!H55,"")</f>
        <v>0.8788167669298839</v>
      </c>
      <c r="H26" s="13">
        <f>IFERROR('Model inputs'!I14/'Model inputs'!I55,"")</f>
        <v>0.8779912584093081</v>
      </c>
      <c r="I26" s="13">
        <f>IFERROR('Model inputs'!J14/'Model inputs'!J55,"")</f>
        <v>0.886023772486347</v>
      </c>
      <c r="J26" s="13">
        <f>IFERROR('Model inputs'!K14/'Model inputs'!K55,"")</f>
        <v>0.8865510527798911</v>
      </c>
      <c r="K26" s="13">
        <f>IFERROR('Model inputs'!L14/'Model inputs'!L55,"")</f>
        <v>0.8872139462713393</v>
      </c>
      <c r="L26" s="13">
        <f>IFERROR('Model inputs'!M14/'Model inputs'!M55,"")</f>
        <v>0.8877527792714996</v>
      </c>
      <c r="M26" s="13">
        <f>IFERROR('Model inputs'!N14/'Model inputs'!N55,"")</f>
        <v>0.8881996642172937</v>
      </c>
      <c r="N26" s="13">
        <f>IFERROR('Model inputs'!O14/'Model inputs'!O55,"")</f>
        <v>0.8885764087951799</v>
      </c>
      <c r="O26" s="13">
        <f>IFERROR('Model inputs'!P14/'Model inputs'!P55,"")</f>
        <v>0.887925195283726</v>
      </c>
      <c r="P26" s="13">
        <f>IFERROR('Model inputs'!Q14/'Model inputs'!Q55,"")</f>
        <v>0.8875986384720753</v>
      </c>
      <c r="Q26" s="13">
        <f>IFERROR('Model inputs'!R14/'Model inputs'!R55,"")</f>
        <v>0.8872491205750193</v>
      </c>
      <c r="R26" s="13">
        <f>IFERROR('Model inputs'!S14/'Model inputs'!S55,"")</f>
        <v>0.8868753182313834</v>
      </c>
      <c r="S26" s="13">
        <f>IFERROR('Model inputs'!T14/'Model inputs'!T55,"")</f>
        <v>0.8864756080919659</v>
      </c>
    </row>
    <row r="27" outlineLevel="1">
      <c r="A27" t="inlineStr" s="8">
        <is>
          <t xml:space="preserve">Indie</t>
        </is>
      </c>
      <c r="B27" s="14">
        <f>IFERROR('Model inputs'!C15/'Model inputs'!C56,"")</f>
        <v>0.8949271781534462</v>
      </c>
      <c r="C27" s="14">
        <f>IFERROR('Model inputs'!D15/'Model inputs'!D56,"")</f>
        <v>0.894927178153446</v>
      </c>
      <c r="D27" s="14">
        <f>IFERROR('Model inputs'!E15/'Model inputs'!E56,"")</f>
        <v>0.8949271781534461</v>
      </c>
      <c r="E27" s="14">
        <f>IFERROR('Model inputs'!F15/'Model inputs'!F56,"")</f>
        <v>0.8949271781534461</v>
      </c>
      <c r="F27" s="14">
        <f>IFERROR('Model inputs'!G15/'Model inputs'!G56,"")</f>
        <v>0.8949271781534461</v>
      </c>
      <c r="G27" s="14">
        <f>IFERROR('Model inputs'!H15/'Model inputs'!H56,"")</f>
        <v>0.894927178153446</v>
      </c>
      <c r="H27" s="14">
        <f>IFERROR('Model inputs'!I15/'Model inputs'!I56,"")</f>
        <v>0.8949271781534461</v>
      </c>
      <c r="I27" s="14">
        <f>IFERROR('Model inputs'!J15/'Model inputs'!J56,"")</f>
        <v>0.894927178153446</v>
      </c>
      <c r="J27" s="14">
        <f>IFERROR('Model inputs'!K15/'Model inputs'!K56,"")</f>
        <v>0.894927178153446</v>
      </c>
      <c r="K27" s="14">
        <f>IFERROR('Model inputs'!L15/'Model inputs'!L56,"")</f>
        <v>0.894927178153446</v>
      </c>
      <c r="L27" s="14">
        <f>IFERROR('Model inputs'!M15/'Model inputs'!M56,"")</f>
        <v>0.8949271781534461</v>
      </c>
      <c r="M27" s="14">
        <f>IFERROR('Model inputs'!N15/'Model inputs'!N56,"")</f>
        <v>0.894927178153446</v>
      </c>
      <c r="N27" s="14">
        <f>IFERROR('Model inputs'!O15/'Model inputs'!O56,"")</f>
        <v>0.894927178153446</v>
      </c>
      <c r="O27" s="14">
        <f>IFERROR('Model inputs'!P15/'Model inputs'!P56,"")</f>
        <v>0.894927178153446</v>
      </c>
      <c r="P27" s="14">
        <f>IFERROR('Model inputs'!Q15/'Model inputs'!Q56,"")</f>
        <v>0.8949271781534461</v>
      </c>
      <c r="Q27" s="14">
        <f>IFERROR('Model inputs'!R15/'Model inputs'!R56,"")</f>
        <v>0.894927178153446</v>
      </c>
      <c r="R27" s="14">
        <f>IFERROR('Model inputs'!S15/'Model inputs'!S56,"")</f>
        <v>0.894927178153446</v>
      </c>
      <c r="S27" s="14">
        <f>IFERROR('Model inputs'!T15/'Model inputs'!T56,"")</f>
        <v>0.894927178153446</v>
      </c>
    </row>
    <row r="28" outlineLevel="1">
      <c r="A28" t="inlineStr" s="8">
        <is>
          <t xml:space="preserve">Launch</t>
        </is>
      </c>
      <c r="B28" s="14">
        <f>IFERROR('Model inputs'!C16/'Model inputs'!C57,"")</f>
        <v>0.8765019378372217</v>
      </c>
      <c r="C28" s="14">
        <f>IFERROR('Model inputs'!D16/'Model inputs'!D57,"")</f>
        <v>0.8607852038237358</v>
      </c>
      <c r="D28" s="14">
        <f>IFERROR('Model inputs'!E16/'Model inputs'!E57,"")</f>
        <v>0.8567980996938763</v>
      </c>
      <c r="E28" s="14">
        <f>IFERROR('Model inputs'!F16/'Model inputs'!F57,"")</f>
        <v>0.8543455200260374</v>
      </c>
      <c r="F28" s="14">
        <f>IFERROR('Model inputs'!G16/'Model inputs'!G57,"")</f>
        <v>0.8526425461463907</v>
      </c>
      <c r="G28" s="14">
        <f>IFERROR('Model inputs'!H16/'Model inputs'!H57,"")</f>
        <v>0.8513525631695199</v>
      </c>
      <c r="H28" s="14">
        <f>IFERROR('Model inputs'!I16/'Model inputs'!I57,"")</f>
        <v>0.8503064410028723</v>
      </c>
      <c r="I28" s="14">
        <f>IFERROR('Model inputs'!J16/'Model inputs'!J57,"")</f>
        <v>0.8661569907307453</v>
      </c>
      <c r="J28" s="14">
        <f>IFERROR('Model inputs'!K16/'Model inputs'!K57,"")</f>
        <v>0.867183791252026</v>
      </c>
      <c r="K28" s="14">
        <f>IFERROR('Model inputs'!L16/'Model inputs'!L57,"")</f>
        <v>0.8680042639511255</v>
      </c>
      <c r="L28" s="14">
        <f>IFERROR('Model inputs'!M16/'Model inputs'!M57,"")</f>
        <v>0.8686897078574455</v>
      </c>
      <c r="M28" s="14">
        <f>IFERROR('Model inputs'!N16/'Model inputs'!N57,"")</f>
        <v>0.8692707295107817</v>
      </c>
      <c r="N28" s="14">
        <f>IFERROR('Model inputs'!O16/'Model inputs'!O57,"")</f>
        <v>0.8697693569159458</v>
      </c>
      <c r="O28" s="14">
        <f>IFERROR('Model inputs'!P16/'Model inputs'!P57,"")</f>
        <v>0.8676710349848836</v>
      </c>
      <c r="P28" s="14">
        <f>IFERROR('Model inputs'!Q16/'Model inputs'!Q57,"")</f>
        <v>0.8666078938703226</v>
      </c>
      <c r="Q28" s="14">
        <f>IFERROR('Model inputs'!R16/'Model inputs'!R57,"")</f>
        <v>0.8656611100840331</v>
      </c>
      <c r="R28" s="14">
        <f>IFERROR('Model inputs'!S16/'Model inputs'!S57,"")</f>
        <v>0.8648056978035856</v>
      </c>
      <c r="S28" s="14">
        <f>IFERROR('Model inputs'!T16/'Model inputs'!T57,"")</f>
        <v>0.8640215538701621</v>
      </c>
    </row>
    <row r="29" outlineLevel="1">
      <c r="A29" t="inlineStr" s="8">
        <is>
          <t xml:space="preserve">Team</t>
        </is>
      </c>
      <c r="B29" s="14">
        <f>IFERROR('Model inputs'!C17/'Model inputs'!C58,"")</f>
        <v>0.8971573778854739</v>
      </c>
      <c r="C29" s="14">
        <f>IFERROR('Model inputs'!D17/'Model inputs'!D58,"")</f>
        <v>0.8815978596087869</v>
      </c>
      <c r="D29" s="14">
        <f>IFERROR('Model inputs'!E17/'Model inputs'!E58,"")</f>
        <v>0.8772965250378214</v>
      </c>
      <c r="E29" s="14">
        <f>IFERROR('Model inputs'!F17/'Model inputs'!F58,"")</f>
        <v>0.8743122860812234</v>
      </c>
      <c r="F29" s="14">
        <f>IFERROR('Model inputs'!G17/'Model inputs'!G58,"")</f>
        <v>0.872006804348305</v>
      </c>
      <c r="G29" s="14">
        <f>IFERROR('Model inputs'!H17/'Model inputs'!H58,"")</f>
        <v>0.8700913178355808</v>
      </c>
      <c r="H29" s="14">
        <f>IFERROR('Model inputs'!I17/'Model inputs'!I58,"")</f>
        <v>0.8684147575555946</v>
      </c>
      <c r="I29" s="14">
        <f>IFERROR('Model inputs'!J17/'Model inputs'!J58,"")</f>
        <v>0.8835058487606428</v>
      </c>
      <c r="J29" s="14">
        <f>IFERROR('Model inputs'!K17/'Model inputs'!K58,"")</f>
        <v>0.8845090148303824</v>
      </c>
      <c r="K29" s="14">
        <f>IFERROR('Model inputs'!L17/'Model inputs'!L58,"")</f>
        <v>0.8859513213837821</v>
      </c>
      <c r="L29" s="14">
        <f>IFERROR('Model inputs'!M17/'Model inputs'!M58,"")</f>
        <v>0.8871057964439765</v>
      </c>
      <c r="M29" s="14">
        <f>IFERROR('Model inputs'!N17/'Model inputs'!N58,"")</f>
        <v>0.8880506431425973</v>
      </c>
      <c r="N29" s="14">
        <f>IFERROR('Model inputs'!O17/'Model inputs'!O58,"")</f>
        <v>0.8888378569199091</v>
      </c>
      <c r="O29" s="14">
        <f>IFERROR('Model inputs'!P17/'Model inputs'!P58,"")</f>
        <v>0.8880792444820637</v>
      </c>
      <c r="P29" s="14">
        <f>IFERROR('Model inputs'!Q17/'Model inputs'!Q58,"")</f>
        <v>0.8877386357229853</v>
      </c>
      <c r="Q29" s="14">
        <f>IFERROR('Model inputs'!R17/'Model inputs'!R58,"")</f>
        <v>0.887309510009503</v>
      </c>
      <c r="R29" s="14">
        <f>IFERROR('Model inputs'!S17/'Model inputs'!S58,"")</f>
        <v>0.8867992865206473</v>
      </c>
      <c r="S29" s="14">
        <f>IFERROR('Model inputs'!T17/'Model inputs'!T58,"")</f>
        <v>0.8862123499582354</v>
      </c>
    </row>
    <row r="30">
      <c r="A30" t="inlineStr" s="6">
        <is>
          <t xml:space="preserve">LTV (24-month)</t>
        </is>
      </c>
      <c r="B30" t="str" s="15">
        <f>IFERROR('RC Unit economics'!B22*(1-(1-IF(IF(SUM(IF(IF('Model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C30" t="str" s="15">
        <f>IFERROR('RC Unit economics'!C22*(1-(1-IF(IF(SUM(IF(IF('Model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D30" t="str" s="15">
        <f>IFERROR('RC Unit economics'!D22*(1-(1-IF(IF(SUM(IF(IF('Model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E30" t="str" s="15">
        <f>IFERROR('RC Unit economics'!E22*(1-(1-IF(IF(SUM(IF(IF('Model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F30" t="str" s="15">
        <f>IFERROR('RC Unit economics'!F22*(1-(1-IF(IF(SUM(IF(IF('Model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G30" t="str" s="15">
        <f>IFERROR('RC Unit economics'!G22*(1-(1-IF(IF(SUM(IF(IF('Model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H30" t="str" s="15">
        <f>IFERROR('RC Unit economics'!H22*(1-(1-IF(IF(SUM(IF(IF('Model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I30" t="str" s="15">
        <f>IFERROR('RC Unit economics'!I22*(1-(1-IF(IF(SUM(IF(IF('Model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J30" t="str" s="15">
        <f>IFERROR('RC Unit economics'!J22*(1-(1-IF(IF(SUM(IF(IF('Model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K30" t="str" s="15">
        <f>IFERROR('RC Unit economics'!K22*(1-(1-IF(IF(SUM(IF(IF('Model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L30" t="str" s="15">
        <f>IFERROR('RC Unit economics'!L22*(1-(1-IF(IF(SUM(IF(IF('Model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M30" t="str" s="15">
        <f>IFERROR('RC Unit economics'!M22*(1-(1-IF(IF(SUM(IF(IF('Model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N30" t="str" s="15">
        <f>IFERROR('RC Unit economics'!N22*(1-(1-IF(IF(SUM(IF(IF('Model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O30" t="str" s="15">
        <f>IFERROR('RC Unit economics'!O22*(1-(1-IF(IF(SUM(IF(IF('Model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P30" t="str" s="15">
        <f>IFERROR('RC Unit economics'!P22*(1-(1-IF(IF(SUM(IF(IF('Model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Q30" t="str" s="15">
        <f>IFERROR('RC Unit economics'!Q22*(1-(1-IF(IF(SUM(IF(IF('Model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R30" t="str" s="15">
        <f>IFERROR('RC Unit economics'!R22*(1-(1-IF(IF(SUM(IF(IF('Model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  <c r="S30" t="str" s="15">
        <f>IFERROR('RC Unit economics'!S22*(1-(1-IF(IF(SUM(IF(IF('Model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inputs'!B234))))^24)/IF(IF(SUM(IF(IF('Model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inputs'!B234))="",0,IF(SUM(IF(IF('Model inputs'!B232="",0,1)="",0,IF('Model inputs'!B232="",0,1)),IF(IF('Model inputs'!B233="",0,1)="",0,IF('Model inputs'!B233="",0,1)),IF(IF('Model inputs'!B234="",0,1)="",0,IF('Model inputs'!B234="",0,1)))=0,"",SUM('Model inputs'!B232,'Model inputs'!B233,'Model inputs'!B234))),"")</f>
        <v/>
      </c>
    </row>
    <row r="31" outlineLevel="1">
      <c r="A31" t="inlineStr" s="8">
        <is>
          <t xml:space="preserve">Indie</t>
        </is>
      </c>
      <c r="B31" s="16">
        <f>IFERROR('RC Unit economics'!B23*(1-(1-'Model inputs'!B39)^24)/'Model inputs'!B39,"")</f>
        <v>354.88121732436133</v>
      </c>
      <c r="C31" s="16">
        <f>IFERROR('RC Unit economics'!C23*(1-(1-'Model inputs'!B39)^24)/'Model inputs'!B39,"")</f>
        <v>354.88121732436133</v>
      </c>
      <c r="D31" s="16">
        <f>IFERROR('RC Unit economics'!D23*(1-(1-'Model inputs'!B39)^24)/'Model inputs'!B39,"")</f>
        <v>354.88121732436133</v>
      </c>
      <c r="E31" s="16">
        <f>IFERROR('RC Unit economics'!E23*(1-(1-'Model inputs'!B39)^24)/'Model inputs'!B39,"")</f>
        <v>354.88121732436133</v>
      </c>
      <c r="F31" s="16">
        <f>IFERROR('RC Unit economics'!F23*(1-(1-'Model inputs'!B39)^24)/'Model inputs'!B39,"")</f>
        <v>354.88121732436133</v>
      </c>
      <c r="G31" s="16">
        <f>IFERROR('RC Unit economics'!G23*(1-(1-'Model inputs'!B39)^24)/'Model inputs'!B39,"")</f>
        <v>354.8812173243613</v>
      </c>
      <c r="H31" s="16">
        <f>IFERROR('RC Unit economics'!H23*(1-(1-'Model inputs'!B39)^24)/'Model inputs'!B39,"")</f>
        <v>354.8812173243612</v>
      </c>
      <c r="I31" s="16">
        <f>IFERROR('RC Unit economics'!I23*(1-(1-'Model inputs'!B39)^24)/'Model inputs'!B39,"")</f>
        <v>354.8812173243613</v>
      </c>
      <c r="J31" s="16">
        <f>IFERROR('RC Unit economics'!J23*(1-(1-'Model inputs'!B39)^24)/'Model inputs'!B39,"")</f>
        <v>354.8812173243613</v>
      </c>
      <c r="K31" s="16">
        <f>IFERROR('RC Unit economics'!K23*(1-(1-'Model inputs'!B39)^24)/'Model inputs'!B39,"")</f>
        <v>354.8812173243613</v>
      </c>
      <c r="L31" s="16">
        <f>IFERROR('RC Unit economics'!L23*(1-(1-'Model inputs'!B39)^24)/'Model inputs'!B39,"")</f>
        <v>354.88121732436133</v>
      </c>
      <c r="M31" s="16">
        <f>IFERROR('RC Unit economics'!M23*(1-(1-'Model inputs'!B39)^24)/'Model inputs'!B39,"")</f>
        <v>354.8812173243613</v>
      </c>
      <c r="N31" s="16">
        <f>IFERROR('RC Unit economics'!N23*(1-(1-'Model inputs'!B39)^24)/'Model inputs'!B39,"")</f>
        <v>354.8812173243613</v>
      </c>
      <c r="O31" s="16">
        <f>IFERROR('RC Unit economics'!O23*(1-(1-'Model inputs'!B39)^24)/'Model inputs'!B39,"")</f>
        <v>354.8812173243612</v>
      </c>
      <c r="P31" s="16">
        <f>IFERROR('RC Unit economics'!P23*(1-(1-'Model inputs'!B39)^24)/'Model inputs'!B39,"")</f>
        <v>354.88121732436133</v>
      </c>
      <c r="Q31" s="16">
        <f>IFERROR('RC Unit economics'!Q23*(1-(1-'Model inputs'!B39)^24)/'Model inputs'!B39,"")</f>
        <v>354.8812173243612</v>
      </c>
      <c r="R31" s="16">
        <f>IFERROR('RC Unit economics'!R23*(1-(1-'Model inputs'!B39)^24)/'Model inputs'!B39,"")</f>
        <v>354.8812173243612</v>
      </c>
      <c r="S31" s="16">
        <f>IFERROR('RC Unit economics'!S23*(1-(1-'Model inputs'!B39)^24)/'Model inputs'!B39,"")</f>
        <v>354.88121732436133</v>
      </c>
    </row>
    <row r="32" outlineLevel="1">
      <c r="A32" t="inlineStr" s="8">
        <is>
          <t xml:space="preserve">Launch</t>
        </is>
      </c>
      <c r="B32" s="16">
        <f>IFERROR('RC Unit economics'!B24*(1-(1-'Model inputs'!B40)^24)/'Model inputs'!B40,"")</f>
        <v>9357.024601003552</v>
      </c>
      <c r="C32" s="16">
        <f>IFERROR('RC Unit economics'!C24*(1-(1-'Model inputs'!B40)^24)/'Model inputs'!B40,"")</f>
        <v>9104.545896166965</v>
      </c>
      <c r="D32" s="16">
        <f>IFERROR('RC Unit economics'!D24*(1-(1-'Model inputs'!B40)^24)/'Model inputs'!B40,"")</f>
        <v>8978.070507133412</v>
      </c>
      <c r="E32" s="16">
        <f>IFERROR('RC Unit economics'!E24*(1-(1-'Model inputs'!B40)^24)/'Model inputs'!B40,"")</f>
        <v>8868.308458082338</v>
      </c>
      <c r="F32" s="16">
        <f>IFERROR('RC Unit economics'!F24*(1-(1-'Model inputs'!B40)^24)/'Model inputs'!B40,"")</f>
        <v>8766.736375364566</v>
      </c>
      <c r="G32" s="16">
        <f>IFERROR('RC Unit economics'!G24*(1-(1-'Model inputs'!B40)^24)/'Model inputs'!B40,"")</f>
        <v>8669.705088714505</v>
      </c>
      <c r="H32" s="16">
        <f>IFERROR('RC Unit economics'!H24*(1-(1-'Model inputs'!B40)^24)/'Model inputs'!B40,"")</f>
        <v>8575.387004554108</v>
      </c>
      <c r="I32" s="16">
        <f>IFERROR('RC Unit economics'!I24*(1-(1-'Model inputs'!B40)^24)/'Model inputs'!B40,"")</f>
        <v>8735.240666242393</v>
      </c>
      <c r="J32" s="16">
        <f>IFERROR('RC Unit economics'!J24*(1-(1-'Model inputs'!B40)^24)/'Model inputs'!B40,"")</f>
        <v>8745.596005708096</v>
      </c>
      <c r="K32" s="16">
        <f>IFERROR('RC Unit economics'!K24*(1-(1-'Model inputs'!B40)^24)/'Model inputs'!B40,"")</f>
        <v>8753.870517792411</v>
      </c>
      <c r="L32" s="16">
        <f>IFERROR('RC Unit economics'!L24*(1-(1-'Model inputs'!B40)^24)/'Model inputs'!B40,"")</f>
        <v>8760.78325710987</v>
      </c>
      <c r="M32" s="16">
        <f>IFERROR('RC Unit economics'!M24*(1-(1-'Model inputs'!B40)^24)/'Model inputs'!B40,"")</f>
        <v>8766.642892289754</v>
      </c>
      <c r="N32" s="16">
        <f>IFERROR('RC Unit economics'!N24*(1-(1-'Model inputs'!B40)^24)/'Model inputs'!B40,"")</f>
        <v>8771.67157696644</v>
      </c>
      <c r="O32" s="16">
        <f>IFERROR('RC Unit economics'!O24*(1-(1-'Model inputs'!B40)^24)/'Model inputs'!B40,"")</f>
        <v>8750.509885426414</v>
      </c>
      <c r="P32" s="16">
        <f>IFERROR('RC Unit economics'!P24*(1-(1-'Model inputs'!B40)^24)/'Model inputs'!B40,"")</f>
        <v>8739.788049088136</v>
      </c>
      <c r="Q32" s="16">
        <f>IFERROR('RC Unit economics'!Q24*(1-(1-'Model inputs'!B40)^24)/'Model inputs'!B40,"")</f>
        <v>8730.239682775056</v>
      </c>
      <c r="R32" s="16">
        <f>IFERROR('RC Unit economics'!R24*(1-(1-'Model inputs'!B40)^24)/'Model inputs'!B40,"")</f>
        <v>8721.612803100199</v>
      </c>
      <c r="S32" s="16">
        <f>IFERROR('RC Unit economics'!S24*(1-(1-'Model inputs'!B40)^24)/'Model inputs'!B40,"")</f>
        <v>8713.704668606417</v>
      </c>
    </row>
    <row r="33" outlineLevel="1">
      <c r="A33" t="inlineStr" s="8">
        <is>
          <t xml:space="preserve">Team</t>
        </is>
      </c>
      <c r="B33" s="16">
        <f>IFERROR('RC Unit economics'!B25*(1-(1-'Model inputs'!B41)^24)/'Model inputs'!B41,"")</f>
        <v>2432.018743433566</v>
      </c>
      <c r="C33" s="16">
        <f>IFERROR('RC Unit economics'!C25*(1-(1-'Model inputs'!B41)^24)/'Model inputs'!B41,"")</f>
        <v>2367.7639843991583</v>
      </c>
      <c r="D33" s="16">
        <f>IFERROR('RC Unit economics'!D25*(1-(1-'Model inputs'!B41)^24)/'Model inputs'!B41,"")</f>
        <v>2334.2433844574116</v>
      </c>
      <c r="E33" s="16">
        <f>IFERROR('RC Unit economics'!E25*(1-(1-'Model inputs'!B41)^24)/'Model inputs'!B41,"")</f>
        <v>2304.4096484018123</v>
      </c>
      <c r="F33" s="16">
        <f>IFERROR('RC Unit economics'!F25*(1-(1-'Model inputs'!B41)^24)/'Model inputs'!B41,"")</f>
        <v>2276.497359900614</v>
      </c>
      <c r="G33" s="16">
        <f>IFERROR('RC Unit economics'!G25*(1-(1-'Model inputs'!B41)^24)/'Model inputs'!B41,"")</f>
        <v>2249.7089057297635</v>
      </c>
      <c r="H33" s="16">
        <f>IFERROR('RC Unit economics'!H25*(1-(1-'Model inputs'!B41)^24)/'Model inputs'!B41,"")</f>
        <v>2223.628167262449</v>
      </c>
      <c r="I33" s="16">
        <f>IFERROR('RC Unit economics'!I25*(1-(1-'Model inputs'!B41)^24)/'Model inputs'!B41,"")</f>
        <v>2262.269813073177</v>
      </c>
      <c r="J33" s="16">
        <f>IFERROR('RC Unit economics'!J25*(1-(1-'Model inputs'!B41)^24)/'Model inputs'!B41,"")</f>
        <v>2264.838480072104</v>
      </c>
      <c r="K33" s="16">
        <f>IFERROR('RC Unit economics'!K25*(1-(1-'Model inputs'!B41)^24)/'Model inputs'!B41,"")</f>
        <v>2268.531592666131</v>
      </c>
      <c r="L33" s="16">
        <f>IFERROR('RC Unit economics'!L25*(1-(1-'Model inputs'!B41)^24)/'Model inputs'!B41,"")</f>
        <v>2271.4876954268393</v>
      </c>
      <c r="M33" s="16">
        <f>IFERROR('RC Unit economics'!M25*(1-(1-'Model inputs'!B41)^24)/'Model inputs'!B41,"")</f>
        <v>2273.907032171775</v>
      </c>
      <c r="N33" s="16">
        <f>IFERROR('RC Unit economics'!N25*(1-(1-'Model inputs'!B41)^24)/'Model inputs'!B41,"")</f>
        <v>2275.9227403499895</v>
      </c>
      <c r="O33" s="16">
        <f>IFERROR('RC Unit economics'!O25*(1-(1-'Model inputs'!B41)^24)/'Model inputs'!B41,"")</f>
        <v>2273.9802676200497</v>
      </c>
      <c r="P33" s="16">
        <f>IFERROR('RC Unit economics'!P25*(1-(1-'Model inputs'!B41)^24)/'Model inputs'!B41,"")</f>
        <v>2273.1081184262302</v>
      </c>
      <c r="Q33" s="16">
        <f>IFERROR('RC Unit economics'!Q25*(1-(1-'Model inputs'!B41)^24)/'Model inputs'!B41,"")</f>
        <v>2272.0093162519315</v>
      </c>
      <c r="R33" s="16">
        <f>IFERROR('RC Unit economics'!R25*(1-(1-'Model inputs'!B41)^24)/'Model inputs'!B41,"")</f>
        <v>2270.7028583508572</v>
      </c>
      <c r="S33" s="16">
        <f>IFERROR('RC Unit economics'!S25*(1-(1-'Model inputs'!B41)^24)/'Model inputs'!B41,"")</f>
        <v>2269.1999720154736</v>
      </c>
    </row>
    <row r="34">
      <c r="A34" t="inlineStr" s="6">
        <is>
          <t xml:space="preserve">LTV:CAC</t>
        </is>
      </c>
      <c r="B34" t="str" s="17">
        <f>IFERROR(IF('RC Unit economics'!B30="",0,'RC Unit economics'!B30)/IF(IF(SUM(IF(IF('Model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C34" t="str" s="17">
        <f>IFERROR(IF('RC Unit economics'!C30="",0,'RC Unit economics'!C30)/IF(IF(SUM(IF(IF('Model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D34" t="str" s="17">
        <f>IFERROR(IF('RC Unit economics'!D30="",0,'RC Unit economics'!D30)/IF(IF(SUM(IF(IF('Model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E34" t="str" s="17">
        <f>IFERROR(IF('RC Unit economics'!E30="",0,'RC Unit economics'!E30)/IF(IF(SUM(IF(IF('Model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F34" t="str" s="17">
        <f>IFERROR(IF('RC Unit economics'!F30="",0,'RC Unit economics'!F30)/IF(IF(SUM(IF(IF('Model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G34" t="str" s="17">
        <f>IFERROR(IF('RC Unit economics'!G30="",0,'RC Unit economics'!G30)/IF(IF(SUM(IF(IF('Model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H34" t="str" s="17">
        <f>IFERROR(IF('RC Unit economics'!H30="",0,'RC Unit economics'!H30)/IF(IF(SUM(IF(IF('Model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I34" t="str" s="17">
        <f>IFERROR(IF('RC Unit economics'!I30="",0,'RC Unit economics'!I30)/IF(IF(SUM(IF(IF('Model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J34" t="str" s="17">
        <f>IFERROR(IF('RC Unit economics'!J30="",0,'RC Unit economics'!J30)/IF(IF(SUM(IF(IF('Model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K34" t="str" s="17">
        <f>IFERROR(IF('RC Unit economics'!K30="",0,'RC Unit economics'!K30)/IF(IF(SUM(IF(IF('Model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L34" t="str" s="17">
        <f>IFERROR(IF('RC Unit economics'!L30="",0,'RC Unit economics'!L30)/IF(IF(SUM(IF(IF('Model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M34" t="str" s="17">
        <f>IFERROR(IF('RC Unit economics'!M30="",0,'RC Unit economics'!M30)/IF(IF(SUM(IF(IF('Model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N34" t="str" s="17">
        <f>IFERROR(IF('RC Unit economics'!N30="",0,'RC Unit economics'!N30)/IF(IF(SUM(IF(IF('Model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O34" t="str" s="17">
        <f>IFERROR(IF('RC Unit economics'!O30="",0,'RC Unit economics'!O30)/IF(IF(SUM(IF(IF('Model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P34" t="str" s="17">
        <f>IFERROR(IF('RC Unit economics'!P30="",0,'RC Unit economics'!P30)/IF(IF(SUM(IF(IF('Model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Q34" t="str" s="17">
        <f>IFERROR(IF('RC Unit economics'!Q30="",0,'RC Unit economics'!Q30)/IF(IF(SUM(IF(IF('Model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R34" t="str" s="17">
        <f>IFERROR(IF('RC Unit economics'!R30="",0,'RC Unit economics'!R30)/IF(IF(SUM(IF(IF('Model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  <c r="S34" t="str" s="17">
        <f>IFERROR(IF('RC Unit economics'!S30="",0,'RC Unit economics'!S30)/IF(IF(SUM(IF(IF('Model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inputs'!B237))),"")</f>
        <v/>
      </c>
    </row>
    <row r="35" outlineLevel="1">
      <c r="A35" t="inlineStr" s="8">
        <is>
          <t xml:space="preserve">Indie</t>
        </is>
      </c>
      <c r="B35" s="18">
        <f>IFERROR('RC Unit economics'!B31/'Model inputs'!B7,"")</f>
        <v>8.872030433109034</v>
      </c>
      <c r="C35" s="18">
        <f>IFERROR('RC Unit economics'!C31/'Model inputs'!B7,"")</f>
        <v>8.872030433109034</v>
      </c>
      <c r="D35" s="18">
        <f>IFERROR('RC Unit economics'!D31/'Model inputs'!B7,"")</f>
        <v>8.872030433109034</v>
      </c>
      <c r="E35" s="18">
        <f>IFERROR('RC Unit economics'!E31/'Model inputs'!B7,"")</f>
        <v>8.872030433109034</v>
      </c>
      <c r="F35" s="18">
        <f>IFERROR('RC Unit economics'!F31/'Model inputs'!B7,"")</f>
        <v>8.872030433109034</v>
      </c>
      <c r="G35" s="18">
        <f>IFERROR('RC Unit economics'!G31/'Model inputs'!B7,"")</f>
        <v>8.872030433109032</v>
      </c>
      <c r="H35" s="18">
        <f>IFERROR('RC Unit economics'!H31/'Model inputs'!B7,"")</f>
        <v>8.87203043310903</v>
      </c>
      <c r="I35" s="18">
        <f>IFERROR('RC Unit economics'!I31/'Model inputs'!B7,"")</f>
        <v>8.872030433109032</v>
      </c>
      <c r="J35" s="18">
        <f>IFERROR('RC Unit economics'!J31/'Model inputs'!B7,"")</f>
        <v>8.872030433109032</v>
      </c>
      <c r="K35" s="18">
        <f>IFERROR('RC Unit economics'!K31/'Model inputs'!B7,"")</f>
        <v>8.872030433109032</v>
      </c>
      <c r="L35" s="18">
        <f>IFERROR('RC Unit economics'!L31/'Model inputs'!B7,"")</f>
        <v>8.872030433109034</v>
      </c>
      <c r="M35" s="18">
        <f>IFERROR('RC Unit economics'!M31/'Model inputs'!B7,"")</f>
        <v>8.872030433109032</v>
      </c>
      <c r="N35" s="18">
        <f>IFERROR('RC Unit economics'!N31/'Model inputs'!B7,"")</f>
        <v>8.872030433109032</v>
      </c>
      <c r="O35" s="18">
        <f>IFERROR('RC Unit economics'!O31/'Model inputs'!B7,"")</f>
        <v>8.87203043310903</v>
      </c>
      <c r="P35" s="18">
        <f>IFERROR('RC Unit economics'!P31/'Model inputs'!B7,"")</f>
        <v>8.872030433109034</v>
      </c>
      <c r="Q35" s="18">
        <f>IFERROR('RC Unit economics'!Q31/'Model inputs'!B7,"")</f>
        <v>8.87203043310903</v>
      </c>
      <c r="R35" s="18">
        <f>IFERROR('RC Unit economics'!R31/'Model inputs'!B7,"")</f>
        <v>8.87203043310903</v>
      </c>
      <c r="S35" s="18">
        <f>IFERROR('RC Unit economics'!S31/'Model inputs'!B7,"")</f>
        <v>8.872030433109034</v>
      </c>
    </row>
    <row r="36" outlineLevel="1">
      <c r="A36" t="inlineStr" s="8">
        <is>
          <t xml:space="preserve">Launch</t>
        </is>
      </c>
      <c r="B36" s="18">
        <f>IFERROR('RC Unit economics'!B32/'Model inputs'!B8,"")</f>
        <v>10.396694001115057</v>
      </c>
      <c r="C36" s="18">
        <f>IFERROR('RC Unit economics'!C32/'Model inputs'!B8,"")</f>
        <v>10.116162106852183</v>
      </c>
      <c r="D36" s="18">
        <f>IFERROR('RC Unit economics'!D32/'Model inputs'!B8,"")</f>
        <v>9.975633896814903</v>
      </c>
      <c r="E36" s="18">
        <f>IFERROR('RC Unit economics'!E32/'Model inputs'!B8,"")</f>
        <v>9.85367606453593</v>
      </c>
      <c r="F36" s="18">
        <f>IFERROR('RC Unit economics'!F32/'Model inputs'!B8,"")</f>
        <v>9.740818194849517</v>
      </c>
      <c r="G36" s="18">
        <f>IFERROR('RC Unit economics'!G32/'Model inputs'!B8,"")</f>
        <v>9.633005654127228</v>
      </c>
      <c r="H36" s="18">
        <f>IFERROR('RC Unit economics'!H32/'Model inputs'!B8,"")</f>
        <v>9.528207782837898</v>
      </c>
      <c r="I36" s="18">
        <f>IFERROR('RC Unit economics'!I32/'Model inputs'!B8,"")</f>
        <v>9.705822962491547</v>
      </c>
      <c r="J36" s="18">
        <f>IFERROR('RC Unit economics'!J32/'Model inputs'!B8,"")</f>
        <v>9.717328895231217</v>
      </c>
      <c r="K36" s="18">
        <f>IFERROR('RC Unit economics'!K32/'Model inputs'!B8,"")</f>
        <v>9.726522797547123</v>
      </c>
      <c r="L36" s="18">
        <f>IFERROR('RC Unit economics'!L32/'Model inputs'!B8,"")</f>
        <v>9.734203619010966</v>
      </c>
      <c r="M36" s="18">
        <f>IFERROR('RC Unit economics'!M32/'Model inputs'!B8,"")</f>
        <v>9.740714324766394</v>
      </c>
      <c r="N36" s="18">
        <f>IFERROR('RC Unit economics'!N32/'Model inputs'!B8,"")</f>
        <v>9.746301752184934</v>
      </c>
      <c r="O36" s="18">
        <f>IFERROR('RC Unit economics'!O32/'Model inputs'!B8,"")</f>
        <v>9.722788761584905</v>
      </c>
      <c r="P36" s="18">
        <f>IFERROR('RC Unit economics'!P32/'Model inputs'!B8,"")</f>
        <v>9.71087561009793</v>
      </c>
      <c r="Q36" s="18">
        <f>IFERROR('RC Unit economics'!Q32/'Model inputs'!B8,"")</f>
        <v>9.700266314194508</v>
      </c>
      <c r="R36" s="18">
        <f>IFERROR('RC Unit economics'!R32/'Model inputs'!B8,"")</f>
        <v>9.690680892333555</v>
      </c>
      <c r="S36" s="18">
        <f>IFERROR('RC Unit economics'!S32/'Model inputs'!B8,"")</f>
        <v>9.681894076229351</v>
      </c>
    </row>
    <row r="37" outlineLevel="1">
      <c r="A37" t="inlineStr" s="8">
        <is>
          <t xml:space="preserve">Team</t>
        </is>
      </c>
      <c r="B37" s="18">
        <f>IFERROR('RC Unit economics'!B33/'Model inputs'!B9,"")</f>
        <v>11.054630651970756</v>
      </c>
      <c r="C37" s="18">
        <f>IFERROR('RC Unit economics'!C33/'Model inputs'!B9,"")</f>
        <v>10.76256356545072</v>
      </c>
      <c r="D37" s="18">
        <f>IFERROR('RC Unit economics'!D33/'Model inputs'!B9,"")</f>
        <v>10.610197202079144</v>
      </c>
      <c r="E37" s="18">
        <f>IFERROR('RC Unit economics'!E33/'Model inputs'!B9,"")</f>
        <v>10.47458931091733</v>
      </c>
      <c r="F37" s="18">
        <f>IFERROR('RC Unit economics'!F33/'Model inputs'!B9,"")</f>
        <v>10.347715272275519</v>
      </c>
      <c r="G37" s="18">
        <f>IFERROR('RC Unit economics'!G33/'Model inputs'!B9,"")</f>
        <v>10.225949571498925</v>
      </c>
      <c r="H37" s="18">
        <f>IFERROR('RC Unit economics'!H33/'Model inputs'!B9,"")</f>
        <v>10.10740076028386</v>
      </c>
      <c r="I37" s="18">
        <f>IFERROR('RC Unit economics'!I33/'Model inputs'!B9,"")</f>
        <v>10.283044604878077</v>
      </c>
      <c r="J37" s="18">
        <f>IFERROR('RC Unit economics'!J33/'Model inputs'!B9,"")</f>
        <v>10.29472036396411</v>
      </c>
      <c r="K37" s="18">
        <f>IFERROR('RC Unit economics'!K33/'Model inputs'!B9,"")</f>
        <v>10.311507239391505</v>
      </c>
      <c r="L37" s="18">
        <f>IFERROR('RC Unit economics'!L33/'Model inputs'!B9,"")</f>
        <v>10.324944070121997</v>
      </c>
      <c r="M37" s="18">
        <f>IFERROR('RC Unit economics'!M33/'Model inputs'!B9,"")</f>
        <v>10.33594105532625</v>
      </c>
      <c r="N37" s="18">
        <f>IFERROR('RC Unit economics'!N33/'Model inputs'!B9,"")</f>
        <v>10.345103365227224</v>
      </c>
      <c r="O37" s="18">
        <f>IFERROR('RC Unit economics'!O33/'Model inputs'!B9,"")</f>
        <v>10.336273943727498</v>
      </c>
      <c r="P37" s="18">
        <f>IFERROR('RC Unit economics'!P33/'Model inputs'!B9,"")</f>
        <v>10.332309629210137</v>
      </c>
      <c r="Q37" s="18">
        <f>IFERROR('RC Unit economics'!Q33/'Model inputs'!B9,"")</f>
        <v>10.327315073872416</v>
      </c>
      <c r="R37" s="18">
        <f>IFERROR('RC Unit economics'!R33/'Model inputs'!B9,"")</f>
        <v>10.321376628867533</v>
      </c>
      <c r="S37" s="18">
        <f>IFERROR('RC Unit economics'!S33/'Model inputs'!B9,"")</f>
        <v>10.314545327343062</v>
      </c>
    </row>
    <row r="38">
      <c r="A38" t="inlineStr" s="6">
        <is>
          <t xml:space="preserve">CAC payback (months)</t>
        </is>
      </c>
      <c r="B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economics'!B22,"")</f>
        <v>0</v>
      </c>
      <c r="C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economics'!C22,"")</f>
        <v>0</v>
      </c>
      <c r="D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economics'!D22,"")</f>
        <v>0</v>
      </c>
      <c r="E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economics'!E22,"")</f>
        <v>0</v>
      </c>
      <c r="F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economics'!F22,"")</f>
        <v>0</v>
      </c>
      <c r="G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economics'!G22,"")</f>
        <v>0</v>
      </c>
      <c r="H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economics'!H22,"")</f>
        <v>0</v>
      </c>
      <c r="I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economics'!I22,"")</f>
        <v>0</v>
      </c>
      <c r="J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economics'!J22,"")</f>
        <v>0</v>
      </c>
      <c r="K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economics'!K22,"")</f>
        <v>0</v>
      </c>
      <c r="L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economics'!L22,"")</f>
        <v>0</v>
      </c>
      <c r="M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economics'!M22,"")</f>
        <v>0</v>
      </c>
      <c r="N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economics'!N22,"")</f>
        <v>0</v>
      </c>
      <c r="O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economics'!O22,"")</f>
        <v>0</v>
      </c>
      <c r="P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economics'!P22,"")</f>
        <v>0</v>
      </c>
      <c r="Q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economics'!Q22,"")</f>
        <v>0</v>
      </c>
      <c r="R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economics'!R22,"")</f>
        <v>0</v>
      </c>
      <c r="S38" s="7">
        <f>IFERROR(IF(IF(SUM(IF(IF('Model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inputs'!B237))="",0,IF(SUM(IF(IF('Model inputs'!B235="",0,1)="",0,IF('Model inputs'!B235="",0,1)),IF(IF('Model inputs'!B236="",0,1)="",0,IF('Model inputs'!B236="",0,1)),IF(IF('Model inputs'!B237="",0,1)="",0,IF('Model inputs'!B237="",0,1)))=0,"",SUM('Model inputs'!B235,'Model inputs'!B236,'Model inputs'!B237)))/'RC Unit economics'!S22,"")</f>
        <v>0</v>
      </c>
    </row>
    <row r="39" outlineLevel="1">
      <c r="A39" t="inlineStr" s="8">
        <is>
          <t xml:space="preserve">Indie</t>
        </is>
      </c>
      <c r="B39" s="9">
        <f>IFERROR('Model inputs'!B7/'RC Unit economics'!B23,"")</f>
        <v>1.45306808059878</v>
      </c>
      <c r="C39" s="9">
        <f>IFERROR('Model inputs'!B7/'RC Unit economics'!C23,"")</f>
        <v>1.4530680805987801</v>
      </c>
      <c r="D39" s="9">
        <f>IFERROR('Model inputs'!B7/'RC Unit economics'!D23,"")</f>
        <v>1.45306808059878</v>
      </c>
      <c r="E39" s="9">
        <f>IFERROR('Model inputs'!B7/'RC Unit economics'!E23,"")</f>
        <v>1.4530680805987801</v>
      </c>
      <c r="F39" s="9">
        <f>IFERROR('Model inputs'!B7/'RC Unit economics'!F23,"")</f>
        <v>1.45306808059878</v>
      </c>
      <c r="G39" s="9">
        <f>IFERROR('Model inputs'!B7/'RC Unit economics'!G23,"")</f>
        <v>1.4530680805987803</v>
      </c>
      <c r="H39" s="9">
        <f>IFERROR('Model inputs'!B7/'RC Unit economics'!H23,"")</f>
        <v>1.4530680805987806</v>
      </c>
      <c r="I39" s="9">
        <f>IFERROR('Model inputs'!B7/'RC Unit economics'!I23,"")</f>
        <v>1.4530680805987803</v>
      </c>
      <c r="J39" s="9">
        <f>IFERROR('Model inputs'!B7/'RC Unit economics'!J23,"")</f>
        <v>1.4530680805987803</v>
      </c>
      <c r="K39" s="9">
        <f>IFERROR('Model inputs'!B7/'RC Unit economics'!K23,"")</f>
        <v>1.4530680805987803</v>
      </c>
      <c r="L39" s="9">
        <f>IFERROR('Model inputs'!B7/'RC Unit economics'!L23,"")</f>
        <v>1.45306808059878</v>
      </c>
      <c r="M39" s="9">
        <f>IFERROR('Model inputs'!B7/'RC Unit economics'!M23,"")</f>
        <v>1.4530680805987803</v>
      </c>
      <c r="N39" s="9">
        <f>IFERROR('Model inputs'!B7/'RC Unit economics'!N23,"")</f>
        <v>1.4530680805987803</v>
      </c>
      <c r="O39" s="9">
        <f>IFERROR('Model inputs'!B7/'RC Unit economics'!O23,"")</f>
        <v>1.4530680805987806</v>
      </c>
      <c r="P39" s="9">
        <f>IFERROR('Model inputs'!B7/'RC Unit economics'!P23,"")</f>
        <v>1.4530680805987801</v>
      </c>
      <c r="Q39" s="9">
        <f>IFERROR('Model inputs'!B7/'RC Unit economics'!Q23,"")</f>
        <v>1.4530680805987806</v>
      </c>
      <c r="R39" s="9">
        <f>IFERROR('Model inputs'!B7/'RC Unit economics'!R23,"")</f>
        <v>1.4530680805987806</v>
      </c>
      <c r="S39" s="9">
        <f>IFERROR('Model inputs'!B7/'RC Unit economics'!S23,"")</f>
        <v>1.4530680805987801</v>
      </c>
    </row>
    <row r="40" outlineLevel="1">
      <c r="A40" t="inlineStr" s="8">
        <is>
          <t xml:space="preserve">Launch</t>
        </is>
      </c>
      <c r="B40" s="9">
        <f>IFERROR('Model inputs'!B8/'RC Unit economics'!B24,"")</f>
        <v>1.9507730653554927</v>
      </c>
      <c r="C40" s="9">
        <f>IFERROR('Model inputs'!B8/'RC Unit economics'!C24,"")</f>
        <v>2.0048700694881654</v>
      </c>
      <c r="D40" s="9">
        <f>IFERROR('Model inputs'!B8/'RC Unit economics'!D24,"")</f>
        <v>2.033112966645051</v>
      </c>
      <c r="E40" s="9">
        <f>IFERROR('Model inputs'!B8/'RC Unit economics'!E24,"")</f>
        <v>2.0582765754917745</v>
      </c>
      <c r="F40" s="9">
        <f>IFERROR('Model inputs'!B8/'RC Unit economics'!F24,"")</f>
        <v>2.082123926390724</v>
      </c>
      <c r="G40" s="9">
        <f>IFERROR('Model inputs'!B8/'RC Unit economics'!G24,"")</f>
        <v>2.105427044717731</v>
      </c>
      <c r="H40" s="9">
        <f>IFERROR('Model inputs'!B8/'RC Unit economics'!H24,"")</f>
        <v>2.1285839990443174</v>
      </c>
      <c r="I40" s="9">
        <f>IFERROR('Model inputs'!B8/'RC Unit economics'!I24,"")</f>
        <v>2.089631214632403</v>
      </c>
      <c r="J40" s="9">
        <f>IFERROR('Model inputs'!B8/'RC Unit economics'!J24,"")</f>
        <v>2.087156958953142</v>
      </c>
      <c r="K40" s="9">
        <f>IFERROR('Model inputs'!B8/'RC Unit economics'!K24,"")</f>
        <v>2.085184093870934</v>
      </c>
      <c r="L40" s="9">
        <f>IFERROR('Model inputs'!B8/'RC Unit economics'!L24,"")</f>
        <v>2.083538769058436</v>
      </c>
      <c r="M40" s="9">
        <f>IFERROR('Model inputs'!B8/'RC Unit economics'!M24,"")</f>
        <v>2.082146129114066</v>
      </c>
      <c r="N40" s="9">
        <f>IFERROR('Model inputs'!B8/'RC Unit economics'!N24,"")</f>
        <v>2.0809524619501483</v>
      </c>
      <c r="O40" s="9">
        <f>IFERROR('Model inputs'!B8/'RC Unit economics'!O24,"")</f>
        <v>2.0859849085944964</v>
      </c>
      <c r="P40" s="9">
        <f>IFERROR('Model inputs'!B8/'RC Unit economics'!P24,"")</f>
        <v>2.0885439625061526</v>
      </c>
      <c r="Q40" s="9">
        <f>IFERROR('Model inputs'!B8/'RC Unit economics'!Q24,"")</f>
        <v>2.0908282277198933</v>
      </c>
      <c r="R40" s="9">
        <f>IFERROR('Model inputs'!B8/'RC Unit economics'!R24,"")</f>
        <v>2.0928963456183305</v>
      </c>
      <c r="S40" s="9">
        <f>IFERROR('Model inputs'!B8/'RC Unit economics'!S24,"")</f>
        <v>2.0947957565362065</v>
      </c>
    </row>
    <row r="41" outlineLevel="1">
      <c r="A41" t="inlineStr" s="8">
        <is>
          <t xml:space="preserve">Team</t>
        </is>
      </c>
      <c r="B41" s="9">
        <f>IFERROR('Model inputs'!B9/'RC Unit economics'!B25,"")</f>
        <v>1.5636969833868568</v>
      </c>
      <c r="C41" s="9">
        <f>IFERROR('Model inputs'!B9/'RC Unit economics'!C25,"")</f>
        <v>1.6061315222734893</v>
      </c>
      <c r="D41" s="9">
        <f>IFERROR('Model inputs'!B9/'RC Unit economics'!D25,"")</f>
        <v>1.6291961660764627</v>
      </c>
      <c r="E41" s="9">
        <f>IFERROR('Model inputs'!B9/'RC Unit economics'!E25,"")</f>
        <v>1.6502883396989905</v>
      </c>
      <c r="F41" s="9">
        <f>IFERROR('Model inputs'!B9/'RC Unit economics'!F25,"")</f>
        <v>1.6705226369396662</v>
      </c>
      <c r="G41" s="9">
        <f>IFERROR('Model inputs'!B9/'RC Unit economics'!G25,"")</f>
        <v>1.690414418932906</v>
      </c>
      <c r="H41" s="9">
        <f>IFERROR('Model inputs'!B9/'RC Unit economics'!H25,"")</f>
        <v>1.7102411404192785</v>
      </c>
      <c r="I41" s="9">
        <f>IFERROR('Model inputs'!B9/'RC Unit economics'!I25,"")</f>
        <v>1.6810286512559098</v>
      </c>
      <c r="J41" s="9">
        <f>IFERROR('Model inputs'!B9/'RC Unit economics'!J25,"")</f>
        <v>1.6791221122869167</v>
      </c>
      <c r="K41" s="9">
        <f>IFERROR('Model inputs'!B9/'RC Unit economics'!K25,"")</f>
        <v>1.6763885435590917</v>
      </c>
      <c r="L41" s="9">
        <f>IFERROR('Model inputs'!B9/'RC Unit economics'!L25,"")</f>
        <v>1.6742068998673334</v>
      </c>
      <c r="M41" s="9">
        <f>IFERROR('Model inputs'!B9/'RC Unit economics'!M25,"")</f>
        <v>1.6724256176010985</v>
      </c>
      <c r="N41" s="9">
        <f>IFERROR('Model inputs'!B9/'RC Unit economics'!N25,"")</f>
        <v>1.6709444065146732</v>
      </c>
      <c r="O41" s="9">
        <f>IFERROR('Model inputs'!B9/'RC Unit economics'!O25,"")</f>
        <v>1.6723717557265891</v>
      </c>
      <c r="P41" s="9">
        <f>IFERROR('Model inputs'!B9/'RC Unit economics'!P25,"")</f>
        <v>1.6730134135811803</v>
      </c>
      <c r="Q41" s="9">
        <f>IFERROR('Model inputs'!B9/'RC Unit economics'!Q25,"")</f>
        <v>1.6738225259221045</v>
      </c>
      <c r="R41" s="9">
        <f>IFERROR('Model inputs'!B9/'RC Unit economics'!R25,"")</f>
        <v>1.674785566355134</v>
      </c>
      <c r="S41" s="9">
        <f>IFERROR('Model inputs'!B9/'RC Unit economics'!S25,"")</f>
        <v>1.6758947732885965</v>
      </c>
    </row>
    <row r="42">
      <c r="A42" t="inlineStr" s="6">
        <is>
          <t xml:space="preserve">Team logos to fund engineer</t>
        </is>
      </c>
      <c r="B42" s="7">
        <f>IFERROR('Model inputs'!B27/'RC Unit economics'!B25,"")</f>
        <v>85.29256273019219</v>
      </c>
      <c r="C42" s="7">
        <f>IFERROR('Model inputs'!B27/'RC Unit economics'!C25,"")</f>
        <v>87.60717394219031</v>
      </c>
      <c r="D42" s="7">
        <f>IFERROR('Model inputs'!B27/'RC Unit economics'!D25,"")</f>
        <v>88.86524542235252</v>
      </c>
      <c r="E42" s="7">
        <f>IFERROR('Model inputs'!B27/'RC Unit economics'!E25,"")</f>
        <v>90.01572761994494</v>
      </c>
      <c r="F42" s="7">
        <f>IFERROR('Model inputs'!B27/'RC Unit economics'!F25,"")</f>
        <v>91.11941656034543</v>
      </c>
      <c r="G42" s="7">
        <f>IFERROR('Model inputs'!B27/'RC Unit economics'!G25,"")</f>
        <v>92.20442285088578</v>
      </c>
      <c r="H42" s="7">
        <f>IFERROR('Model inputs'!B27/'RC Unit economics'!H25,"")</f>
        <v>93.28588038650611</v>
      </c>
      <c r="I42" s="7">
        <f>IFERROR('Model inputs'!B27/'RC Unit economics'!I25,"")</f>
        <v>91.692471886686</v>
      </c>
      <c r="J42" s="7">
        <f>IFERROR('Model inputs'!B27/'RC Unit economics'!J25,"")</f>
        <v>91.58847885201364</v>
      </c>
      <c r="K42" s="7">
        <f>IFERROR('Model inputs'!B27/'RC Unit economics'!K25,"")</f>
        <v>91.43937510322318</v>
      </c>
      <c r="L42" s="7">
        <f>IFERROR('Model inputs'!B27/'RC Unit economics'!L25,"")</f>
        <v>91.3203763564</v>
      </c>
      <c r="M42" s="7">
        <f>IFERROR('Model inputs'!B27/'RC Unit economics'!M25,"")</f>
        <v>91.22321550551447</v>
      </c>
      <c r="N42" s="7">
        <f>IFERROR('Model inputs'!B27/'RC Unit economics'!N25,"")</f>
        <v>91.14242217352762</v>
      </c>
      <c r="O42" s="7">
        <f>IFERROR('Model inputs'!B27/'RC Unit economics'!O25,"")</f>
        <v>91.22027758508668</v>
      </c>
      <c r="P42" s="7">
        <f>IFERROR('Model inputs'!B27/'RC Unit economics'!P25,"")</f>
        <v>91.255277104428</v>
      </c>
      <c r="Q42" s="7">
        <f>IFERROR('Model inputs'!B27/'RC Unit economics'!Q25,"")</f>
        <v>91.29941050484206</v>
      </c>
      <c r="R42" s="7">
        <f>IFERROR('Model inputs'!B27/'RC Unit economics'!R25,"")</f>
        <v>91.35193998300731</v>
      </c>
      <c r="S42" s="7">
        <f>IFERROR('Model inputs'!B27/'RC Unit economics'!S25,"")</f>
        <v>91.41244217937799</v>
      </c>
    </row>
  </sheetData>
  <mergeCells count="1">
    <mergeCell ref="A1:S1"/>
  </mergeCells>
</worksheet>
</file>

<file path=xl/worksheets/sheet2.xml><?xml version="1.0" encoding="utf-8"?>
<worksheet xmlns="http://schemas.openxmlformats.org/spreadsheetml/2006/main">
  <dimension ref="A1:AG250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  <col min="29" max="29" width="19" customWidth="1"/>
    <col min="30" max="30" width="19" customWidth="1"/>
    <col min="31" max="31" width="19" customWidth="1"/>
    <col min="32" max="32" width="19" customWidth="1"/>
    <col min="33" max="33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9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2026-11</t>
        </is>
      </c>
      <c r="D5" t="inlineStr" s="4">
        <is>
          <t xml:space="preserve">2026-12</t>
        </is>
      </c>
      <c r="E5" t="inlineStr" s="5">
        <is>
          <t xml:space="preserve">2027-01</t>
        </is>
      </c>
      <c r="F5" t="inlineStr" s="4">
        <is>
          <t xml:space="preserve">2027-02</t>
        </is>
      </c>
      <c r="G5" t="inlineStr" s="4">
        <is>
          <t xml:space="preserve">2027-03</t>
        </is>
      </c>
      <c r="H5" t="inlineStr" s="5">
        <is>
          <t xml:space="preserve">2027-04</t>
        </is>
      </c>
      <c r="I5" t="inlineStr" s="4">
        <is>
          <t xml:space="preserve">2027-05</t>
        </is>
      </c>
      <c r="J5" t="inlineStr" s="4">
        <is>
          <t xml:space="preserve">2027-06</t>
        </is>
      </c>
      <c r="K5" t="inlineStr" s="5">
        <is>
          <t xml:space="preserve">2027-07</t>
        </is>
      </c>
      <c r="L5" t="inlineStr" s="4">
        <is>
          <t xml:space="preserve">2027-08</t>
        </is>
      </c>
      <c r="M5" t="inlineStr" s="4">
        <is>
          <t xml:space="preserve">2027-09</t>
        </is>
      </c>
      <c r="N5" t="inlineStr" s="5">
        <is>
          <t xml:space="preserve">2027-10</t>
        </is>
      </c>
      <c r="O5" t="inlineStr" s="4">
        <is>
          <t xml:space="preserve">2027-11</t>
        </is>
      </c>
      <c r="P5" t="inlineStr" s="4">
        <is>
          <t xml:space="preserve">2027-12</t>
        </is>
      </c>
      <c r="Q5" t="inlineStr" s="5">
        <is>
          <t xml:space="preserve">2028-01</t>
        </is>
      </c>
      <c r="R5" t="inlineStr" s="4">
        <is>
          <t xml:space="preserve">2028-02</t>
        </is>
      </c>
      <c r="S5" t="inlineStr" s="4">
        <is>
          <t xml:space="preserve">2028-03</t>
        </is>
      </c>
      <c r="T5" t="inlineStr" s="5">
        <is>
          <t xml:space="preserve">2028-04</t>
        </is>
      </c>
      <c r="U5" t="inlineStr" s="5">
        <is>
          <t xml:space="preserve">2025-10</t>
        </is>
      </c>
      <c r="V5" t="inlineStr" s="4">
        <is>
          <t xml:space="preserve">2025-11</t>
        </is>
      </c>
      <c r="W5" t="inlineStr" s="4">
        <is>
          <t xml:space="preserve">2025-12</t>
        </is>
      </c>
      <c r="X5" t="inlineStr" s="5">
        <is>
          <t xml:space="preserve">2026-01</t>
        </is>
      </c>
      <c r="Y5" t="inlineStr" s="4">
        <is>
          <t xml:space="preserve">2026-02</t>
        </is>
      </c>
      <c r="Z5" t="inlineStr" s="4">
        <is>
          <t xml:space="preserve">2026-03</t>
        </is>
      </c>
      <c r="AA5" t="inlineStr" s="5">
        <is>
          <t xml:space="preserve">2026-04</t>
        </is>
      </c>
      <c r="AB5" t="inlineStr" s="4">
        <is>
          <t xml:space="preserve">2026-05</t>
        </is>
      </c>
      <c r="AC5" t="inlineStr" s="4">
        <is>
          <t xml:space="preserve">2026-06</t>
        </is>
      </c>
      <c r="AD5" t="inlineStr" s="5">
        <is>
          <t xml:space="preserve">2026-07</t>
        </is>
      </c>
      <c r="AE5" t="inlineStr" s="4">
        <is>
          <t xml:space="preserve">2026-08</t>
        </is>
      </c>
      <c r="AF5" t="inlineStr" s="4">
        <is>
          <t xml:space="preserve">2026-09</t>
        </is>
      </c>
      <c r="AG5" t="inlineStr" s="5">
        <is>
          <t xml:space="preserve">2026-10</t>
        </is>
      </c>
    </row>
    <row r="6">
      <c r="A6" t="inlineStr" s="20">
        <is>
          <t xml:space="preserve">CAC</t>
        </is>
      </c>
      <c r="B6" s="15">
        <v>0</v>
      </c>
    </row>
    <row r="7" outlineLevel="1">
      <c r="A7" t="inlineStr" s="21">
        <is>
          <t xml:space="preserve">CAC &gt; Indie</t>
        </is>
      </c>
      <c r="B7" s="16">
        <f>40</f>
        <v>40</v>
      </c>
    </row>
    <row r="8" outlineLevel="1">
      <c r="A8" t="inlineStr" s="21">
        <is>
          <t xml:space="preserve">CAC &gt; Launch</t>
        </is>
      </c>
      <c r="B8" s="16">
        <f>900</f>
        <v>900</v>
      </c>
    </row>
    <row r="9" outlineLevel="1">
      <c r="A9" t="inlineStr" s="21">
        <is>
          <t xml:space="preserve">CAC &gt; Team</t>
        </is>
      </c>
      <c r="B9" s="16">
        <f>220</f>
        <v>220</v>
      </c>
    </row>
    <row r="10">
      <c r="A10" t="inlineStr" s="20">
        <is>
          <t xml:space="preserve">Churned customers</t>
        </is>
      </c>
      <c r="C10" s="7">
        <f>SUM('Model inputs'!C11,'Model inputs'!C12,'Model inputs'!C13)</f>
        <v>0</v>
      </c>
      <c r="D10" s="7">
        <f>SUM('Model inputs'!D11,'Model inputs'!D12,'Model inputs'!D13)</f>
        <v>2.5949999999999998</v>
      </c>
      <c r="E10" s="7">
        <f>SUM('Model inputs'!E11,'Model inputs'!E12,'Model inputs'!E13)</f>
        <v>4.7545</v>
      </c>
      <c r="F10" s="7">
        <f>SUM('Model inputs'!F11,'Model inputs'!F12,'Model inputs'!F13)</f>
        <v>6.189471729166667</v>
      </c>
      <c r="G10" s="7">
        <f>SUM('Model inputs'!G11,'Model inputs'!G12,'Model inputs'!G13)</f>
        <v>7.67670344484375</v>
      </c>
      <c r="H10" s="7">
        <f>SUM('Model inputs'!H11,'Model inputs'!H12,'Model inputs'!H13)</f>
        <v>9.22458377005366</v>
      </c>
      <c r="I10" s="7">
        <f>SUM('Model inputs'!I11,'Model inputs'!I12,'Model inputs'!I13)</f>
        <v>10.841923285085763</v>
      </c>
      <c r="J10" s="7">
        <f>SUM('Model inputs'!J11,'Model inputs'!J12,'Model inputs'!J13)</f>
        <v>12.53800719356865</v>
      </c>
      <c r="K10" s="7">
        <f>SUM('Model inputs'!K11,'Model inputs'!K12,'Model inputs'!K13)</f>
        <v>14.322651198368181</v>
      </c>
      <c r="L10" s="7">
        <f>SUM('Model inputs'!L11,'Model inputs'!L12,'Model inputs'!L13)</f>
        <v>16.206260935808757</v>
      </c>
      <c r="M10" s="7">
        <f>SUM('Model inputs'!M11,'Model inputs'!M12,'Model inputs'!M13)</f>
        <v>18.08654281252618</v>
      </c>
      <c r="N10" s="7">
        <f>SUM('Model inputs'!N11,'Model inputs'!N12,'Model inputs'!N13)</f>
        <v>19.968314140900546</v>
      </c>
      <c r="O10" s="7">
        <f>SUM('Model inputs'!O11,'Model inputs'!O12,'Model inputs'!O13)</f>
        <v>21.856264225340805</v>
      </c>
      <c r="P10" s="7">
        <f>SUM('Model inputs'!P11,'Model inputs'!P12,'Model inputs'!P13)</f>
        <v>23.75497031424573</v>
      </c>
      <c r="Q10" s="7">
        <f>SUM('Model inputs'!Q11,'Model inputs'!Q12,'Model inputs'!Q13)</f>
        <v>25.66891279557524</v>
      </c>
      <c r="R10" s="7">
        <f>SUM('Model inputs'!R11,'Model inputs'!R12,'Model inputs'!R13)</f>
        <v>27.602489698389732</v>
      </c>
      <c r="S10" s="7">
        <f>SUM('Model inputs'!S11,'Model inputs'!S12,'Model inputs'!S13)</f>
        <v>29.560030559047362</v>
      </c>
      <c r="T10" s="7">
        <f>SUM('Model inputs'!T11,'Model inputs'!T12,'Model inputs'!T13)</f>
        <v>31.545809707344752</v>
      </c>
    </row>
    <row r="11" outlineLevel="1">
      <c r="A11" t="inlineStr" s="21">
        <is>
          <t xml:space="preserve">Churned customers &gt; Indie</t>
        </is>
      </c>
      <c r="C11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inputs'!C43*'Model inputs'!B39)</f>
        <v>0</v>
      </c>
      <c r="D11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inputs'!D43*'Model inputs'!B39)</f>
        <v>2.4</v>
      </c>
      <c r="E11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inputs'!E43*'Model inputs'!B39)</f>
        <v>4.46</v>
      </c>
      <c r="F11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inputs'!F43*'Model inputs'!B39)</f>
        <v>5.782666666666667</v>
      </c>
      <c r="G11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inputs'!G43*'Model inputs'!B39)</f>
        <v>7.146755555555556</v>
      </c>
      <c r="H11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inputs'!H43*'Model inputs'!B39)</f>
        <v>8.559873185185186</v>
      </c>
      <c r="I11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inputs'!I43*'Model inputs'!B39)</f>
        <v>10.029948412839508</v>
      </c>
      <c r="J11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inputs'!J43*'Model inputs'!B39)</f>
        <v>11.565277300516874</v>
      </c>
      <c r="K11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inputs'!K43*'Model inputs'!B39)</f>
        <v>13.17457029823175</v>
      </c>
      <c r="L11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inputs'!L43*'Model inputs'!B39)</f>
        <v>14.867002014852247</v>
      </c>
      <c r="M11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inputs'!M43*'Model inputs'!B39)</f>
        <v>16.549434406491486</v>
      </c>
      <c r="N11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inputs'!N43*'Model inputs'!B39)</f>
        <v>18.22664727305995</v>
      </c>
      <c r="O11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inputs'!O43*'Model inputs'!B39)</f>
        <v>19.903266288270565</v>
      </c>
      <c r="P11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inputs'!P43*'Model inputs'!B39)</f>
        <v>21.58377985580372</v>
      </c>
      <c r="Q11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inputs'!Q43*'Model inputs'!B39)</f>
        <v>23.27255510497138</v>
      </c>
      <c r="R11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inputs'!R43*'Model inputs'!B39)</f>
        <v>24.973853093776718</v>
      </c>
      <c r="S11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inputs'!S43*'Model inputs'!B39)</f>
        <v>26.6918432831605</v>
      </c>
      <c r="T11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inputs'!T43*'Model inputs'!B39)</f>
        <v>28.43061734241079</v>
      </c>
    </row>
    <row r="12" outlineLevel="1">
      <c r="A12" t="inlineStr" s="21">
        <is>
          <t xml:space="preserve">Churned customers &gt; Launch</t>
        </is>
      </c>
      <c r="C12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inputs'!C44*'Model inputs'!B40)</f>
        <v>0</v>
      </c>
      <c r="D12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inputs'!D44*'Model inputs'!B40)</f>
        <v>0.015</v>
      </c>
      <c r="E12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inputs'!E44*'Model inputs'!B40)</f>
        <v>0.02265</v>
      </c>
      <c r="F12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inputs'!F44*'Model inputs'!B40)</f>
        <v>0.03037660416666666</v>
      </c>
      <c r="G12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inputs'!G44*'Model inputs'!B40)</f>
        <v>0.03820518105902777</v>
      </c>
      <c r="H12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inputs'!H44*'Model inputs'!B40)</f>
        <v>0.04615656731861978</v>
      </c>
      <c r="I12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inputs'!I44*'Model inputs'!B40)</f>
        <v>0.054252873012069346</v>
      </c>
      <c r="J12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inputs'!J44*'Model inputs'!B40)</f>
        <v>0.06251766741529285</v>
      </c>
      <c r="K12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inputs'!K44*'Model inputs'!B40)</f>
        <v>0.07097617787413947</v>
      </c>
      <c r="L12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inputs'!L44*'Model inputs'!B40)</f>
        <v>0.07965550337740715</v>
      </c>
      <c r="M12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inputs'!M44*'Model inputs'!B40)</f>
        <v>0.08858484461336918</v>
      </c>
      <c r="N12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inputs'!N44*'Model inputs'!B40)</f>
        <v>0.0977738293637964</v>
      </c>
      <c r="O12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inputs'!O44*'Model inputs'!B40)</f>
        <v>0.1072319990868328</v>
      </c>
      <c r="P12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inputs'!P44*'Model inputs'!B40)</f>
        <v>0.11696886480466241</v>
      </c>
      <c r="Q12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inputs'!Q44*'Model inputs'!B40)</f>
        <v>0.12699396015267028</v>
      </c>
      <c r="R12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inputs'!R44*'Model inputs'!B40)</f>
        <v>0.13731689185548684</v>
      </c>
      <c r="S12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inputs'!S44*'Model inputs'!B40)</f>
        <v>0.14794738787923273</v>
      </c>
      <c r="T12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inputs'!T44*'Model inputs'!B40)</f>
        <v>0.15889534349439347</v>
      </c>
    </row>
    <row r="13" outlineLevel="1">
      <c r="A13" t="inlineStr" s="21">
        <is>
          <t xml:space="preserve">Churned customers &gt; Team</t>
        </is>
      </c>
      <c r="C13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inputs'!C45*'Model inputs'!B41)</f>
        <v>0</v>
      </c>
      <c r="D13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inputs'!D45*'Model inputs'!B41)</f>
        <v>0.18</v>
      </c>
      <c r="E13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inputs'!E45*'Model inputs'!B41)</f>
        <v>0.27185000000000004</v>
      </c>
      <c r="F13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inputs'!F45*'Model inputs'!B41)</f>
        <v>0.3764284583333333</v>
      </c>
      <c r="G13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inputs'!G45*'Model inputs'!B41)</f>
        <v>0.4917427082291666</v>
      </c>
      <c r="H13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inputs'!H45*'Model inputs'!B41)</f>
        <v>0.6185540175498553</v>
      </c>
      <c r="I13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inputs'!I45*'Model inputs'!B41)</f>
        <v>0.7577219992341859</v>
      </c>
      <c r="J13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inputs'!J45*'Model inputs'!B41)</f>
        <v>0.910212225636483</v>
      </c>
      <c r="K13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inputs'!K45*'Model inputs'!B41)</f>
        <v>1.0771047222622927</v>
      </c>
      <c r="L13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inputs'!L45*'Model inputs'!B41)</f>
        <v>1.2596034175791035</v>
      </c>
      <c r="M13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inputs'!M45*'Model inputs'!B41)</f>
        <v>1.4485235614213252</v>
      </c>
      <c r="N13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inputs'!N45*'Model inputs'!B41)</f>
        <v>1.6438930384768016</v>
      </c>
      <c r="O13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inputs'!O45*'Model inputs'!B41)</f>
        <v>1.845765937983407</v>
      </c>
      <c r="P13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inputs'!P45*'Model inputs'!B41)</f>
        <v>2.054221593637347</v>
      </c>
      <c r="Q13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inputs'!Q45*'Model inputs'!B41)</f>
        <v>2.2693637304511856</v>
      </c>
      <c r="R13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inputs'!R45*'Model inputs'!B41)</f>
        <v>2.491319712757528</v>
      </c>
      <c r="S13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inputs'!S45*'Model inputs'!B41)</f>
        <v>2.720239888007629</v>
      </c>
      <c r="T13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inputs'!T45*'Model inputs'!B41)</f>
        <v>2.956297021439567</v>
      </c>
    </row>
    <row r="14">
      <c r="A14" t="inlineStr" s="20">
        <is>
          <t xml:space="preserve">Contribution</t>
        </is>
      </c>
      <c r="C14" s="15">
        <f>SUM('Model inputs'!C15,'Model inputs'!C16,'Model inputs'!C17)</f>
        <v>2406.6272800000006</v>
      </c>
      <c r="D14" s="15">
        <f>SUM('Model inputs'!D15,'Model inputs'!D16,'Model inputs'!D17)</f>
        <v>3965.3169916342595</v>
      </c>
      <c r="E14" s="15">
        <f>SUM('Model inputs'!E15,'Model inputs'!E16,'Model inputs'!E17)</f>
        <v>5243.918326899371</v>
      </c>
      <c r="F14" s="15">
        <f>SUM('Model inputs'!F15,'Model inputs'!F16,'Model inputs'!F17)</f>
        <v>6577.771979754969</v>
      </c>
      <c r="G14" s="15">
        <f>SUM('Model inputs'!G15,'Model inputs'!G16,'Model inputs'!G17)</f>
        <v>7972.700861342793</v>
      </c>
      <c r="H14" s="15">
        <f>SUM('Model inputs'!H15,'Model inputs'!H16,'Model inputs'!H17)</f>
        <v>9434.959661035979</v>
      </c>
      <c r="I14" s="15">
        <f>SUM('Model inputs'!I15,'Model inputs'!I16,'Model inputs'!I17)</f>
        <v>10971.267947421213</v>
      </c>
      <c r="J14" s="15">
        <f>SUM('Model inputs'!J15,'Model inputs'!J16,'Model inputs'!J17)</f>
        <v>12781.20787015281</v>
      </c>
      <c r="K14" s="15">
        <f>SUM('Model inputs'!K15,'Model inputs'!K16,'Model inputs'!K17)</f>
        <v>14611.989929987601</v>
      </c>
      <c r="L14" s="15">
        <f>SUM('Model inputs'!L15,'Model inputs'!L16,'Model inputs'!L17)</f>
        <v>16478.39039618049</v>
      </c>
      <c r="M14" s="15">
        <f>SUM('Model inputs'!M15,'Model inputs'!M16,'Model inputs'!M17)</f>
        <v>18378.53531844109</v>
      </c>
      <c r="N14" s="15">
        <f>SUM('Model inputs'!N15,'Model inputs'!N16,'Model inputs'!N17)</f>
        <v>20315.052179182076</v>
      </c>
      <c r="O14" s="15">
        <f>SUM('Model inputs'!O15,'Model inputs'!O16,'Model inputs'!O17)</f>
        <v>22290.616934506717</v>
      </c>
      <c r="P14" s="15">
        <f>SUM('Model inputs'!P15,'Model inputs'!P16,'Model inputs'!P17)</f>
        <v>24281.346865080144</v>
      </c>
      <c r="Q14" s="15">
        <f>SUM('Model inputs'!Q15,'Model inputs'!Q16,'Model inputs'!Q17)</f>
        <v>26323.069143353197</v>
      </c>
      <c r="R14" s="15">
        <f>SUM('Model inputs'!R15,'Model inputs'!R16,'Model inputs'!R17)</f>
        <v>28409.696758705755</v>
      </c>
      <c r="S14" s="15">
        <f>SUM('Model inputs'!S15,'Model inputs'!S16,'Model inputs'!S17)</f>
        <v>30543.873448128914</v>
      </c>
      <c r="T14" s="15">
        <f>SUM('Model inputs'!T15,'Model inputs'!T16,'Model inputs'!T17)</f>
        <v>32728.27912559572</v>
      </c>
    </row>
    <row r="15" outlineLevel="1">
      <c r="A15" t="inlineStr" s="21">
        <is>
          <t xml:space="preserve">Contribution &gt; Indie</t>
        </is>
      </c>
      <c r="C15" s="16">
        <f>'Model inputs'!C56-'Model inputs'!C95-'Model inputs'!C52</f>
        <v>1101.1184000000003</v>
      </c>
      <c r="D15" s="16">
        <f>'Model inputs'!D56-'Model inputs'!D95-'Model inputs'!D52</f>
        <v>2046.2450266666667</v>
      </c>
      <c r="E15" s="16">
        <f>'Model inputs'!E56-'Model inputs'!E95-'Model inputs'!E52</f>
        <v>2653.083611555556</v>
      </c>
      <c r="F15" s="16">
        <f>'Model inputs'!F56-'Model inputs'!F95-'Model inputs'!F52</f>
        <v>3278.926684385186</v>
      </c>
      <c r="G15" s="16">
        <f>'Model inputs'!G56-'Model inputs'!G95-'Model inputs'!G52</f>
        <v>3927.264110780841</v>
      </c>
      <c r="H15" s="16">
        <f>'Model inputs'!H56-'Model inputs'!H95-'Model inputs'!H52</f>
        <v>4601.733645178491</v>
      </c>
      <c r="I15" s="16">
        <f>'Model inputs'!I56-'Model inputs'!I95-'Model inputs'!I52</f>
        <v>5306.141515292275</v>
      </c>
      <c r="J15" s="16">
        <f>'Model inputs'!J56-'Model inputs'!J95-'Model inputs'!J52</f>
        <v>6044.484069781862</v>
      </c>
      <c r="K15" s="16">
        <f>'Model inputs'!K56-'Model inputs'!K95-'Model inputs'!K52</f>
        <v>6820.970613079535</v>
      </c>
      <c r="L15" s="16">
        <f>'Model inputs'!L56-'Model inputs'!L95-'Model inputs'!L52</f>
        <v>7592.8694727420225</v>
      </c>
      <c r="M15" s="16">
        <f>'Model inputs'!M56-'Model inputs'!M95-'Model inputs'!M52</f>
        <v>8362.373617781725</v>
      </c>
      <c r="N15" s="16">
        <f>'Model inputs'!N56-'Model inputs'!N95-'Model inputs'!N52</f>
        <v>9131.605304214343</v>
      </c>
      <c r="O15" s="16">
        <f>'Model inputs'!O56-'Model inputs'!O95-'Model inputs'!O52</f>
        <v>9902.623808656177</v>
      </c>
      <c r="P15" s="16">
        <f>'Model inputs'!P56-'Model inputs'!P95-'Model inputs'!P52</f>
        <v>10677.432767124134</v>
      </c>
      <c r="Q15" s="16">
        <f>'Model inputs'!Q56-'Model inputs'!Q95-'Model inputs'!Q52</f>
        <v>11457.987150189365</v>
      </c>
      <c r="R15" s="16">
        <f>'Model inputs'!R56-'Model inputs'!R95-'Model inputs'!R52</f>
        <v>12246.199903751849</v>
      </c>
      <c r="S15" s="16">
        <f>'Model inputs'!S56-'Model inputs'!S95-'Model inputs'!S52</f>
        <v>13043.948282953175</v>
      </c>
      <c r="T15" s="16">
        <f>'Model inputs'!T56-'Model inputs'!T95-'Model inputs'!T52</f>
        <v>13853.079905119139</v>
      </c>
    </row>
    <row r="16" outlineLevel="1">
      <c r="A16" t="inlineStr" s="21">
        <is>
          <t xml:space="preserve">Contribution &gt; Launch</t>
        </is>
      </c>
      <c r="C16" s="16">
        <f>'Model inputs'!C57-'Model inputs'!C96-'Model inputs'!C53</f>
        <v>461.35556</v>
      </c>
      <c r="D16" s="16">
        <f>'Model inputs'!D57-'Model inputs'!D96-'Model inputs'!D53</f>
        <v>677.8494131277778</v>
      </c>
      <c r="E16" s="16">
        <f>'Model inputs'!E57-'Model inputs'!E96-'Model inputs'!E53</f>
        <v>896.4559667373346</v>
      </c>
      <c r="F16" s="16">
        <f>'Model inputs'!F57-'Model inputs'!F96-'Model inputs'!F53</f>
        <v>1113.7040040374432</v>
      </c>
      <c r="G16" s="16">
        <f>'Model inputs'!G57-'Model inputs'!G96-'Model inputs'!G53</f>
        <v>1330.081271347675</v>
      </c>
      <c r="H16" s="16">
        <f>'Model inputs'!H57-'Model inputs'!H96-'Model inputs'!H53</f>
        <v>1546.0865238199567</v>
      </c>
      <c r="I16" s="16">
        <f>'Model inputs'!I57-'Model inputs'!I96-'Model inputs'!I53</f>
        <v>1762.2325670970497</v>
      </c>
      <c r="J16" s="16">
        <f>'Model inputs'!J57-'Model inputs'!J96-'Model inputs'!J53</f>
        <v>2037.953224773929</v>
      </c>
      <c r="K16" s="16">
        <f>'Model inputs'!K57-'Model inputs'!K96-'Model inputs'!K53</f>
        <v>2289.8757959447403</v>
      </c>
      <c r="L16" s="16">
        <f>'Model inputs'!L57-'Model inputs'!L96-'Model inputs'!L53</f>
        <v>2548.979100898099</v>
      </c>
      <c r="M16" s="16">
        <f>'Model inputs'!M57-'Model inputs'!M96-'Model inputs'!M53</f>
        <v>2815.6086409080162</v>
      </c>
      <c r="N16" s="16">
        <f>'Model inputs'!N57-'Model inputs'!N96-'Model inputs'!N53</f>
        <v>3090.0424591945143</v>
      </c>
      <c r="O16" s="16">
        <f>'Model inputs'!O57-'Model inputs'!O96-'Model inputs'!O53</f>
        <v>3372.557526711955</v>
      </c>
      <c r="P16" s="16">
        <f>'Model inputs'!P57-'Model inputs'!P96-'Model inputs'!P53</f>
        <v>3652.776958148853</v>
      </c>
      <c r="Q16" s="16">
        <f>'Model inputs'!Q57-'Model inputs'!Q96-'Model inputs'!Q53</f>
        <v>3944.859988220114</v>
      </c>
      <c r="R16" s="16">
        <f>'Model inputs'!R57-'Model inputs'!R96-'Model inputs'!R53</f>
        <v>4245.610976103192</v>
      </c>
      <c r="S16" s="16">
        <f>'Model inputs'!S57-'Model inputs'!S96-'Model inputs'!S53</f>
        <v>4555.2760554163715</v>
      </c>
      <c r="T16" s="16">
        <f>'Model inputs'!T57-'Model inputs'!T96-'Model inputs'!T53</f>
        <v>4874.103786176028</v>
      </c>
    </row>
    <row r="17" outlineLevel="1">
      <c r="A17" t="inlineStr" s="21">
        <is>
          <t xml:space="preserve">Contribution &gt; Team</t>
        </is>
      </c>
      <c r="C17" s="16">
        <f>'Model inputs'!C58-'Model inputs'!C97-'Model inputs'!C54</f>
        <v>844.15332</v>
      </c>
      <c r="D17" s="16">
        <f>'Model inputs'!D58-'Model inputs'!D97-'Model inputs'!D54</f>
        <v>1241.222551839815</v>
      </c>
      <c r="E17" s="16">
        <f>'Model inputs'!E58-'Model inputs'!E97-'Model inputs'!E54</f>
        <v>1694.3787486064798</v>
      </c>
      <c r="F17" s="16">
        <f>'Model inputs'!F58-'Model inputs'!F97-'Model inputs'!F54</f>
        <v>2185.1412913323397</v>
      </c>
      <c r="G17" s="16">
        <f>'Model inputs'!G58-'Model inputs'!G97-'Model inputs'!G54</f>
        <v>2715.3554792142772</v>
      </c>
      <c r="H17" s="16">
        <f>'Model inputs'!H58-'Model inputs'!H97-'Model inputs'!H54</f>
        <v>3287.139492037531</v>
      </c>
      <c r="I17" s="16">
        <f>'Model inputs'!I58-'Model inputs'!I97-'Model inputs'!I54</f>
        <v>3902.8938650318883</v>
      </c>
      <c r="J17" s="16">
        <f>'Model inputs'!J58-'Model inputs'!J97-'Model inputs'!J54</f>
        <v>4698.770575597019</v>
      </c>
      <c r="K17" s="16">
        <f>'Model inputs'!K58-'Model inputs'!K97-'Model inputs'!K54</f>
        <v>5501.1435209633255</v>
      </c>
      <c r="L17" s="16">
        <f>'Model inputs'!L58-'Model inputs'!L97-'Model inputs'!L54</f>
        <v>6336.541822540366</v>
      </c>
      <c r="M17" s="16">
        <f>'Model inputs'!M58-'Model inputs'!M97-'Model inputs'!M54</f>
        <v>7200.553059751348</v>
      </c>
      <c r="N17" s="16">
        <f>'Model inputs'!N58-'Model inputs'!N97-'Model inputs'!N54</f>
        <v>8093.404415773219</v>
      </c>
      <c r="O17" s="16">
        <f>'Model inputs'!O58-'Model inputs'!O97-'Model inputs'!O54</f>
        <v>9015.435599138584</v>
      </c>
      <c r="P17" s="16">
        <f>'Model inputs'!P58-'Model inputs'!P97-'Model inputs'!P54</f>
        <v>9951.137139807157</v>
      </c>
      <c r="Q17" s="16">
        <f>'Model inputs'!Q58-'Model inputs'!Q97-'Model inputs'!Q54</f>
        <v>10920.222004943716</v>
      </c>
      <c r="R17" s="16">
        <f>'Model inputs'!R58-'Model inputs'!R97-'Model inputs'!R54</f>
        <v>11917.885878850713</v>
      </c>
      <c r="S17" s="16">
        <f>'Model inputs'!S58-'Model inputs'!S97-'Model inputs'!S54</f>
        <v>12944.649109759368</v>
      </c>
      <c r="T17" s="16">
        <f>'Model inputs'!T58-'Model inputs'!T97-'Model inputs'!T54</f>
        <v>14001.095434300554</v>
      </c>
    </row>
    <row r="18">
      <c r="A18" t="inlineStr" s="20">
        <is>
          <t xml:space="preserve">Cost optimization from month</t>
        </is>
      </c>
      <c r="B18" s="22">
        <f>7</f>
        <v>7</v>
      </c>
    </row>
    <row r="19">
      <c r="A19" t="inlineStr" s="20">
        <is>
          <t xml:space="preserve">Cost optimization on</t>
        </is>
      </c>
      <c r="B19" s="22">
        <f>0</f>
        <v>0</v>
      </c>
    </row>
    <row r="20">
      <c r="A20" t="inlineStr" s="20">
        <is>
          <t xml:space="preserve">Kits generated</t>
        </is>
      </c>
      <c r="C20" s="23">
        <f>SUM('Model inputs'!C21,'Model inputs'!C22,'Model inputs'!C23)</f>
        <v>828</v>
      </c>
      <c r="D20" s="23">
        <f>SUM('Model inputs'!D21,'Model inputs'!D22,'Model inputs'!D23)</f>
        <v>1368.7916666666665</v>
      </c>
      <c r="E20" s="23">
        <f>SUM('Model inputs'!E21,'Model inputs'!E22,'Model inputs'!E23)</f>
        <v>1826.121059722222</v>
      </c>
      <c r="F20" s="23">
        <f>SUM('Model inputs'!F21,'Model inputs'!F22,'Model inputs'!F23)</f>
        <v>2307.5384331400464</v>
      </c>
      <c r="G20" s="23">
        <f>SUM('Model inputs'!G21,'Model inputs'!G22,'Model inputs'!G23)</f>
        <v>2815.60018657172</v>
      </c>
      <c r="H20" s="23">
        <f>SUM('Model inputs'!H21,'Model inputs'!H22,'Model inputs'!H23)</f>
        <v>3353.0799466515737</v>
      </c>
      <c r="I20" s="23">
        <f>SUM('Model inputs'!I21,'Model inputs'!I22,'Model inputs'!I23)</f>
        <v>3922.9894035737357</v>
      </c>
      <c r="J20" s="23">
        <f>SUM('Model inputs'!J21,'Model inputs'!J22,'Model inputs'!J23)</f>
        <v>4528.601033265272</v>
      </c>
      <c r="K20" s="23">
        <f>SUM('Model inputs'!K21,'Model inputs'!K22,'Model inputs'!K23)</f>
        <v>5173.472886027722</v>
      </c>
      <c r="L20" s="23">
        <f>SUM('Model inputs'!L21,'Model inputs'!L22,'Model inputs'!L23)</f>
        <v>5830.4219865033065</v>
      </c>
      <c r="M20" s="23">
        <f>SUM('Model inputs'!M21,'Model inputs'!M22,'Model inputs'!M23)</f>
        <v>6500.301380559953</v>
      </c>
      <c r="N20" s="23">
        <f>SUM('Model inputs'!N21,'Model inputs'!N22,'Model inputs'!N23)</f>
        <v>7183.982147804838</v>
      </c>
      <c r="O20" s="23">
        <f>SUM('Model inputs'!O21,'Model inputs'!O22,'Model inputs'!O23)</f>
        <v>7882.355052921401</v>
      </c>
      <c r="P20" s="23">
        <f>SUM('Model inputs'!P21,'Model inputs'!P22,'Model inputs'!P23)</f>
        <v>8596.332203674476</v>
      </c>
      <c r="Q20" s="23">
        <f>SUM('Model inputs'!Q21,'Model inputs'!Q22,'Model inputs'!Q23)</f>
        <v>9326.848719753849</v>
      </c>
      <c r="R20" s="23">
        <f>SUM('Model inputs'!R21,'Model inputs'!R22,'Model inputs'!R23)</f>
        <v>10074.864416534487</v>
      </c>
      <c r="S20" s="23">
        <f>SUM('Model inputs'!S21,'Model inputs'!S22,'Model inputs'!S23)</f>
        <v>10841.365507753188</v>
      </c>
      <c r="T20" s="23">
        <f>SUM('Model inputs'!T21,'Model inputs'!T22,'Model inputs'!T23)</f>
        <v>11627.366331035839</v>
      </c>
    </row>
    <row r="21" outlineLevel="1">
      <c r="A21" t="inlineStr" s="21">
        <is>
          <t xml:space="preserve">Kits generated &gt; Indie</t>
        </is>
      </c>
      <c r="C21" s="22">
        <f>'Model inputs'!C72*('Model inputs'!B100+'Model inputs'!B131)</f>
        <v>340</v>
      </c>
      <c r="D21" s="22">
        <f>'Model inputs'!D72*('Model inputs'!B100+'Model inputs'!B131)</f>
        <v>631.8333333333333</v>
      </c>
      <c r="E21" s="22">
        <f>'Model inputs'!E72*('Model inputs'!B100+'Model inputs'!B131)</f>
        <v>819.2111111111111</v>
      </c>
      <c r="F21" s="22">
        <f>'Model inputs'!F72*('Model inputs'!B100+'Model inputs'!B131)</f>
        <v>1012.4570370370371</v>
      </c>
      <c r="G21" s="22">
        <f>'Model inputs'!G72*('Model inputs'!B100+'Model inputs'!B131)</f>
        <v>1212.648701234568</v>
      </c>
      <c r="H21" s="22">
        <f>'Model inputs'!H72*('Model inputs'!B100+'Model inputs'!B131)</f>
        <v>1420.9093584855968</v>
      </c>
      <c r="I21" s="22">
        <f>'Model inputs'!I72*('Model inputs'!B100+'Model inputs'!B131)</f>
        <v>1638.4142842398905</v>
      </c>
      <c r="J21" s="22">
        <f>'Model inputs'!J72*('Model inputs'!B100+'Model inputs'!B131)</f>
        <v>1866.3974589161646</v>
      </c>
      <c r="K21" s="22">
        <f>'Model inputs'!K72*('Model inputs'!B100+'Model inputs'!B131)</f>
        <v>2106.158618770735</v>
      </c>
      <c r="L21" s="22">
        <f>'Model inputs'!L72*('Model inputs'!B100+'Model inputs'!B131)</f>
        <v>2344.5032075862937</v>
      </c>
      <c r="M21" s="22">
        <f>'Model inputs'!M72*('Model inputs'!B100+'Model inputs'!B131)</f>
        <v>2582.108363683493</v>
      </c>
      <c r="N21" s="22">
        <f>'Model inputs'!N72*('Model inputs'!B100+'Model inputs'!B131)</f>
        <v>2819.62939083833</v>
      </c>
      <c r="O21" s="22">
        <f>'Model inputs'!O72*('Model inputs'!B100+'Model inputs'!B131)</f>
        <v>3057.7021462388607</v>
      </c>
      <c r="P21" s="22">
        <f>'Model inputs'!P72*('Model inputs'!B100+'Model inputs'!B131)</f>
        <v>3296.945306537613</v>
      </c>
      <c r="Q21" s="22">
        <f>'Model inputs'!Q72*('Model inputs'!B100+'Model inputs'!B131)</f>
        <v>3537.9625216183686</v>
      </c>
      <c r="R21" s="22">
        <f>'Model inputs'!R72*('Model inputs'!B100+'Model inputs'!B131)</f>
        <v>3781.3444651144046</v>
      </c>
      <c r="S21" s="22">
        <f>'Model inputs'!S72*('Model inputs'!B100+'Model inputs'!B131)</f>
        <v>4027.6707901748623</v>
      </c>
      <c r="T21" s="22">
        <f>'Model inputs'!T72*('Model inputs'!B100+'Model inputs'!B131)</f>
        <v>4277.511998474012</v>
      </c>
    </row>
    <row r="22" outlineLevel="1">
      <c r="A22" t="inlineStr" s="21">
        <is>
          <t xml:space="preserve">Kits generated &gt; Launch</t>
        </is>
      </c>
      <c r="C22" s="22">
        <f>'Model inputs'!C73*('Model inputs'!B101+'Model inputs'!B132)</f>
        <v>206</v>
      </c>
      <c r="D22" s="22">
        <f>'Model inputs'!D73*('Model inputs'!B101+'Model inputs'!B132)</f>
        <v>311.06</v>
      </c>
      <c r="E22" s="22">
        <f>'Model inputs'!E73*('Model inputs'!B101+'Model inputs'!B132)</f>
        <v>417.17203055555547</v>
      </c>
      <c r="F22" s="22">
        <f>'Model inputs'!F73*('Model inputs'!B101+'Model inputs'!B132)</f>
        <v>524.6844865439813</v>
      </c>
      <c r="G22" s="22">
        <f>'Model inputs'!G73*('Model inputs'!B101+'Model inputs'!B132)</f>
        <v>633.883524509045</v>
      </c>
      <c r="H22" s="22">
        <f>'Model inputs'!H73*('Model inputs'!B101+'Model inputs'!B132)</f>
        <v>745.0727893657524</v>
      </c>
      <c r="I22" s="22">
        <f>'Model inputs'!I73*('Model inputs'!B101+'Model inputs'!B132)</f>
        <v>858.5759658366885</v>
      </c>
      <c r="J22" s="22">
        <f>'Model inputs'!J73*('Model inputs'!B101+'Model inputs'!B132)</f>
        <v>974.7395094715155</v>
      </c>
      <c r="K22" s="22">
        <f>'Model inputs'!K73*('Model inputs'!B101+'Model inputs'!B132)</f>
        <v>1093.9355797163917</v>
      </c>
      <c r="L22" s="22">
        <f>'Model inputs'!L73*('Model inputs'!B101+'Model inputs'!B132)</f>
        <v>1216.5651993569368</v>
      </c>
      <c r="M22" s="22">
        <f>'Model inputs'!M73*('Model inputs'!B101+'Model inputs'!B132)</f>
        <v>1342.7605899294706</v>
      </c>
      <c r="N22" s="22">
        <f>'Model inputs'!N73*('Model inputs'!B101+'Model inputs'!B132)</f>
        <v>1472.6527874591704</v>
      </c>
      <c r="O22" s="22">
        <f>'Model inputs'!O73*('Model inputs'!B101+'Model inputs'!B132)</f>
        <v>1606.3724099840306</v>
      </c>
      <c r="P22" s="22">
        <f>'Model inputs'!P73*('Model inputs'!B101+'Model inputs'!B132)</f>
        <v>1744.050386096672</v>
      </c>
      <c r="Q22" s="22">
        <f>'Model inputs'!Q73*('Model inputs'!B101+'Model inputs'!B132)</f>
        <v>1885.8186481486862</v>
      </c>
      <c r="R22" s="22">
        <f>'Model inputs'!R73*('Model inputs'!B101+'Model inputs'!B132)</f>
        <v>2031.810793541463</v>
      </c>
      <c r="S22" s="22">
        <f>'Model inputs'!S73*('Model inputs'!B101+'Model inputs'!B132)</f>
        <v>2182.1627173230036</v>
      </c>
      <c r="T22" s="22">
        <f>'Model inputs'!T73*('Model inputs'!B101+'Model inputs'!B132)</f>
        <v>2337.013219121013</v>
      </c>
    </row>
    <row r="23" outlineLevel="1">
      <c r="A23" t="inlineStr" s="21">
        <is>
          <t xml:space="preserve">Kits generated &gt; Team</t>
        </is>
      </c>
      <c r="C23" s="22">
        <f>'Model inputs'!C74*('Model inputs'!B102+'Model inputs'!B133)</f>
        <v>282</v>
      </c>
      <c r="D23" s="22">
        <f>'Model inputs'!D74*('Model inputs'!B102+'Model inputs'!B133)</f>
        <v>425.89833333333337</v>
      </c>
      <c r="E23" s="22">
        <f>'Model inputs'!E74*('Model inputs'!B102+'Model inputs'!B133)</f>
        <v>589.7379180555556</v>
      </c>
      <c r="F23" s="22">
        <f>'Model inputs'!F74*('Model inputs'!B102+'Model inputs'!B133)</f>
        <v>770.3969095590278</v>
      </c>
      <c r="G23" s="22">
        <f>'Model inputs'!G74*('Model inputs'!B102+'Model inputs'!B133)</f>
        <v>969.0679608281067</v>
      </c>
      <c r="H23" s="22">
        <f>'Model inputs'!H74*('Model inputs'!B102+'Model inputs'!B133)</f>
        <v>1187.0977988002246</v>
      </c>
      <c r="I23" s="22">
        <f>'Model inputs'!I74*('Model inputs'!B102+'Model inputs'!B133)</f>
        <v>1425.9991534971566</v>
      </c>
      <c r="J23" s="22">
        <f>'Model inputs'!J74*('Model inputs'!B102+'Model inputs'!B133)</f>
        <v>1687.464064877592</v>
      </c>
      <c r="K23" s="22">
        <f>'Model inputs'!K74*('Model inputs'!B102+'Model inputs'!B133)</f>
        <v>1973.3786875405954</v>
      </c>
      <c r="L23" s="22">
        <f>'Model inputs'!L74*('Model inputs'!B102+'Model inputs'!B133)</f>
        <v>2269.3535795600765</v>
      </c>
      <c r="M23" s="22">
        <f>'Model inputs'!M74*('Model inputs'!B102+'Model inputs'!B133)</f>
        <v>2575.4324269469894</v>
      </c>
      <c r="N23" s="22">
        <f>'Model inputs'!N74*('Model inputs'!B102+'Model inputs'!B133)</f>
        <v>2891.6999695073378</v>
      </c>
      <c r="O23" s="22">
        <f>'Model inputs'!O74*('Model inputs'!B102+'Model inputs'!B133)</f>
        <v>3218.28049669851</v>
      </c>
      <c r="P23" s="22">
        <f>'Model inputs'!P74*('Model inputs'!B102+'Model inputs'!B133)</f>
        <v>3555.336511040191</v>
      </c>
      <c r="Q23" s="22">
        <f>'Model inputs'!Q74*('Model inputs'!B102+'Model inputs'!B133)</f>
        <v>3903.0675499867943</v>
      </c>
      <c r="R23" s="22">
        <f>'Model inputs'!R74*('Model inputs'!B102+'Model inputs'!B133)</f>
        <v>4261.709157878619</v>
      </c>
      <c r="S23" s="22">
        <f>'Model inputs'!S74*('Model inputs'!B102+'Model inputs'!B133)</f>
        <v>4631.532000255323</v>
      </c>
      <c r="T23" s="22">
        <f>'Model inputs'!T74*('Model inputs'!B102+'Model inputs'!B133)</f>
        <v>5012.841113440814</v>
      </c>
    </row>
    <row r="24">
      <c r="A24" t="inlineStr" s="20">
        <is>
          <t xml:space="preserve">Line monthly cost</t>
        </is>
      </c>
      <c r="B24" s="15">
        <v>0</v>
      </c>
    </row>
    <row r="25" outlineLevel="1">
      <c r="A25" t="inlineStr" s="21">
        <is>
          <t xml:space="preserve">Line monthly cost &gt; Domain, email, extras</t>
        </is>
      </c>
      <c r="B25" s="16">
        <f>40</f>
        <v>40</v>
      </c>
    </row>
    <row r="26" outlineLevel="1">
      <c r="A26" t="inlineStr" s="21">
        <is>
          <t xml:space="preserve">Line monthly cost &gt; Entire cloud workspace</t>
        </is>
      </c>
      <c r="B26" s="16">
        <f>200</f>
        <v>200</v>
      </c>
    </row>
    <row r="27" outlineLevel="1">
      <c r="A27" t="inlineStr" s="21">
        <is>
          <t xml:space="preserve">Line monthly cost &gt; First engineer (loaded)</t>
        </is>
      </c>
      <c r="B27" s="16">
        <f>12000</f>
        <v>12000</v>
      </c>
    </row>
    <row r="28" outlineLevel="1">
      <c r="A28" t="inlineStr" s="21">
        <is>
          <t xml:space="preserve">Line monthly cost &gt; Founder full-time step-up</t>
        </is>
      </c>
      <c r="B28" s="16">
        <f>4000</f>
        <v>4000</v>
      </c>
    </row>
    <row r="29" outlineLevel="1">
      <c r="A29" t="inlineStr" s="21">
        <is>
          <t xml:space="preserve">Line monthly cost &gt; Founder salary (0.5 FTE)</t>
        </is>
      </c>
      <c r="B29" s="16">
        <f>4000</f>
        <v>4000</v>
      </c>
    </row>
    <row r="30" outlineLevel="1">
      <c r="A30" t="inlineStr" s="21">
        <is>
          <t xml:space="preserve">Line monthly cost &gt; Frontend contractor (0.25 FTE)</t>
        </is>
      </c>
      <c r="B30" s="16">
        <f>2000</f>
        <v>2000</v>
      </c>
    </row>
    <row r="31" outlineLevel="1">
      <c r="A31" t="inlineStr" s="21">
        <is>
          <t xml:space="preserve">Line monthly cost &gt; Hosting (Vercel + storage)</t>
        </is>
      </c>
      <c r="B31" s="16">
        <f>80</f>
        <v>80</v>
      </c>
    </row>
    <row r="32" outlineLevel="1">
      <c r="A32" t="inlineStr" s="21">
        <is>
          <t xml:space="preserve">Line monthly cost &gt; Marketing: always-on</t>
        </is>
      </c>
      <c r="B32" s="16">
        <f>250</f>
        <v>250</v>
      </c>
    </row>
    <row r="33" outlineLevel="1">
      <c r="A33" t="inlineStr" s="21">
        <is>
          <t xml:space="preserve">Line monthly cost &gt; Marketing: launch push</t>
        </is>
      </c>
      <c r="B33" s="16">
        <f>350</f>
        <v>350</v>
      </c>
    </row>
    <row r="34" outlineLevel="1">
      <c r="A34" t="inlineStr" s="21">
        <is>
          <t xml:space="preserve">Line monthly cost &gt; cfo.ai Startup</t>
        </is>
      </c>
      <c r="B34" s="16">
        <f>375</f>
        <v>375</v>
      </c>
    </row>
    <row r="35" outlineLevel="1">
      <c r="A35" t="inlineStr" s="21">
        <is>
          <t xml:space="preserve">Line monthly cost &gt; neatlogs Pro</t>
        </is>
      </c>
      <c r="B35" s="16">
        <f>500</f>
        <v>500</v>
      </c>
    </row>
    <row r="36">
      <c r="A36" t="inlineStr" s="20">
        <is>
          <t xml:space="preserve">Loaded COGS per kit</t>
        </is>
      </c>
      <c r="B36" s="11">
        <f>'Model inputs'!B103+'Model inputs'!B93+'Model inputs'!B138+'Model inputs'!B117+'Model inputs'!B98</f>
        <v>0.24</v>
      </c>
    </row>
    <row r="37">
      <c r="A37" t="inlineStr" s="20">
        <is>
          <t xml:space="preserve">Model month</t>
        </is>
      </c>
      <c r="C37" s="22">
        <f>(YEAR(DATE(2026,11,1))-2026)*12+MONTH(DATE(2026,11,1))-11</f>
        <v>0</v>
      </c>
      <c r="D37" s="22">
        <f>(YEAR(DATE(2026,12,1))-2026)*12+MONTH(DATE(2026,12,1))-11</f>
        <v>1</v>
      </c>
      <c r="E37" s="22">
        <f>(YEAR(DATE(2027,1,1))-2026)*12+MONTH(DATE(2027,1,1))-11</f>
        <v>2</v>
      </c>
      <c r="F37" s="22">
        <f>(YEAR(DATE(2027,2,1))-2026)*12+MONTH(DATE(2027,2,1))-11</f>
        <v>3</v>
      </c>
      <c r="G37" s="22">
        <f>(YEAR(DATE(2027,3,1))-2026)*12+MONTH(DATE(2027,3,1))-11</f>
        <v>4</v>
      </c>
      <c r="H37" s="22">
        <f>(YEAR(DATE(2027,4,1))-2026)*12+MONTH(DATE(2027,4,1))-11</f>
        <v>5</v>
      </c>
      <c r="I37" s="22">
        <f>(YEAR(DATE(2027,5,1))-2026)*12+MONTH(DATE(2027,5,1))-11</f>
        <v>6</v>
      </c>
      <c r="J37" s="22">
        <f>(YEAR(DATE(2027,6,1))-2026)*12+MONTH(DATE(2027,6,1))-11</f>
        <v>7</v>
      </c>
      <c r="K37" s="22">
        <f>(YEAR(DATE(2027,7,1))-2026)*12+MONTH(DATE(2027,7,1))-11</f>
        <v>8</v>
      </c>
      <c r="L37" s="22">
        <f>(YEAR(DATE(2027,8,1))-2026)*12+MONTH(DATE(2027,8,1))-11</f>
        <v>9</v>
      </c>
      <c r="M37" s="22">
        <f>(YEAR(DATE(2027,9,1))-2026)*12+MONTH(DATE(2027,9,1))-11</f>
        <v>10</v>
      </c>
      <c r="N37" s="22">
        <f>(YEAR(DATE(2027,10,1))-2026)*12+MONTH(DATE(2027,10,1))-11</f>
        <v>11</v>
      </c>
      <c r="O37" s="22">
        <f>(YEAR(DATE(2027,11,1))-2026)*12+MONTH(DATE(2027,11,1))-11</f>
        <v>12</v>
      </c>
      <c r="P37" s="22">
        <f>(YEAR(DATE(2027,12,1))-2026)*12+MONTH(DATE(2027,12,1))-11</f>
        <v>13</v>
      </c>
      <c r="Q37" s="22">
        <f>(YEAR(DATE(2028,1,1))-2026)*12+MONTH(DATE(2028,1,1))-11</f>
        <v>14</v>
      </c>
      <c r="R37" s="22">
        <f>(YEAR(DATE(2028,2,1))-2026)*12+MONTH(DATE(2028,2,1))-11</f>
        <v>15</v>
      </c>
      <c r="S37" s="22">
        <f>(YEAR(DATE(2028,3,1))-2026)*12+MONTH(DATE(2028,3,1))-11</f>
        <v>16</v>
      </c>
      <c r="T37" s="22">
        <f>(YEAR(DATE(2028,4,1))-2026)*12+MONTH(DATE(2028,4,1))-11</f>
        <v>17</v>
      </c>
    </row>
    <row r="38">
      <c r="A38" t="inlineStr" s="20">
        <is>
          <t xml:space="preserve">Monthly logo churn</t>
        </is>
      </c>
      <c r="B38" s="13">
        <v>0</v>
      </c>
    </row>
    <row r="39" outlineLevel="1">
      <c r="A39" t="inlineStr" s="21">
        <is>
          <t xml:space="preserve">Monthly logo churn &gt; Indie</t>
        </is>
      </c>
      <c r="B39" s="14">
        <f>0.06</f>
        <v>0.06</v>
      </c>
    </row>
    <row r="40" outlineLevel="1">
      <c r="A40" t="inlineStr" s="21">
        <is>
          <t xml:space="preserve">Monthly logo churn &gt; Launch</t>
        </is>
      </c>
      <c r="B40" s="14">
        <f>0.015</f>
        <v>0.015</v>
      </c>
    </row>
    <row r="41" outlineLevel="1">
      <c r="A41" t="inlineStr" s="21">
        <is>
          <t xml:space="preserve">Monthly logo churn &gt; Team</t>
        </is>
      </c>
      <c r="B41" s="14">
        <f>0.03</f>
        <v>0.03</v>
      </c>
    </row>
    <row r="42">
      <c r="A42" t="inlineStr" s="20">
        <is>
          <t xml:space="preserve">Opening customers</t>
        </is>
      </c>
      <c r="C42" s="7">
        <f>SUM('Model inputs'!C43,'Model inputs'!C44,'Model inputs'!C45)</f>
        <v>47</v>
      </c>
      <c r="D42" s="7">
        <f>SUM('Model inputs'!D43,'Model inputs'!D44,'Model inputs'!D45)</f>
        <v>47</v>
      </c>
      <c r="E42" s="7">
        <f>SUM('Model inputs'!E43,'Model inputs'!E44,'Model inputs'!E45)</f>
        <v>84.905</v>
      </c>
      <c r="F42" s="7">
        <f>SUM('Model inputs'!F43,'Model inputs'!F44,'Model inputs'!F45)</f>
        <v>110.9505</v>
      </c>
      <c r="G42" s="7">
        <f>SUM('Model inputs'!G43,'Model inputs'!G44,'Model inputs'!G45)</f>
        <v>138.05102827083334</v>
      </c>
      <c r="H42" s="7">
        <f>SUM('Model inputs'!H43,'Model inputs'!H44,'Model inputs'!H45)</f>
        <v>166.3601248259896</v>
      </c>
      <c r="I42" s="7">
        <f>SUM('Model inputs'!I43,'Model inputs'!I44,'Model inputs'!I45)</f>
        <v>196.04006505593594</v>
      </c>
      <c r="J42" s="7">
        <f>SUM('Model inputs'!J43,'Model inputs'!J44,'Model inputs'!J45)</f>
        <v>227.2628736908502</v>
      </c>
      <c r="K42" s="7">
        <f>SUM('Model inputs'!K43,'Model inputs'!K44,'Model inputs'!K45)</f>
        <v>260.21140757088153</v>
      </c>
      <c r="L42" s="7">
        <f>SUM('Model inputs'!L43,'Model inputs'!L44,'Model inputs'!L45)</f>
        <v>295.08051439200136</v>
      </c>
      <c r="M42" s="7">
        <f>SUM('Model inputs'!M43,'Model inputs'!M44,'Model inputs'!M45)</f>
        <v>330.0136817964602</v>
      </c>
      <c r="N42" s="7">
        <f>SUM('Model inputs'!N43,'Model inputs'!N44,'Model inputs'!N45)</f>
        <v>365.0921444578123</v>
      </c>
      <c r="O42" s="7">
        <f>SUM('Model inputs'!O43,'Model inputs'!O44,'Model inputs'!O45)</f>
        <v>400.3954360097452</v>
      </c>
      <c r="P42" s="7">
        <f>SUM('Model inputs'!P43,'Model inputs'!P44,'Model inputs'!P45)</f>
        <v>436.0016417049511</v>
      </c>
      <c r="Q42" s="7">
        <f>SUM('Model inputs'!Q43,'Model inputs'!Q44,'Model inputs'!Q45)</f>
        <v>471.98764010807395</v>
      </c>
      <c r="R42" s="7">
        <f>SUM('Model inputs'!R43,'Model inputs'!R44,'Model inputs'!R45)</f>
        <v>508.42933477856207</v>
      </c>
      <c r="S42" s="7">
        <f>SUM('Model inputs'!S43,'Model inputs'!S44,'Model inputs'!S45)</f>
        <v>545.4018768448782</v>
      </c>
      <c r="T42" s="7">
        <f>SUM('Model inputs'!T43,'Model inputs'!T44,'Model inputs'!T45)</f>
        <v>582.979879321125</v>
      </c>
    </row>
    <row r="43" outlineLevel="1">
      <c r="A43" t="inlineStr" s="21">
        <is>
          <t xml:space="preserve">Opening customers &gt; Indie</t>
        </is>
      </c>
      <c r="C43" s="9">
        <f>IF(IF(IF(ISERROR('Model inputs'!C37=0),'Model inputs'!C37=0,IF('Model inputs'!C37="","",'Model inputs'!C37=0))="",FALSE,IF(ISERROR('Model inputs'!C37=0),'Model inputs'!C37=0,IF('Model inputs'!C37="","",'Model inputs'!C37=0))),IF('Model inputs'!B140="","",'Model inputs'!B140),IF('Model inputs'!AG90="","",'Model inputs'!AG90))</f>
        <v>40</v>
      </c>
      <c r="D43" s="9">
        <f>IF(IF(IF(ISERROR('Model inputs'!D37=0),'Model inputs'!D37=0,IF('Model inputs'!D37="","",'Model inputs'!D37=0))="",FALSE,IF(ISERROR('Model inputs'!D37=0),'Model inputs'!D37=0,IF('Model inputs'!D37="","",'Model inputs'!D37=0))),IF('Model inputs'!B140="","",'Model inputs'!B140),IF('Model inputs'!C72="","",'Model inputs'!C72))</f>
        <v>40</v>
      </c>
      <c r="E43" s="9">
        <f>IF(IF(IF(ISERROR('Model inputs'!E37=0),'Model inputs'!E37=0,IF('Model inputs'!E37="","",'Model inputs'!E37=0))="",FALSE,IF(ISERROR('Model inputs'!E37=0),'Model inputs'!E37=0,IF('Model inputs'!E37="","",'Model inputs'!E37=0))),IF('Model inputs'!B140="","",'Model inputs'!B140),IF('Model inputs'!D72="","",'Model inputs'!D72))</f>
        <v>74.33333333333333</v>
      </c>
      <c r="F43" s="9">
        <f>IF(IF(IF(ISERROR('Model inputs'!F37=0),'Model inputs'!F37=0,IF('Model inputs'!F37="","",'Model inputs'!F37=0))="",FALSE,IF(ISERROR('Model inputs'!F37=0),'Model inputs'!F37=0,IF('Model inputs'!F37="","",'Model inputs'!F37=0))),IF('Model inputs'!B140="","",'Model inputs'!B140),IF('Model inputs'!E72="","",'Model inputs'!E72))</f>
        <v>96.37777777777778</v>
      </c>
      <c r="G43" s="9">
        <f>IF(IF(IF(ISERROR('Model inputs'!G37=0),'Model inputs'!G37=0,IF('Model inputs'!G37="","",'Model inputs'!G37=0))="",FALSE,IF(ISERROR('Model inputs'!G37=0),'Model inputs'!G37=0,IF('Model inputs'!G37="","",'Model inputs'!G37=0))),IF('Model inputs'!B140="","",'Model inputs'!B140),IF('Model inputs'!F72="","",'Model inputs'!F72))</f>
        <v>119.1125925925926</v>
      </c>
      <c r="H43" s="9">
        <f>IF(IF(IF(ISERROR('Model inputs'!H37=0),'Model inputs'!H37=0,IF('Model inputs'!H37="","",'Model inputs'!H37=0))="",FALSE,IF(ISERROR('Model inputs'!H37=0),'Model inputs'!H37=0,IF('Model inputs'!H37="","",'Model inputs'!H37=0))),IF('Model inputs'!B140="","",'Model inputs'!B140),IF('Model inputs'!G72="","",'Model inputs'!G72))</f>
        <v>142.66455308641977</v>
      </c>
      <c r="I43" s="9">
        <f>IF(IF(IF(ISERROR('Model inputs'!I37=0),'Model inputs'!I37=0,IF('Model inputs'!I37="","",'Model inputs'!I37=0))="",FALSE,IF(ISERROR('Model inputs'!I37=0),'Model inputs'!I37=0,IF('Model inputs'!I37="","",'Model inputs'!I37=0))),IF('Model inputs'!B140="","",'Model inputs'!B140),IF('Model inputs'!H72="","",'Model inputs'!H72))</f>
        <v>167.16580688065847</v>
      </c>
      <c r="J43" s="9">
        <f>IF(IF(IF(ISERROR('Model inputs'!J37=0),'Model inputs'!J37=0,IF('Model inputs'!J37="","",'Model inputs'!J37=0))="",FALSE,IF(ISERROR('Model inputs'!J37=0),'Model inputs'!J37=0,IF('Model inputs'!J37="","",'Model inputs'!J37=0))),IF('Model inputs'!B140="","",'Model inputs'!B140),IF('Model inputs'!I72="","",'Model inputs'!I72))</f>
        <v>192.75462167528124</v>
      </c>
      <c r="K43" s="9">
        <f>IF(IF(IF(ISERROR('Model inputs'!K37=0),'Model inputs'!K37=0,IF('Model inputs'!K37="","",'Model inputs'!K37=0))="",FALSE,IF(ISERROR('Model inputs'!K37=0),'Model inputs'!K37=0,IF('Model inputs'!K37="","",'Model inputs'!K37=0))),IF('Model inputs'!B140="","",'Model inputs'!B140),IF('Model inputs'!J72="","",'Model inputs'!J72))</f>
        <v>219.57617163719584</v>
      </c>
      <c r="L43" s="9">
        <f>IF(IF(IF(ISERROR('Model inputs'!L37=0),'Model inputs'!L37=0,IF('Model inputs'!L37="","",'Model inputs'!L37=0))="",FALSE,IF(ISERROR('Model inputs'!L37=0),'Model inputs'!L37=0,IF('Model inputs'!L37="","",'Model inputs'!L37=0))),IF('Model inputs'!B140="","",'Model inputs'!B140),IF('Model inputs'!K72="","",'Model inputs'!K72))</f>
        <v>247.78336691420412</v>
      </c>
      <c r="M43" s="9">
        <f>IF(IF(IF(ISERROR('Model inputs'!M37=0),'Model inputs'!M37=0,IF('Model inputs'!M37="","",'Model inputs'!M37=0))="",FALSE,IF(ISERROR('Model inputs'!M37=0),'Model inputs'!M37=0,IF('Model inputs'!M37="","",'Model inputs'!M37=0))),IF('Model inputs'!B140="","",'Model inputs'!B140),IF('Model inputs'!L72="","",'Model inputs'!L72))</f>
        <v>275.8239067748581</v>
      </c>
      <c r="N43" s="9">
        <f>IF(IF(IF(ISERROR('Model inputs'!N37=0),'Model inputs'!N37=0,IF('Model inputs'!N37="","",'Model inputs'!N37=0))="",FALSE,IF(ISERROR('Model inputs'!N37=0),'Model inputs'!N37=0,IF('Model inputs'!N37="","",'Model inputs'!N37=0))),IF('Model inputs'!B140="","",'Model inputs'!B140),IF('Model inputs'!M72="","",'Model inputs'!M72))</f>
        <v>303.77745455099915</v>
      </c>
      <c r="O43" s="9">
        <f>IF(IF(IF(ISERROR('Model inputs'!O37=0),'Model inputs'!O37=0,IF('Model inputs'!O37="","",'Model inputs'!O37=0))="",FALSE,IF(ISERROR('Model inputs'!O37=0),'Model inputs'!O37=0,IF('Model inputs'!O37="","",'Model inputs'!O37=0))),IF('Model inputs'!B140="","",'Model inputs'!B140),IF('Model inputs'!N72="","",'Model inputs'!N72))</f>
        <v>331.7211048045094</v>
      </c>
      <c r="P43" s="9">
        <f>IF(IF(IF(ISERROR('Model inputs'!P37=0),'Model inputs'!P37=0,IF('Model inputs'!P37="","",'Model inputs'!P37=0))="",FALSE,IF(ISERROR('Model inputs'!P37=0),'Model inputs'!P37=0,IF('Model inputs'!P37="","",'Model inputs'!P37=0))),IF('Model inputs'!B140="","",'Model inputs'!B140),IF('Model inputs'!O72="","",'Model inputs'!O72))</f>
        <v>359.72966426339536</v>
      </c>
      <c r="Q43" s="9">
        <f>IF(IF(IF(ISERROR('Model inputs'!Q37=0),'Model inputs'!Q37=0,IF('Model inputs'!Q37="","",'Model inputs'!Q37=0))="",FALSE,IF(ISERROR('Model inputs'!Q37=0),'Model inputs'!Q37=0,IF('Model inputs'!Q37="","",'Model inputs'!Q37=0))),IF('Model inputs'!B140="","",'Model inputs'!B140),IF('Model inputs'!P72="","",'Model inputs'!P72))</f>
        <v>387.87591841618973</v>
      </c>
      <c r="R43" s="9">
        <f>IF(IF(IF(ISERROR('Model inputs'!R37=0),'Model inputs'!R37=0,IF('Model inputs'!R37="","",'Model inputs'!R37=0))="",FALSE,IF(ISERROR('Model inputs'!R37=0),'Model inputs'!R37=0,IF('Model inputs'!R37="","",'Model inputs'!R37=0))),IF('Model inputs'!B140="","",'Model inputs'!B140),IF('Model inputs'!Q72="","",'Model inputs'!Q72))</f>
        <v>416.23088489627867</v>
      </c>
      <c r="S43" s="9">
        <f>IF(IF(IF(ISERROR('Model inputs'!S37=0),'Model inputs'!S37=0,IF('Model inputs'!S37="","",'Model inputs'!S37=0))="",FALSE,IF(ISERROR('Model inputs'!S37=0),'Model inputs'!S37=0,IF('Model inputs'!S37="","",'Model inputs'!S37=0))),IF('Model inputs'!B140="","",'Model inputs'!B140),IF('Model inputs'!R72="","",'Model inputs'!R72))</f>
        <v>444.8640547193417</v>
      </c>
      <c r="T43" s="9">
        <f>IF(IF(IF(ISERROR('Model inputs'!T37=0),'Model inputs'!T37=0,IF('Model inputs'!T37="","",'Model inputs'!T37=0))="",FALSE,IF(ISERROR('Model inputs'!T37=0),'Model inputs'!T37=0,IF('Model inputs'!T37="","",'Model inputs'!T37=0))),IF('Model inputs'!B140="","",'Model inputs'!B140),IF('Model inputs'!S72="","",'Model inputs'!S72))</f>
        <v>473.8436223735132</v>
      </c>
    </row>
    <row r="44" outlineLevel="1">
      <c r="A44" t="inlineStr" s="21">
        <is>
          <t xml:space="preserve">Opening customers &gt; Launch</t>
        </is>
      </c>
      <c r="C44" s="9">
        <f>IF(IF(IF(ISERROR('Model inputs'!C37=0),'Model inputs'!C37=0,IF('Model inputs'!C37="","",'Model inputs'!C37=0))="",FALSE,IF(ISERROR('Model inputs'!C37=0),'Model inputs'!C37=0,IF('Model inputs'!C37="","",'Model inputs'!C37=0))),IF('Model inputs'!B141="","",'Model inputs'!B141),IF('Model inputs'!AG91="","",'Model inputs'!AG91))</f>
        <v>1</v>
      </c>
      <c r="D44" s="9">
        <f>IF(IF(IF(ISERROR('Model inputs'!D37=0),'Model inputs'!D37=0,IF('Model inputs'!D37="","",'Model inputs'!D37=0))="",FALSE,IF(ISERROR('Model inputs'!D37=0),'Model inputs'!D37=0,IF('Model inputs'!D37="","",'Model inputs'!D37=0))),IF('Model inputs'!B141="","",'Model inputs'!B141),IF('Model inputs'!C73="","",'Model inputs'!C73))</f>
        <v>1</v>
      </c>
      <c r="E44" s="9">
        <f>IF(IF(IF(ISERROR('Model inputs'!E37=0),'Model inputs'!E37=0,IF('Model inputs'!E37="","",'Model inputs'!E37=0))="",FALSE,IF(ISERROR('Model inputs'!E37=0),'Model inputs'!E37=0,IF('Model inputs'!E37="","",'Model inputs'!E37=0))),IF('Model inputs'!B141="","",'Model inputs'!B141),IF('Model inputs'!D73="","",'Model inputs'!D73))</f>
        <v>1.51</v>
      </c>
      <c r="F44" s="9">
        <f>IF(IF(IF(ISERROR('Model inputs'!F37=0),'Model inputs'!F37=0,IF('Model inputs'!F37="","",'Model inputs'!F37=0))="",FALSE,IF(ISERROR('Model inputs'!F37=0),'Model inputs'!F37=0,IF('Model inputs'!F37="","",'Model inputs'!F37=0))),IF('Model inputs'!B141="","",'Model inputs'!B141),IF('Model inputs'!E73="","",'Model inputs'!E73))</f>
        <v>2.025106944444444</v>
      </c>
      <c r="G44" s="9">
        <f>IF(IF(IF(ISERROR('Model inputs'!G37=0),'Model inputs'!G37=0,IF('Model inputs'!G37="","",'Model inputs'!G37=0))="",FALSE,IF(ISERROR('Model inputs'!G37=0),'Model inputs'!G37=0,IF('Model inputs'!G37="","",'Model inputs'!G37=0))),IF('Model inputs'!B141="","",'Model inputs'!B141),IF('Model inputs'!F73="","",'Model inputs'!F73))</f>
        <v>2.547012070601851</v>
      </c>
      <c r="H44" s="9">
        <f>IF(IF(IF(ISERROR('Model inputs'!H37=0),'Model inputs'!H37=0,IF('Model inputs'!H37="","",'Model inputs'!H37=0))="",FALSE,IF(ISERROR('Model inputs'!H37=0),'Model inputs'!H37=0,IF('Model inputs'!H37="","",'Model inputs'!H37=0))),IF('Model inputs'!B141="","",'Model inputs'!B141),IF('Model inputs'!G73="","",'Model inputs'!G73))</f>
        <v>3.0771044879079854</v>
      </c>
      <c r="I44" s="9">
        <f>IF(IF(IF(ISERROR('Model inputs'!I37=0),'Model inputs'!I37=0,IF('Model inputs'!I37="","",'Model inputs'!I37=0))="",FALSE,IF(ISERROR('Model inputs'!I37=0),'Model inputs'!I37=0,IF('Model inputs'!I37="","",'Model inputs'!I37=0))),IF('Model inputs'!B141="","",'Model inputs'!B141),IF('Model inputs'!H73="","",'Model inputs'!H73))</f>
        <v>3.6168582008046233</v>
      </c>
      <c r="J44" s="9">
        <f>IF(IF(IF(ISERROR('Model inputs'!J37=0),'Model inputs'!J37=0,IF('Model inputs'!J37="","",'Model inputs'!J37=0))="",FALSE,IF(ISERROR('Model inputs'!J37=0),'Model inputs'!J37=0,IF('Model inputs'!J37="","",'Model inputs'!J37=0))),IF('Model inputs'!B141="","",'Model inputs'!B141),IF('Model inputs'!I73="","",'Model inputs'!I73))</f>
        <v>4.167844494352857</v>
      </c>
      <c r="K44" s="9">
        <f>IF(IF(IF(ISERROR('Model inputs'!K37=0),'Model inputs'!K37=0,IF('Model inputs'!K37="","",'Model inputs'!K37=0))="",FALSE,IF(ISERROR('Model inputs'!K37=0),'Model inputs'!K37=0,IF('Model inputs'!K37="","",'Model inputs'!K37=0))),IF('Model inputs'!B141="","",'Model inputs'!B141),IF('Model inputs'!J73="","",'Model inputs'!J73))</f>
        <v>4.731745191609298</v>
      </c>
      <c r="L44" s="9">
        <f>IF(IF(IF(ISERROR('Model inputs'!L37=0),'Model inputs'!L37=0,IF('Model inputs'!L37="","",'Model inputs'!L37=0))="",FALSE,IF(ISERROR('Model inputs'!L37=0),'Model inputs'!L37=0,IF('Model inputs'!L37="","",'Model inputs'!L37=0))),IF('Model inputs'!B141="","",'Model inputs'!B141),IF('Model inputs'!K73="","",'Model inputs'!K73))</f>
        <v>5.310366891827144</v>
      </c>
      <c r="M44" s="9">
        <f>IF(IF(IF(ISERROR('Model inputs'!M37=0),'Model inputs'!M37=0,IF('Model inputs'!M37="","",'Model inputs'!M37=0))="",FALSE,IF(ISERROR('Model inputs'!M37=0),'Model inputs'!M37=0,IF('Model inputs'!M37="","",'Model inputs'!M37=0))),IF('Model inputs'!B141="","",'Model inputs'!B141),IF('Model inputs'!L73="","",'Model inputs'!L73))</f>
        <v>5.905656307557946</v>
      </c>
      <c r="N44" s="9">
        <f>IF(IF(IF(ISERROR('Model inputs'!N37=0),'Model inputs'!N37=0,IF('Model inputs'!N37="","",'Model inputs'!N37=0))="",FALSE,IF(ISERROR('Model inputs'!N37=0),'Model inputs'!N37=0,IF('Model inputs'!N37="","",'Model inputs'!N37=0))),IF('Model inputs'!B141="","",'Model inputs'!B141),IF('Model inputs'!M73="","",'Model inputs'!M73))</f>
        <v>6.51825529091976</v>
      </c>
      <c r="O44" s="9">
        <f>IF(IF(IF(ISERROR('Model inputs'!O37=0),'Model inputs'!O37=0,IF('Model inputs'!O37="","",'Model inputs'!O37=0))="",FALSE,IF(ISERROR('Model inputs'!O37=0),'Model inputs'!O37=0,IF('Model inputs'!O37="","",'Model inputs'!O37=0))),IF('Model inputs'!B141="","",'Model inputs'!B141),IF('Model inputs'!N73="","",'Model inputs'!N73))</f>
        <v>7.148799939122187</v>
      </c>
      <c r="P44" s="9">
        <f>IF(IF(IF(ISERROR('Model inputs'!P37=0),'Model inputs'!P37=0,IF('Model inputs'!P37="","",'Model inputs'!P37=0))="",FALSE,IF(ISERROR('Model inputs'!P37=0),'Model inputs'!P37=0,IF('Model inputs'!P37="","",'Model inputs'!P37=0))),IF('Model inputs'!B141="","",'Model inputs'!B141),IF('Model inputs'!O73="","",'Model inputs'!O73))</f>
        <v>7.797924320310828</v>
      </c>
      <c r="Q44" s="9">
        <f>IF(IF(IF(ISERROR('Model inputs'!Q37=0),'Model inputs'!Q37=0,IF('Model inputs'!Q37="","",'Model inputs'!Q37=0))="",FALSE,IF(ISERROR('Model inputs'!Q37=0),'Model inputs'!Q37=0,IF('Model inputs'!Q37="","",'Model inputs'!Q37=0))),IF('Model inputs'!B141="","",'Model inputs'!B141),IF('Model inputs'!P73="","",'Model inputs'!P73))</f>
        <v>8.466264010178019</v>
      </c>
      <c r="R44" s="9">
        <f>IF(IF(IF(ISERROR('Model inputs'!R37=0),'Model inputs'!R37=0,IF('Model inputs'!R37="","",'Model inputs'!R37=0))="",FALSE,IF(ISERROR('Model inputs'!R37=0),'Model inputs'!R37=0,IF('Model inputs'!R37="","",'Model inputs'!R37=0))),IF('Model inputs'!B141="","",'Model inputs'!B141),IF('Model inputs'!Q73="","",'Model inputs'!Q73))</f>
        <v>9.154459457032457</v>
      </c>
      <c r="S44" s="9">
        <f>IF(IF(IF(ISERROR('Model inputs'!S37=0),'Model inputs'!S37=0,IF('Model inputs'!S37="","",'Model inputs'!S37=0))="",FALSE,IF(ISERROR('Model inputs'!S37=0),'Model inputs'!S37=0,IF('Model inputs'!S37="","",'Model inputs'!S37=0))),IF('Model inputs'!B141="","",'Model inputs'!B141),IF('Model inputs'!R73="","",'Model inputs'!R73))</f>
        <v>9.86315919194885</v>
      </c>
      <c r="T44" s="9">
        <f>IF(IF(IF(ISERROR('Model inputs'!T37=0),'Model inputs'!T37=0,IF('Model inputs'!T37="","",'Model inputs'!T37=0))="",FALSE,IF(ISERROR('Model inputs'!T37=0),'Model inputs'!T37=0,IF('Model inputs'!T37="","",'Model inputs'!T37=0))),IF('Model inputs'!B141="","",'Model inputs'!B141),IF('Model inputs'!S73="","",'Model inputs'!S73))</f>
        <v>10.59302289962623</v>
      </c>
    </row>
    <row r="45" outlineLevel="1">
      <c r="A45" t="inlineStr" s="21">
        <is>
          <t xml:space="preserve">Opening customers &gt; Team</t>
        </is>
      </c>
      <c r="C45" s="9">
        <f>IF(IF(IF(ISERROR('Model inputs'!C37=0),'Model inputs'!C37=0,IF('Model inputs'!C37="","",'Model inputs'!C37=0))="",FALSE,IF(ISERROR('Model inputs'!C37=0),'Model inputs'!C37=0,IF('Model inputs'!C37="","",'Model inputs'!C37=0))),IF('Model inputs'!B142="","",'Model inputs'!B142),IF('Model inputs'!AG92="","",'Model inputs'!AG92))</f>
        <v>6</v>
      </c>
      <c r="D45" s="9">
        <f>IF(IF(IF(ISERROR('Model inputs'!D37=0),'Model inputs'!D37=0,IF('Model inputs'!D37="","",'Model inputs'!D37=0))="",FALSE,IF(ISERROR('Model inputs'!D37=0),'Model inputs'!D37=0,IF('Model inputs'!D37="","",'Model inputs'!D37=0))),IF('Model inputs'!B142="","",'Model inputs'!B142),IF('Model inputs'!C74="","",'Model inputs'!C74))</f>
        <v>6</v>
      </c>
      <c r="E45" s="9">
        <f>IF(IF(IF(ISERROR('Model inputs'!E37=0),'Model inputs'!E37=0,IF('Model inputs'!E37="","",'Model inputs'!E37=0))="",FALSE,IF(ISERROR('Model inputs'!E37=0),'Model inputs'!E37=0,IF('Model inputs'!E37="","",'Model inputs'!E37=0))),IF('Model inputs'!B142="","",'Model inputs'!B142),IF('Model inputs'!D74="","",'Model inputs'!D74))</f>
        <v>9.061666666666667</v>
      </c>
      <c r="F45" s="9">
        <f>IF(IF(IF(ISERROR('Model inputs'!F37=0),'Model inputs'!F37=0,IF('Model inputs'!F37="","",'Model inputs'!F37=0))="",FALSE,IF(ISERROR('Model inputs'!F37=0),'Model inputs'!F37=0,IF('Model inputs'!F37="","",'Model inputs'!F37=0))),IF('Model inputs'!B142="","",'Model inputs'!B142),IF('Model inputs'!E74="","",'Model inputs'!E74))</f>
        <v>12.547615277777778</v>
      </c>
      <c r="G45" s="9">
        <f>IF(IF(IF(ISERROR('Model inputs'!G37=0),'Model inputs'!G37=0,IF('Model inputs'!G37="","",'Model inputs'!G37=0))="",FALSE,IF(ISERROR('Model inputs'!G37=0),'Model inputs'!G37=0,IF('Model inputs'!G37="","",'Model inputs'!G37=0))),IF('Model inputs'!B142="","",'Model inputs'!B142),IF('Model inputs'!F74="","",'Model inputs'!F74))</f>
        <v>16.391423607638888</v>
      </c>
      <c r="H45" s="9">
        <f>IF(IF(IF(ISERROR('Model inputs'!H37=0),'Model inputs'!H37=0,IF('Model inputs'!H37="","",'Model inputs'!H37=0))="",FALSE,IF(ISERROR('Model inputs'!H37=0),'Model inputs'!H37=0,IF('Model inputs'!H37="","",'Model inputs'!H37=0))),IF('Model inputs'!B142="","",'Model inputs'!B142),IF('Model inputs'!G74="","",'Model inputs'!G74))</f>
        <v>20.618467251661844</v>
      </c>
      <c r="I45" s="9">
        <f>IF(IF(IF(ISERROR('Model inputs'!I37=0),'Model inputs'!I37=0,IF('Model inputs'!I37="","",'Model inputs'!I37=0))="",FALSE,IF(ISERROR('Model inputs'!I37=0),'Model inputs'!I37=0,IF('Model inputs'!I37="","",'Model inputs'!I37=0))),IF('Model inputs'!B142="","",'Model inputs'!B142),IF('Model inputs'!H74="","",'Model inputs'!H74))</f>
        <v>25.257399974472865</v>
      </c>
      <c r="J45" s="9">
        <f>IF(IF(IF(ISERROR('Model inputs'!J37=0),'Model inputs'!J37=0,IF('Model inputs'!J37="","",'Model inputs'!J37=0))="",FALSE,IF(ISERROR('Model inputs'!J37=0),'Model inputs'!J37=0,IF('Model inputs'!J37="","",'Model inputs'!J37=0))),IF('Model inputs'!B142="","",'Model inputs'!B142),IF('Model inputs'!I74="","",'Model inputs'!I74))</f>
        <v>30.3404075212161</v>
      </c>
      <c r="K45" s="9">
        <f>IF(IF(IF(ISERROR('Model inputs'!K37=0),'Model inputs'!K37=0,IF('Model inputs'!K37="","",'Model inputs'!K37=0))="",FALSE,IF(ISERROR('Model inputs'!K37=0),'Model inputs'!K37=0,IF('Model inputs'!K37="","",'Model inputs'!K37=0))),IF('Model inputs'!B142="","",'Model inputs'!B142),IF('Model inputs'!J74="","",'Model inputs'!J74))</f>
        <v>35.90349074207642</v>
      </c>
      <c r="L45" s="9">
        <f>IF(IF(IF(ISERROR('Model inputs'!L37=0),'Model inputs'!L37=0,IF('Model inputs'!L37="","",'Model inputs'!L37=0))="",FALSE,IF(ISERROR('Model inputs'!L37=0),'Model inputs'!L37=0,IF('Model inputs'!L37="","",'Model inputs'!L37=0))),IF('Model inputs'!B142="","",'Model inputs'!B142),IF('Model inputs'!K74="","",'Model inputs'!K74))</f>
        <v>41.986780585970116</v>
      </c>
      <c r="M45" s="9">
        <f>IF(IF(IF(ISERROR('Model inputs'!M37=0),'Model inputs'!M37=0,IF('Model inputs'!M37="","",'Model inputs'!M37=0))="",FALSE,IF(ISERROR('Model inputs'!M37=0),'Model inputs'!M37=0,IF('Model inputs'!M37="","",'Model inputs'!M37=0))),IF('Model inputs'!B142="","",'Model inputs'!B142),IF('Model inputs'!L74="","",'Model inputs'!L74))</f>
        <v>48.284118714044176</v>
      </c>
      <c r="N45" s="9">
        <f>IF(IF(IF(ISERROR('Model inputs'!N37=0),'Model inputs'!N37=0,IF('Model inputs'!N37="","",'Model inputs'!N37=0))="",FALSE,IF(ISERROR('Model inputs'!N37=0),'Model inputs'!N37=0,IF('Model inputs'!N37="","",'Model inputs'!N37=0))),IF('Model inputs'!B142="","",'Model inputs'!B142),IF('Model inputs'!M74="","",'Model inputs'!M74))</f>
        <v>54.79643461589339</v>
      </c>
      <c r="O45" s="9">
        <f>IF(IF(IF(ISERROR('Model inputs'!O37=0),'Model inputs'!O37=0,IF('Model inputs'!O37="","",'Model inputs'!O37=0))="",FALSE,IF(ISERROR('Model inputs'!O37=0),'Model inputs'!O37=0,IF('Model inputs'!O37="","",'Model inputs'!O37=0))),IF('Model inputs'!B142="","",'Model inputs'!B142),IF('Model inputs'!N74="","",'Model inputs'!N74))</f>
        <v>61.52553126611357</v>
      </c>
      <c r="P45" s="9">
        <f>IF(IF(IF(ISERROR('Model inputs'!P37=0),'Model inputs'!P37=0,IF('Model inputs'!P37="","",'Model inputs'!P37=0))="",FALSE,IF(ISERROR('Model inputs'!P37=0),'Model inputs'!P37=0,IF('Model inputs'!P37="","",'Model inputs'!P37=0))),IF('Model inputs'!B142="","",'Model inputs'!B142),IF('Model inputs'!O74="","",'Model inputs'!O74))</f>
        <v>68.47405312124489</v>
      </c>
      <c r="Q45" s="9">
        <f>IF(IF(IF(ISERROR('Model inputs'!Q37=0),'Model inputs'!Q37=0,IF('Model inputs'!Q37="","",'Model inputs'!Q37=0))="",FALSE,IF(ISERROR('Model inputs'!Q37=0),'Model inputs'!Q37=0,IF('Model inputs'!Q37="","",'Model inputs'!Q37=0))),IF('Model inputs'!B142="","",'Model inputs'!B142),IF('Model inputs'!P74="","",'Model inputs'!P74))</f>
        <v>75.64545768170619</v>
      </c>
      <c r="R45" s="9">
        <f>IF(IF(IF(ISERROR('Model inputs'!R37=0),'Model inputs'!R37=0,IF('Model inputs'!R37="","",'Model inputs'!R37=0))="",FALSE,IF(ISERROR('Model inputs'!R37=0),'Model inputs'!R37=0,IF('Model inputs'!R37="","",'Model inputs'!R37=0))),IF('Model inputs'!B142="","",'Model inputs'!B142),IF('Model inputs'!Q74="","",'Model inputs'!Q74))</f>
        <v>83.04399042525094</v>
      </c>
      <c r="S45" s="9">
        <f>IF(IF(IF(ISERROR('Model inputs'!S37=0),'Model inputs'!S37=0,IF('Model inputs'!S37="","",'Model inputs'!S37=0))="",FALSE,IF(ISERROR('Model inputs'!S37=0),'Model inputs'!S37=0,IF('Model inputs'!S37="","",'Model inputs'!S37=0))),IF('Model inputs'!B142="","",'Model inputs'!B142),IF('Model inputs'!R74="","",'Model inputs'!R74))</f>
        <v>90.67466293358764</v>
      </c>
      <c r="T45" s="9">
        <f>IF(IF(IF(ISERROR('Model inputs'!T37=0),'Model inputs'!T37=0,IF('Model inputs'!T37="","",'Model inputs'!T37=0))="",FALSE,IF(ISERROR('Model inputs'!T37=0),'Model inputs'!T37=0,IF('Model inputs'!T37="","",'Model inputs'!T37=0))),IF('Model inputs'!B142="","",'Model inputs'!B142),IF('Model inputs'!S74="","",'Model inputs'!S74))</f>
        <v>98.54323404798558</v>
      </c>
    </row>
    <row r="46">
      <c r="A46" t="inlineStr" s="20">
        <is>
          <t xml:space="preserve">Optimized COGS per kit</t>
        </is>
      </c>
      <c r="B46" s="11">
        <f>0.16</f>
        <v>0.16</v>
      </c>
    </row>
    <row r="47">
      <c r="A47" t="inlineStr" s="20">
        <is>
          <t xml:space="preserve">Organic new logos</t>
        </is>
      </c>
      <c r="C47" s="7">
        <f>SUM('Model inputs'!C48,'Model inputs'!C49,'Model inputs'!C50)</f>
        <v>0</v>
      </c>
      <c r="D47" s="7">
        <f>SUM('Model inputs'!D48,'Model inputs'!D49,'Model inputs'!D50)</f>
        <v>28.5</v>
      </c>
      <c r="E47" s="7">
        <f>SUM('Model inputs'!E48,'Model inputs'!E49,'Model inputs'!E50)</f>
        <v>30.8</v>
      </c>
      <c r="F47" s="7">
        <f>SUM('Model inputs'!F48,'Model inputs'!F49,'Model inputs'!F50)</f>
        <v>33.290000000000006</v>
      </c>
      <c r="G47" s="7">
        <f>SUM('Model inputs'!G48,'Model inputs'!G49,'Model inputs'!G50)</f>
        <v>35.985800000000005</v>
      </c>
      <c r="H47" s="7">
        <f>SUM('Model inputs'!H48,'Model inputs'!H49,'Model inputs'!H50)</f>
        <v>38.90452400000001</v>
      </c>
      <c r="I47" s="7">
        <f>SUM('Model inputs'!I48,'Model inputs'!I49,'Model inputs'!I50)</f>
        <v>42.064731920000014</v>
      </c>
      <c r="J47" s="7">
        <f>SUM('Model inputs'!J48,'Model inputs'!J49,'Model inputs'!J50)</f>
        <v>45.486541073600016</v>
      </c>
      <c r="K47" s="7">
        <f>SUM('Model inputs'!K48,'Model inputs'!K49,'Model inputs'!K50)</f>
        <v>49.19175801948802</v>
      </c>
      <c r="L47" s="7">
        <f>SUM('Model inputs'!L48,'Model inputs'!L49,'Model inputs'!L50)</f>
        <v>51.13942834026755</v>
      </c>
      <c r="M47" s="7">
        <f>SUM('Model inputs'!M48,'Model inputs'!M49,'Model inputs'!M50)</f>
        <v>53.16500547387825</v>
      </c>
      <c r="N47" s="7">
        <f>SUM('Model inputs'!N48,'Model inputs'!N49,'Model inputs'!N50)</f>
        <v>55.27160569283338</v>
      </c>
      <c r="O47" s="7">
        <f>SUM('Model inputs'!O48,'Model inputs'!O49,'Model inputs'!O50)</f>
        <v>57.462469920546724</v>
      </c>
      <c r="P47" s="7">
        <f>SUM('Model inputs'!P48,'Model inputs'!P49,'Model inputs'!P50)</f>
        <v>59.740968717368595</v>
      </c>
      <c r="Q47" s="7">
        <f>SUM('Model inputs'!Q48,'Model inputs'!Q49,'Model inputs'!Q50)</f>
        <v>62.11060746606334</v>
      </c>
      <c r="R47" s="7">
        <f>SUM('Model inputs'!R48,'Model inputs'!R49,'Model inputs'!R50)</f>
        <v>64.57503176470587</v>
      </c>
      <c r="S47" s="7">
        <f>SUM('Model inputs'!S48,'Model inputs'!S49,'Model inputs'!S50)</f>
        <v>67.13803303529411</v>
      </c>
      <c r="T47" s="7">
        <f>SUM('Model inputs'!T48,'Model inputs'!T49,'Model inputs'!T50)</f>
        <v>69.80355435670587</v>
      </c>
    </row>
    <row r="48" outlineLevel="1">
      <c r="A48" t="inlineStr" s="21">
        <is>
          <t xml:space="preserve">Organic new logos &gt; Indie</t>
        </is>
      </c>
      <c r="C48" s="9">
        <f>IF(IF(IF(ISERROR('Model inputs'!C37&lt;1),'Model inputs'!C37&lt;1,IF('Model inputs'!C37="","",'Model inputs'!C37&lt;1))="",FALSE,IF(ISERROR('Model inputs'!C37&lt;1),'Model inputs'!C37&lt;1,IF('Model inputs'!C37="","",'Model inputs'!C37&lt;1))),0,IF(IF(IF(ISERROR('Model inputs'!C37=1),'Model inputs'!C37=1,IF('Model inputs'!C37="","",'Model inputs'!C37=1))="",FALSE,IF(ISERROR('Model inputs'!C37=1),'Model inputs'!C37=1,IF('Model inputs'!C37="","",'Model inputs'!C37=1))),IF('Model inputs'!B119="","",'Model inputs'!B119),'Model inputs'!AG127*(1+IF(IF(IF(IF(ISERROR('Model inputs'!C37&lt;=8),'Model inputs'!C37&lt;=8,IF('Model inputs'!C37="","",'Model inputs'!C37&lt;=8))="",FALSE,IF(ISERROR('Model inputs'!C37&lt;=8),'Model inputs'!C37&lt;=8,IF('Model inputs'!C37="","",'Model inputs'!C37&lt;=8))),IF('Model inputs'!B109="","",'Model inputs'!B109),IF('Model inputs'!B105="","",'Model inputs'!B105))="",0,IF(IF(IF(ISERROR('Model inputs'!C37&lt;=8),'Model inputs'!C37&lt;=8,IF('Model inputs'!C37="","",'Model inputs'!C37&lt;=8))="",FALSE,IF(ISERROR('Model inputs'!C37&lt;=8),'Model inputs'!C37&lt;=8,IF('Model inputs'!C37="","",'Model inputs'!C37&lt;=8))),IF('Model inputs'!B109="","",'Model inputs'!B109),IF('Model inputs'!B105="","",'Model inputs'!B105))))))</f>
        <v>0</v>
      </c>
      <c r="D48" s="9">
        <f>IF(IF(IF(ISERROR('Model inputs'!D37&lt;1),'Model inputs'!D37&lt;1,IF('Model inputs'!D37="","",'Model inputs'!D37&lt;1))="",FALSE,IF(ISERROR('Model inputs'!D37&lt;1),'Model inputs'!D37&lt;1,IF('Model inputs'!D37="","",'Model inputs'!D37&lt;1))),0,IF(IF(IF(ISERROR('Model inputs'!D37=1),'Model inputs'!D37=1,IF('Model inputs'!D37="","",'Model inputs'!D37=1))="",FALSE,IF(ISERROR('Model inputs'!D37=1),'Model inputs'!D37=1,IF('Model inputs'!D37="","",'Model inputs'!D37=1))),IF('Model inputs'!B119="","",'Model inputs'!B119),'Model inputs'!C48*(1+IF(IF(IF(IF(ISERROR('Model inputs'!D37&lt;=8),'Model inputs'!D37&lt;=8,IF('Model inputs'!D37="","",'Model inputs'!D37&lt;=8))="",FALSE,IF(ISERROR('Model inputs'!D37&lt;=8),'Model inputs'!D37&lt;=8,IF('Model inputs'!D37="","",'Model inputs'!D37&lt;=8))),IF('Model inputs'!B109="","",'Model inputs'!B109),IF('Model inputs'!B105="","",'Model inputs'!B105))="",0,IF(IF(IF(ISERROR('Model inputs'!D37&lt;=8),'Model inputs'!D37&lt;=8,IF('Model inputs'!D37="","",'Model inputs'!D37&lt;=8))="",FALSE,IF(ISERROR('Model inputs'!D37&lt;=8),'Model inputs'!D37&lt;=8,IF('Model inputs'!D37="","",'Model inputs'!D37&lt;=8))),IF('Model inputs'!B109="","",'Model inputs'!B109),IF('Model inputs'!B105="","",'Model inputs'!B105))))))</f>
        <v>25</v>
      </c>
      <c r="E48" s="9">
        <f>IF(IF(IF(ISERROR('Model inputs'!E37&lt;1),'Model inputs'!E37&lt;1,IF('Model inputs'!E37="","",'Model inputs'!E37&lt;1))="",FALSE,IF(ISERROR('Model inputs'!E37&lt;1),'Model inputs'!E37&lt;1,IF('Model inputs'!E37="","",'Model inputs'!E37&lt;1))),0,IF(IF(IF(ISERROR('Model inputs'!E37=1),'Model inputs'!E37=1,IF('Model inputs'!E37="","",'Model inputs'!E37=1))="",FALSE,IF(ISERROR('Model inputs'!E37=1),'Model inputs'!E37=1,IF('Model inputs'!E37="","",'Model inputs'!E37=1))),IF('Model inputs'!B119="","",'Model inputs'!B119),'Model inputs'!D48*(1+IF(IF(IF(IF(ISERROR('Model inputs'!E37&lt;=8),'Model inputs'!E37&lt;=8,IF('Model inputs'!E37="","",'Model inputs'!E37&lt;=8))="",FALSE,IF(ISERROR('Model inputs'!E37&lt;=8),'Model inputs'!E37&lt;=8,IF('Model inputs'!E37="","",'Model inputs'!E37&lt;=8))),IF('Model inputs'!B109="","",'Model inputs'!B109),IF('Model inputs'!B105="","",'Model inputs'!B105))="",0,IF(IF(IF(ISERROR('Model inputs'!E37&lt;=8),'Model inputs'!E37&lt;=8,IF('Model inputs'!E37="","",'Model inputs'!E37&lt;=8))="",FALSE,IF(ISERROR('Model inputs'!E37&lt;=8),'Model inputs'!E37&lt;=8,IF('Model inputs'!E37="","",'Model inputs'!E37&lt;=8))),IF('Model inputs'!B109="","",'Model inputs'!B109),IF('Model inputs'!B105="","",'Model inputs'!B105))))))</f>
        <v>27</v>
      </c>
      <c r="F48" s="9">
        <f>IF(IF(IF(ISERROR('Model inputs'!F37&lt;1),'Model inputs'!F37&lt;1,IF('Model inputs'!F37="","",'Model inputs'!F37&lt;1))="",FALSE,IF(ISERROR('Model inputs'!F37&lt;1),'Model inputs'!F37&lt;1,IF('Model inputs'!F37="","",'Model inputs'!F37&lt;1))),0,IF(IF(IF(ISERROR('Model inputs'!F37=1),'Model inputs'!F37=1,IF('Model inputs'!F37="","",'Model inputs'!F37=1))="",FALSE,IF(ISERROR('Model inputs'!F37=1),'Model inputs'!F37=1,IF('Model inputs'!F37="","",'Model inputs'!F37=1))),IF('Model inputs'!B119="","",'Model inputs'!B119),'Model inputs'!E48*(1+IF(IF(IF(IF(ISERROR('Model inputs'!F37&lt;=8),'Model inputs'!F37&lt;=8,IF('Model inputs'!F37="","",'Model inputs'!F37&lt;=8))="",FALSE,IF(ISERROR('Model inputs'!F37&lt;=8),'Model inputs'!F37&lt;=8,IF('Model inputs'!F37="","",'Model inputs'!F37&lt;=8))),IF('Model inputs'!B109="","",'Model inputs'!B109),IF('Model inputs'!B105="","",'Model inputs'!B105))="",0,IF(IF(IF(ISERROR('Model inputs'!F37&lt;=8),'Model inputs'!F37&lt;=8,IF('Model inputs'!F37="","",'Model inputs'!F37&lt;=8))="",FALSE,IF(ISERROR('Model inputs'!F37&lt;=8),'Model inputs'!F37&lt;=8,IF('Model inputs'!F37="","",'Model inputs'!F37&lt;=8))),IF('Model inputs'!B109="","",'Model inputs'!B109),IF('Model inputs'!B105="","",'Model inputs'!B105))))))</f>
        <v>29.160000000000004</v>
      </c>
      <c r="G48" s="9">
        <f>IF(IF(IF(ISERROR('Model inputs'!G37&lt;1),'Model inputs'!G37&lt;1,IF('Model inputs'!G37="","",'Model inputs'!G37&lt;1))="",FALSE,IF(ISERROR('Model inputs'!G37&lt;1),'Model inputs'!G37&lt;1,IF('Model inputs'!G37="","",'Model inputs'!G37&lt;1))),0,IF(IF(IF(ISERROR('Model inputs'!G37=1),'Model inputs'!G37=1,IF('Model inputs'!G37="","",'Model inputs'!G37=1))="",FALSE,IF(ISERROR('Model inputs'!G37=1),'Model inputs'!G37=1,IF('Model inputs'!G37="","",'Model inputs'!G37=1))),IF('Model inputs'!B119="","",'Model inputs'!B119),'Model inputs'!F48*(1+IF(IF(IF(IF(ISERROR('Model inputs'!G37&lt;=8),'Model inputs'!G37&lt;=8,IF('Model inputs'!G37="","",'Model inputs'!G37&lt;=8))="",FALSE,IF(ISERROR('Model inputs'!G37&lt;=8),'Model inputs'!G37&lt;=8,IF('Model inputs'!G37="","",'Model inputs'!G37&lt;=8))),IF('Model inputs'!B109="","",'Model inputs'!B109),IF('Model inputs'!B105="","",'Model inputs'!B105))="",0,IF(IF(IF(ISERROR('Model inputs'!G37&lt;=8),'Model inputs'!G37&lt;=8,IF('Model inputs'!G37="","",'Model inputs'!G37&lt;=8))="",FALSE,IF(ISERROR('Model inputs'!G37&lt;=8),'Model inputs'!G37&lt;=8,IF('Model inputs'!G37="","",'Model inputs'!G37&lt;=8))),IF('Model inputs'!B109="","",'Model inputs'!B109),IF('Model inputs'!B105="","",'Model inputs'!B105))))))</f>
        <v>31.492800000000006</v>
      </c>
      <c r="H48" s="9">
        <f>IF(IF(IF(ISERROR('Model inputs'!H37&lt;1),'Model inputs'!H37&lt;1,IF('Model inputs'!H37="","",'Model inputs'!H37&lt;1))="",FALSE,IF(ISERROR('Model inputs'!H37&lt;1),'Model inputs'!H37&lt;1,IF('Model inputs'!H37="","",'Model inputs'!H37&lt;1))),0,IF(IF(IF(ISERROR('Model inputs'!H37=1),'Model inputs'!H37=1,IF('Model inputs'!H37="","",'Model inputs'!H37=1))="",FALSE,IF(ISERROR('Model inputs'!H37=1),'Model inputs'!H37=1,IF('Model inputs'!H37="","",'Model inputs'!H37=1))),IF('Model inputs'!B119="","",'Model inputs'!B119),'Model inputs'!G48*(1+IF(IF(IF(IF(ISERROR('Model inputs'!H37&lt;=8),'Model inputs'!H37&lt;=8,IF('Model inputs'!H37="","",'Model inputs'!H37&lt;=8))="",FALSE,IF(ISERROR('Model inputs'!H37&lt;=8),'Model inputs'!H37&lt;=8,IF('Model inputs'!H37="","",'Model inputs'!H37&lt;=8))),IF('Model inputs'!B109="","",'Model inputs'!B109),IF('Model inputs'!B105="","",'Model inputs'!B105))="",0,IF(IF(IF(ISERROR('Model inputs'!H37&lt;=8),'Model inputs'!H37&lt;=8,IF('Model inputs'!H37="","",'Model inputs'!H37&lt;=8))="",FALSE,IF(ISERROR('Model inputs'!H37&lt;=8),'Model inputs'!H37&lt;=8,IF('Model inputs'!H37="","",'Model inputs'!H37&lt;=8))),IF('Model inputs'!B109="","",'Model inputs'!B109),IF('Model inputs'!B105="","",'Model inputs'!B105))))))</f>
        <v>34.01222400000001</v>
      </c>
      <c r="I48" s="9">
        <f>IF(IF(IF(ISERROR('Model inputs'!I37&lt;1),'Model inputs'!I37&lt;1,IF('Model inputs'!I37="","",'Model inputs'!I37&lt;1))="",FALSE,IF(ISERROR('Model inputs'!I37&lt;1),'Model inputs'!I37&lt;1,IF('Model inputs'!I37="","",'Model inputs'!I37&lt;1))),0,IF(IF(IF(ISERROR('Model inputs'!I37=1),'Model inputs'!I37=1,IF('Model inputs'!I37="","",'Model inputs'!I37=1))="",FALSE,IF(ISERROR('Model inputs'!I37=1),'Model inputs'!I37=1,IF('Model inputs'!I37="","",'Model inputs'!I37=1))),IF('Model inputs'!B119="","",'Model inputs'!B119),'Model inputs'!H48*(1+IF(IF(IF(IF(ISERROR('Model inputs'!I37&lt;=8),'Model inputs'!I37&lt;=8,IF('Model inputs'!I37="","",'Model inputs'!I37&lt;=8))="",FALSE,IF(ISERROR('Model inputs'!I37&lt;=8),'Model inputs'!I37&lt;=8,IF('Model inputs'!I37="","",'Model inputs'!I37&lt;=8))),IF('Model inputs'!B109="","",'Model inputs'!B109),IF('Model inputs'!B105="","",'Model inputs'!B105))="",0,IF(IF(IF(ISERROR('Model inputs'!I37&lt;=8),'Model inputs'!I37&lt;=8,IF('Model inputs'!I37="","",'Model inputs'!I37&lt;=8))="",FALSE,IF(ISERROR('Model inputs'!I37&lt;=8),'Model inputs'!I37&lt;=8,IF('Model inputs'!I37="","",'Model inputs'!I37&lt;=8))),IF('Model inputs'!B109="","",'Model inputs'!B109),IF('Model inputs'!B105="","",'Model inputs'!B105))))))</f>
        <v>36.73320192000001</v>
      </c>
      <c r="J48" s="9">
        <f>IF(IF(IF(ISERROR('Model inputs'!J37&lt;1),'Model inputs'!J37&lt;1,IF('Model inputs'!J37="","",'Model inputs'!J37&lt;1))="",FALSE,IF(ISERROR('Model inputs'!J37&lt;1),'Model inputs'!J37&lt;1,IF('Model inputs'!J37="","",'Model inputs'!J37&lt;1))),0,IF(IF(IF(ISERROR('Model inputs'!J37=1),'Model inputs'!J37=1,IF('Model inputs'!J37="","",'Model inputs'!J37=1))="",FALSE,IF(ISERROR('Model inputs'!J37=1),'Model inputs'!J37=1,IF('Model inputs'!J37="","",'Model inputs'!J37=1))),IF('Model inputs'!B119="","",'Model inputs'!B119),'Model inputs'!I48*(1+IF(IF(IF(IF(ISERROR('Model inputs'!J37&lt;=8),'Model inputs'!J37&lt;=8,IF('Model inputs'!J37="","",'Model inputs'!J37&lt;=8))="",FALSE,IF(ISERROR('Model inputs'!J37&lt;=8),'Model inputs'!J37&lt;=8,IF('Model inputs'!J37="","",'Model inputs'!J37&lt;=8))),IF('Model inputs'!B109="","",'Model inputs'!B109),IF('Model inputs'!B105="","",'Model inputs'!B105))="",0,IF(IF(IF(ISERROR('Model inputs'!J37&lt;=8),'Model inputs'!J37&lt;=8,IF('Model inputs'!J37="","",'Model inputs'!J37&lt;=8))="",FALSE,IF(ISERROR('Model inputs'!J37&lt;=8),'Model inputs'!J37&lt;=8,IF('Model inputs'!J37="","",'Model inputs'!J37&lt;=8))),IF('Model inputs'!B109="","",'Model inputs'!B109),IF('Model inputs'!B105="","",'Model inputs'!B105))))))</f>
        <v>39.67185807360001</v>
      </c>
      <c r="K48" s="9">
        <f>IF(IF(IF(ISERROR('Model inputs'!K37&lt;1),'Model inputs'!K37&lt;1,IF('Model inputs'!K37="","",'Model inputs'!K37&lt;1))="",FALSE,IF(ISERROR('Model inputs'!K37&lt;1),'Model inputs'!K37&lt;1,IF('Model inputs'!K37="","",'Model inputs'!K37&lt;1))),0,IF(IF(IF(ISERROR('Model inputs'!K37=1),'Model inputs'!K37=1,IF('Model inputs'!K37="","",'Model inputs'!K37=1))="",FALSE,IF(ISERROR('Model inputs'!K37=1),'Model inputs'!K37=1,IF('Model inputs'!K37="","",'Model inputs'!K37=1))),IF('Model inputs'!B119="","",'Model inputs'!B119),'Model inputs'!J48*(1+IF(IF(IF(IF(ISERROR('Model inputs'!K37&lt;=8),'Model inputs'!K37&lt;=8,IF('Model inputs'!K37="","",'Model inputs'!K37&lt;=8))="",FALSE,IF(ISERROR('Model inputs'!K37&lt;=8),'Model inputs'!K37&lt;=8,IF('Model inputs'!K37="","",'Model inputs'!K37&lt;=8))),IF('Model inputs'!B109="","",'Model inputs'!B109),IF('Model inputs'!B105="","",'Model inputs'!B105))="",0,IF(IF(IF(ISERROR('Model inputs'!K37&lt;=8),'Model inputs'!K37&lt;=8,IF('Model inputs'!K37="","",'Model inputs'!K37&lt;=8))="",FALSE,IF(ISERROR('Model inputs'!K37&lt;=8),'Model inputs'!K37&lt;=8,IF('Model inputs'!K37="","",'Model inputs'!K37&lt;=8))),IF('Model inputs'!B109="","",'Model inputs'!B109),IF('Model inputs'!B105="","",'Model inputs'!B105))))))</f>
        <v>42.84560671948802</v>
      </c>
      <c r="L48" s="9">
        <f>IF(IF(IF(ISERROR('Model inputs'!L37&lt;1),'Model inputs'!L37&lt;1,IF('Model inputs'!L37="","",'Model inputs'!L37&lt;1))="",FALSE,IF(ISERROR('Model inputs'!L37&lt;1),'Model inputs'!L37&lt;1,IF('Model inputs'!L37="","",'Model inputs'!L37&lt;1))),0,IF(IF(IF(ISERROR('Model inputs'!L37=1),'Model inputs'!L37=1,IF('Model inputs'!L37="","",'Model inputs'!L37=1))="",FALSE,IF(ISERROR('Model inputs'!L37=1),'Model inputs'!L37=1,IF('Model inputs'!L37="","",'Model inputs'!L37=1))),IF('Model inputs'!B119="","",'Model inputs'!B119),'Model inputs'!K48*(1+IF(IF(IF(IF(ISERROR('Model inputs'!L37&lt;=8),'Model inputs'!L37&lt;=8,IF('Model inputs'!L37="","",'Model inputs'!L37&lt;=8))="",FALSE,IF(ISERROR('Model inputs'!L37&lt;=8),'Model inputs'!L37&lt;=8,IF('Model inputs'!L37="","",'Model inputs'!L37&lt;=8))),IF('Model inputs'!B109="","",'Model inputs'!B109),IF('Model inputs'!B105="","",'Model inputs'!B105))="",0,IF(IF(IF(ISERROR('Model inputs'!L37&lt;=8),'Model inputs'!L37&lt;=8,IF('Model inputs'!L37="","",'Model inputs'!L37&lt;=8))="",FALSE,IF(ISERROR('Model inputs'!L37&lt;=8),'Model inputs'!L37&lt;=8,IF('Model inputs'!L37="","",'Model inputs'!L37&lt;=8))),IF('Model inputs'!B109="","",'Model inputs'!B109),IF('Model inputs'!B105="","",'Model inputs'!B105))))))</f>
        <v>44.55943098826754</v>
      </c>
      <c r="M48" s="9">
        <f>IF(IF(IF(ISERROR('Model inputs'!M37&lt;1),'Model inputs'!M37&lt;1,IF('Model inputs'!M37="","",'Model inputs'!M37&lt;1))="",FALSE,IF(ISERROR('Model inputs'!M37&lt;1),'Model inputs'!M37&lt;1,IF('Model inputs'!M37="","",'Model inputs'!M37&lt;1))),0,IF(IF(IF(ISERROR('Model inputs'!M37=1),'Model inputs'!M37=1,IF('Model inputs'!M37="","",'Model inputs'!M37=1))="",FALSE,IF(ISERROR('Model inputs'!M37=1),'Model inputs'!M37=1,IF('Model inputs'!M37="","",'Model inputs'!M37=1))),IF('Model inputs'!B119="","",'Model inputs'!B119),'Model inputs'!L48*(1+IF(IF(IF(IF(ISERROR('Model inputs'!M37&lt;=8),'Model inputs'!M37&lt;=8,IF('Model inputs'!M37="","",'Model inputs'!M37&lt;=8))="",FALSE,IF(ISERROR('Model inputs'!M37&lt;=8),'Model inputs'!M37&lt;=8,IF('Model inputs'!M37="","",'Model inputs'!M37&lt;=8))),IF('Model inputs'!B109="","",'Model inputs'!B109),IF('Model inputs'!B105="","",'Model inputs'!B105))="",0,IF(IF(IF(ISERROR('Model inputs'!M37&lt;=8),'Model inputs'!M37&lt;=8,IF('Model inputs'!M37="","",'Model inputs'!M37&lt;=8))="",FALSE,IF(ISERROR('Model inputs'!M37&lt;=8),'Model inputs'!M37&lt;=8,IF('Model inputs'!M37="","",'Model inputs'!M37&lt;=8))),IF('Model inputs'!B109="","",'Model inputs'!B109),IF('Model inputs'!B105="","",'Model inputs'!B105))))))</f>
        <v>46.341808227798246</v>
      </c>
      <c r="N48" s="9">
        <f>IF(IF(IF(ISERROR('Model inputs'!N37&lt;1),'Model inputs'!N37&lt;1,IF('Model inputs'!N37="","",'Model inputs'!N37&lt;1))="",FALSE,IF(ISERROR('Model inputs'!N37&lt;1),'Model inputs'!N37&lt;1,IF('Model inputs'!N37="","",'Model inputs'!N37&lt;1))),0,IF(IF(IF(ISERROR('Model inputs'!N37=1),'Model inputs'!N37=1,IF('Model inputs'!N37="","",'Model inputs'!N37=1))="",FALSE,IF(ISERROR('Model inputs'!N37=1),'Model inputs'!N37=1,IF('Model inputs'!N37="","",'Model inputs'!N37=1))),IF('Model inputs'!B119="","",'Model inputs'!B119),'Model inputs'!M48*(1+IF(IF(IF(IF(ISERROR('Model inputs'!N37&lt;=8),'Model inputs'!N37&lt;=8,IF('Model inputs'!N37="","",'Model inputs'!N37&lt;=8))="",FALSE,IF(ISERROR('Model inputs'!N37&lt;=8),'Model inputs'!N37&lt;=8,IF('Model inputs'!N37="","",'Model inputs'!N37&lt;=8))),IF('Model inputs'!B109="","",'Model inputs'!B109),IF('Model inputs'!B105="","",'Model inputs'!B105))="",0,IF(IF(IF(ISERROR('Model inputs'!N37&lt;=8),'Model inputs'!N37&lt;=8,IF('Model inputs'!N37="","",'Model inputs'!N37&lt;=8))="",FALSE,IF(ISERROR('Model inputs'!N37&lt;=8),'Model inputs'!N37&lt;=8,IF('Model inputs'!N37="","",'Model inputs'!N37&lt;=8))),IF('Model inputs'!B109="","",'Model inputs'!B109),IF('Model inputs'!B105="","",'Model inputs'!B105))))))</f>
        <v>48.19548055691018</v>
      </c>
      <c r="O48" s="9">
        <f>IF(IF(IF(ISERROR('Model inputs'!O37&lt;1),'Model inputs'!O37&lt;1,IF('Model inputs'!O37="","",'Model inputs'!O37&lt;1))="",FALSE,IF(ISERROR('Model inputs'!O37&lt;1),'Model inputs'!O37&lt;1,IF('Model inputs'!O37="","",'Model inputs'!O37&lt;1))),0,IF(IF(IF(ISERROR('Model inputs'!O37=1),'Model inputs'!O37=1,IF('Model inputs'!O37="","",'Model inputs'!O37=1))="",FALSE,IF(ISERROR('Model inputs'!O37=1),'Model inputs'!O37=1,IF('Model inputs'!O37="","",'Model inputs'!O37=1))),IF('Model inputs'!B119="","",'Model inputs'!B119),'Model inputs'!N48*(1+IF(IF(IF(IF(ISERROR('Model inputs'!O37&lt;=8),'Model inputs'!O37&lt;=8,IF('Model inputs'!O37="","",'Model inputs'!O37&lt;=8))="",FALSE,IF(ISERROR('Model inputs'!O37&lt;=8),'Model inputs'!O37&lt;=8,IF('Model inputs'!O37="","",'Model inputs'!O37&lt;=8))),IF('Model inputs'!B109="","",'Model inputs'!B109),IF('Model inputs'!B105="","",'Model inputs'!B105))="",0,IF(IF(IF(ISERROR('Model inputs'!O37&lt;=8),'Model inputs'!O37&lt;=8,IF('Model inputs'!O37="","",'Model inputs'!O37&lt;=8))="",FALSE,IF(ISERROR('Model inputs'!O37&lt;=8),'Model inputs'!O37&lt;=8,IF('Model inputs'!O37="","",'Model inputs'!O37&lt;=8))),IF('Model inputs'!B109="","",'Model inputs'!B109),IF('Model inputs'!B105="","",'Model inputs'!B105))))))</f>
        <v>50.12329977918659</v>
      </c>
      <c r="P48" s="9">
        <f>IF(IF(IF(ISERROR('Model inputs'!P37&lt;1),'Model inputs'!P37&lt;1,IF('Model inputs'!P37="","",'Model inputs'!P37&lt;1))="",FALSE,IF(ISERROR('Model inputs'!P37&lt;1),'Model inputs'!P37&lt;1,IF('Model inputs'!P37="","",'Model inputs'!P37&lt;1))),0,IF(IF(IF(ISERROR('Model inputs'!P37=1),'Model inputs'!P37=1,IF('Model inputs'!P37="","",'Model inputs'!P37=1))="",FALSE,IF(ISERROR('Model inputs'!P37=1),'Model inputs'!P37=1,IF('Model inputs'!P37="","",'Model inputs'!P37=1))),IF('Model inputs'!B119="","",'Model inputs'!B119),'Model inputs'!O48*(1+IF(IF(IF(IF(ISERROR('Model inputs'!P37&lt;=8),'Model inputs'!P37&lt;=8,IF('Model inputs'!P37="","",'Model inputs'!P37&lt;=8))="",FALSE,IF(ISERROR('Model inputs'!P37&lt;=8),'Model inputs'!P37&lt;=8,IF('Model inputs'!P37="","",'Model inputs'!P37&lt;=8))),IF('Model inputs'!B109="","",'Model inputs'!B109),IF('Model inputs'!B105="","",'Model inputs'!B105))="",0,IF(IF(IF(ISERROR('Model inputs'!P37&lt;=8),'Model inputs'!P37&lt;=8,IF('Model inputs'!P37="","",'Model inputs'!P37&lt;=8))="",FALSE,IF(ISERROR('Model inputs'!P37&lt;=8),'Model inputs'!P37&lt;=8,IF('Model inputs'!P37="","",'Model inputs'!P37&lt;=8))),IF('Model inputs'!B109="","",'Model inputs'!B109),IF('Model inputs'!B105="","",'Model inputs'!B105))))))</f>
        <v>52.128231770354056</v>
      </c>
      <c r="Q48" s="9">
        <f>IF(IF(IF(ISERROR('Model inputs'!Q37&lt;1),'Model inputs'!Q37&lt;1,IF('Model inputs'!Q37="","",'Model inputs'!Q37&lt;1))="",FALSE,IF(ISERROR('Model inputs'!Q37&lt;1),'Model inputs'!Q37&lt;1,IF('Model inputs'!Q37="","",'Model inputs'!Q37&lt;1))),0,IF(IF(IF(ISERROR('Model inputs'!Q37=1),'Model inputs'!Q37=1,IF('Model inputs'!Q37="","",'Model inputs'!Q37=1))="",FALSE,IF(ISERROR('Model inputs'!Q37=1),'Model inputs'!Q37=1,IF('Model inputs'!Q37="","",'Model inputs'!Q37=1))),IF('Model inputs'!B119="","",'Model inputs'!B119),'Model inputs'!P48*(1+IF(IF(IF(IF(ISERROR('Model inputs'!Q37&lt;=8),'Model inputs'!Q37&lt;=8,IF('Model inputs'!Q37="","",'Model inputs'!Q37&lt;=8))="",FALSE,IF(ISERROR('Model inputs'!Q37&lt;=8),'Model inputs'!Q37&lt;=8,IF('Model inputs'!Q37="","",'Model inputs'!Q37&lt;=8))),IF('Model inputs'!B109="","",'Model inputs'!B109),IF('Model inputs'!B105="","",'Model inputs'!B105))="",0,IF(IF(IF(ISERROR('Model inputs'!Q37&lt;=8),'Model inputs'!Q37&lt;=8,IF('Model inputs'!Q37="","",'Model inputs'!Q37&lt;=8))="",FALSE,IF(ISERROR('Model inputs'!Q37&lt;=8),'Model inputs'!Q37&lt;=8,IF('Model inputs'!Q37="","",'Model inputs'!Q37&lt;=8))),IF('Model inputs'!B109="","",'Model inputs'!B109),IF('Model inputs'!B105="","",'Model inputs'!B105))))))</f>
        <v>54.21336104116822</v>
      </c>
      <c r="R48" s="9">
        <f>IF(IF(IF(ISERROR('Model inputs'!R37&lt;1),'Model inputs'!R37&lt;1,IF('Model inputs'!R37="","",'Model inputs'!R37&lt;1))="",FALSE,IF(ISERROR('Model inputs'!R37&lt;1),'Model inputs'!R37&lt;1,IF('Model inputs'!R37="","",'Model inputs'!R37&lt;1))),0,IF(IF(IF(ISERROR('Model inputs'!R37=1),'Model inputs'!R37=1,IF('Model inputs'!R37="","",'Model inputs'!R37=1))="",FALSE,IF(ISERROR('Model inputs'!R37=1),'Model inputs'!R37=1,IF('Model inputs'!R37="","",'Model inputs'!R37=1))),IF('Model inputs'!B119="","",'Model inputs'!B119),'Model inputs'!Q48*(1+IF(IF(IF(IF(ISERROR('Model inputs'!R37&lt;=8),'Model inputs'!R37&lt;=8,IF('Model inputs'!R37="","",'Model inputs'!R37&lt;=8))="",FALSE,IF(ISERROR('Model inputs'!R37&lt;=8),'Model inputs'!R37&lt;=8,IF('Model inputs'!R37="","",'Model inputs'!R37&lt;=8))),IF('Model inputs'!B109="","",'Model inputs'!B109),IF('Model inputs'!B105="","",'Model inputs'!B105))="",0,IF(IF(IF(ISERROR('Model inputs'!R37&lt;=8),'Model inputs'!R37&lt;=8,IF('Model inputs'!R37="","",'Model inputs'!R37&lt;=8))="",FALSE,IF(ISERROR('Model inputs'!R37&lt;=8),'Model inputs'!R37&lt;=8,IF('Model inputs'!R37="","",'Model inputs'!R37&lt;=8))),IF('Model inputs'!B109="","",'Model inputs'!B109),IF('Model inputs'!B105="","",'Model inputs'!B105))))))</f>
        <v>56.38189548281495</v>
      </c>
      <c r="S48" s="9">
        <f>IF(IF(IF(ISERROR('Model inputs'!S37&lt;1),'Model inputs'!S37&lt;1,IF('Model inputs'!S37="","",'Model inputs'!S37&lt;1))="",FALSE,IF(ISERROR('Model inputs'!S37&lt;1),'Model inputs'!S37&lt;1,IF('Model inputs'!S37="","",'Model inputs'!S37&lt;1))),0,IF(IF(IF(ISERROR('Model inputs'!S37=1),'Model inputs'!S37=1,IF('Model inputs'!S37="","",'Model inputs'!S37=1))="",FALSE,IF(ISERROR('Model inputs'!S37=1),'Model inputs'!S37=1,IF('Model inputs'!S37="","",'Model inputs'!S37=1))),IF('Model inputs'!B119="","",'Model inputs'!B119),'Model inputs'!R48*(1+IF(IF(IF(IF(ISERROR('Model inputs'!S37&lt;=8),'Model inputs'!S37&lt;=8,IF('Model inputs'!S37="","",'Model inputs'!S37&lt;=8))="",FALSE,IF(ISERROR('Model inputs'!S37&lt;=8),'Model inputs'!S37&lt;=8,IF('Model inputs'!S37="","",'Model inputs'!S37&lt;=8))),IF('Model inputs'!B109="","",'Model inputs'!B109),IF('Model inputs'!B105="","",'Model inputs'!B105))="",0,IF(IF(IF(ISERROR('Model inputs'!S37&lt;=8),'Model inputs'!S37&lt;=8,IF('Model inputs'!S37="","",'Model inputs'!S37&lt;=8))="",FALSE,IF(ISERROR('Model inputs'!S37&lt;=8),'Model inputs'!S37&lt;=8,IF('Model inputs'!S37="","",'Model inputs'!S37&lt;=8))),IF('Model inputs'!B109="","",'Model inputs'!B109),IF('Model inputs'!B105="","",'Model inputs'!B105))))))</f>
        <v>58.63717130212755</v>
      </c>
      <c r="T48" s="9">
        <f>IF(IF(IF(ISERROR('Model inputs'!T37&lt;1),'Model inputs'!T37&lt;1,IF('Model inputs'!T37="","",'Model inputs'!T37&lt;1))="",FALSE,IF(ISERROR('Model inputs'!T37&lt;1),'Model inputs'!T37&lt;1,IF('Model inputs'!T37="","",'Model inputs'!T37&lt;1))),0,IF(IF(IF(ISERROR('Model inputs'!T37=1),'Model inputs'!T37=1,IF('Model inputs'!T37="","",'Model inputs'!T37=1))="",FALSE,IF(ISERROR('Model inputs'!T37=1),'Model inputs'!T37=1,IF('Model inputs'!T37="","",'Model inputs'!T37=1))),IF('Model inputs'!B119="","",'Model inputs'!B119),'Model inputs'!S48*(1+IF(IF(IF(IF(ISERROR('Model inputs'!T37&lt;=8),'Model inputs'!T37&lt;=8,IF('Model inputs'!T37="","",'Model inputs'!T37&lt;=8))="",FALSE,IF(ISERROR('Model inputs'!T37&lt;=8),'Model inputs'!T37&lt;=8,IF('Model inputs'!T37="","",'Model inputs'!T37&lt;=8))),IF('Model inputs'!B109="","",'Model inputs'!B109),IF('Model inputs'!B105="","",'Model inputs'!B105))="",0,IF(IF(IF(ISERROR('Model inputs'!T37&lt;=8),'Model inputs'!T37&lt;=8,IF('Model inputs'!T37="","",'Model inputs'!T37&lt;=8))="",FALSE,IF(ISERROR('Model inputs'!T37&lt;=8),'Model inputs'!T37&lt;=8,IF('Model inputs'!T37="","",'Model inputs'!T37&lt;=8))),IF('Model inputs'!B109="","",'Model inputs'!B109),IF('Model inputs'!B105="","",'Model inputs'!B105))))))</f>
        <v>60.98265815421265</v>
      </c>
    </row>
    <row r="49" outlineLevel="1">
      <c r="A49" t="inlineStr" s="21">
        <is>
          <t xml:space="preserve">Organic new logos &gt; Launch</t>
        </is>
      </c>
      <c r="C49" s="9">
        <f>IF(IF(IF(ISERROR('Model inputs'!C37&lt;1),'Model inputs'!C37&lt;1,IF('Model inputs'!C37="","",'Model inputs'!C37&lt;1))="",FALSE,IF(ISERROR('Model inputs'!C37&lt;1),'Model inputs'!C37&lt;1,IF('Model inputs'!C37="","",'Model inputs'!C37&lt;1))),0,IF(IF(IF(ISERROR('Model inputs'!C37=1),'Model inputs'!C37=1,IF('Model inputs'!C37="","",'Model inputs'!C37=1))="",FALSE,IF(ISERROR('Model inputs'!C37=1),'Model inputs'!C37=1,IF('Model inputs'!C37="","",'Model inputs'!C37=1))),IF('Model inputs'!B120="","",'Model inputs'!B120),'Model inputs'!AG128*(1+IF(IF(IF(IF(ISERROR('Model inputs'!C37&lt;=8),'Model inputs'!C37&lt;=8,IF('Model inputs'!C37="","",'Model inputs'!C37&lt;=8))="",FALSE,IF(ISERROR('Model inputs'!C37&lt;=8),'Model inputs'!C37&lt;=8,IF('Model inputs'!C37="","",'Model inputs'!C37&lt;=8))),IF('Model inputs'!B110="","",'Model inputs'!B110),IF('Model inputs'!B106="","",'Model inputs'!B106))="",0,IF(IF(IF(ISERROR('Model inputs'!C37&lt;=8),'Model inputs'!C37&lt;=8,IF('Model inputs'!C37="","",'Model inputs'!C37&lt;=8))="",FALSE,IF(ISERROR('Model inputs'!C37&lt;=8),'Model inputs'!C37&lt;=8,IF('Model inputs'!C37="","",'Model inputs'!C37&lt;=8))),IF('Model inputs'!B110="","",'Model inputs'!B110),IF('Model inputs'!B106="","",'Model inputs'!B106))))))</f>
        <v>0</v>
      </c>
      <c r="D49" s="9">
        <f>IF(IF(IF(ISERROR('Model inputs'!D37&lt;1),'Model inputs'!D37&lt;1,IF('Model inputs'!D37="","",'Model inputs'!D37&lt;1))="",FALSE,IF(ISERROR('Model inputs'!D37&lt;1),'Model inputs'!D37&lt;1,IF('Model inputs'!D37="","",'Model inputs'!D37&lt;1))),0,IF(IF(IF(ISERROR('Model inputs'!D37=1),'Model inputs'!D37=1,IF('Model inputs'!D37="","",'Model inputs'!D37=1))="",FALSE,IF(ISERROR('Model inputs'!D37=1),'Model inputs'!D37=1,IF('Model inputs'!D37="","",'Model inputs'!D37=1))),IF('Model inputs'!B120="","",'Model inputs'!B120),'Model inputs'!C49*(1+IF(IF(IF(IF(ISERROR('Model inputs'!D37&lt;=8),'Model inputs'!D37&lt;=8,IF('Model inputs'!D37="","",'Model inputs'!D37&lt;=8))="",FALSE,IF(ISERROR('Model inputs'!D37&lt;=8),'Model inputs'!D37&lt;=8,IF('Model inputs'!D37="","",'Model inputs'!D37&lt;=8))),IF('Model inputs'!B110="","",'Model inputs'!B110),IF('Model inputs'!B106="","",'Model inputs'!B106))="",0,IF(IF(IF(ISERROR('Model inputs'!D37&lt;=8),'Model inputs'!D37&lt;=8,IF('Model inputs'!D37="","",'Model inputs'!D37&lt;=8))="",FALSE,IF(ISERROR('Model inputs'!D37&lt;=8),'Model inputs'!D37&lt;=8,IF('Model inputs'!D37="","",'Model inputs'!D37&lt;=8))),IF('Model inputs'!B110="","",'Model inputs'!B110),IF('Model inputs'!B106="","",'Model inputs'!B106))))))</f>
        <v>0.5</v>
      </c>
      <c r="E49" s="9">
        <f>IF(IF(IF(ISERROR('Model inputs'!E37&lt;1),'Model inputs'!E37&lt;1,IF('Model inputs'!E37="","",'Model inputs'!E37&lt;1))="",FALSE,IF(ISERROR('Model inputs'!E37&lt;1),'Model inputs'!E37&lt;1,IF('Model inputs'!E37="","",'Model inputs'!E37&lt;1))),0,IF(IF(IF(ISERROR('Model inputs'!E37=1),'Model inputs'!E37=1,IF('Model inputs'!E37="","",'Model inputs'!E37=1))="",FALSE,IF(ISERROR('Model inputs'!E37=1),'Model inputs'!E37=1,IF('Model inputs'!E37="","",'Model inputs'!E37=1))),IF('Model inputs'!B120="","",'Model inputs'!B120),'Model inputs'!D49*(1+IF(IF(IF(IF(ISERROR('Model inputs'!E37&lt;=8),'Model inputs'!E37&lt;=8,IF('Model inputs'!E37="","",'Model inputs'!E37&lt;=8))="",FALSE,IF(ISERROR('Model inputs'!E37&lt;=8),'Model inputs'!E37&lt;=8,IF('Model inputs'!E37="","",'Model inputs'!E37&lt;=8))),IF('Model inputs'!B110="","",'Model inputs'!B110),IF('Model inputs'!B106="","",'Model inputs'!B106))="",0,IF(IF(IF(ISERROR('Model inputs'!E37&lt;=8),'Model inputs'!E37&lt;=8,IF('Model inputs'!E37="","",'Model inputs'!E37&lt;=8))="",FALSE,IF(ISERROR('Model inputs'!E37&lt;=8),'Model inputs'!E37&lt;=8,IF('Model inputs'!E37="","",'Model inputs'!E37&lt;=8))),IF('Model inputs'!B110="","",'Model inputs'!B110),IF('Model inputs'!B106="","",'Model inputs'!B106))))))</f>
        <v>0.5</v>
      </c>
      <c r="F49" s="9">
        <f>IF(IF(IF(ISERROR('Model inputs'!F37&lt;1),'Model inputs'!F37&lt;1,IF('Model inputs'!F37="","",'Model inputs'!F37&lt;1))="",FALSE,IF(ISERROR('Model inputs'!F37&lt;1),'Model inputs'!F37&lt;1,IF('Model inputs'!F37="","",'Model inputs'!F37&lt;1))),0,IF(IF(IF(ISERROR('Model inputs'!F37=1),'Model inputs'!F37=1,IF('Model inputs'!F37="","",'Model inputs'!F37=1))="",FALSE,IF(ISERROR('Model inputs'!F37=1),'Model inputs'!F37=1,IF('Model inputs'!F37="","",'Model inputs'!F37=1))),IF('Model inputs'!B120="","",'Model inputs'!B120),'Model inputs'!E49*(1+IF(IF(IF(IF(ISERROR('Model inputs'!F37&lt;=8),'Model inputs'!F37&lt;=8,IF('Model inputs'!F37="","",'Model inputs'!F37&lt;=8))="",FALSE,IF(ISERROR('Model inputs'!F37&lt;=8),'Model inputs'!F37&lt;=8,IF('Model inputs'!F37="","",'Model inputs'!F37&lt;=8))),IF('Model inputs'!B110="","",'Model inputs'!B110),IF('Model inputs'!B106="","",'Model inputs'!B106))="",0,IF(IF(IF(ISERROR('Model inputs'!F37&lt;=8),'Model inputs'!F37&lt;=8,IF('Model inputs'!F37="","",'Model inputs'!F37&lt;=8))="",FALSE,IF(ISERROR('Model inputs'!F37&lt;=8),'Model inputs'!F37&lt;=8,IF('Model inputs'!F37="","",'Model inputs'!F37&lt;=8))),IF('Model inputs'!B110="","",'Model inputs'!B110),IF('Model inputs'!B106="","",'Model inputs'!B106))))))</f>
        <v>0.5</v>
      </c>
      <c r="G49" s="9">
        <f>IF(IF(IF(ISERROR('Model inputs'!G37&lt;1),'Model inputs'!G37&lt;1,IF('Model inputs'!G37="","",'Model inputs'!G37&lt;1))="",FALSE,IF(ISERROR('Model inputs'!G37&lt;1),'Model inputs'!G37&lt;1,IF('Model inputs'!G37="","",'Model inputs'!G37&lt;1))),0,IF(IF(IF(ISERROR('Model inputs'!G37=1),'Model inputs'!G37=1,IF('Model inputs'!G37="","",'Model inputs'!G37=1))="",FALSE,IF(ISERROR('Model inputs'!G37=1),'Model inputs'!G37=1,IF('Model inputs'!G37="","",'Model inputs'!G37=1))),IF('Model inputs'!B120="","",'Model inputs'!B120),'Model inputs'!F49*(1+IF(IF(IF(IF(ISERROR('Model inputs'!G37&lt;=8),'Model inputs'!G37&lt;=8,IF('Model inputs'!G37="","",'Model inputs'!G37&lt;=8))="",FALSE,IF(ISERROR('Model inputs'!G37&lt;=8),'Model inputs'!G37&lt;=8,IF('Model inputs'!G37="","",'Model inputs'!G37&lt;=8))),IF('Model inputs'!B110="","",'Model inputs'!B110),IF('Model inputs'!B106="","",'Model inputs'!B106))="",0,IF(IF(IF(ISERROR('Model inputs'!G37&lt;=8),'Model inputs'!G37&lt;=8,IF('Model inputs'!G37="","",'Model inputs'!G37&lt;=8))="",FALSE,IF(ISERROR('Model inputs'!G37&lt;=8),'Model inputs'!G37&lt;=8,IF('Model inputs'!G37="","",'Model inputs'!G37&lt;=8))),IF('Model inputs'!B110="","",'Model inputs'!B110),IF('Model inputs'!B106="","",'Model inputs'!B106))))))</f>
        <v>0.5</v>
      </c>
      <c r="H49" s="9">
        <f>IF(IF(IF(ISERROR('Model inputs'!H37&lt;1),'Model inputs'!H37&lt;1,IF('Model inputs'!H37="","",'Model inputs'!H37&lt;1))="",FALSE,IF(ISERROR('Model inputs'!H37&lt;1),'Model inputs'!H37&lt;1,IF('Model inputs'!H37="","",'Model inputs'!H37&lt;1))),0,IF(IF(IF(ISERROR('Model inputs'!H37=1),'Model inputs'!H37=1,IF('Model inputs'!H37="","",'Model inputs'!H37=1))="",FALSE,IF(ISERROR('Model inputs'!H37=1),'Model inputs'!H37=1,IF('Model inputs'!H37="","",'Model inputs'!H37=1))),IF('Model inputs'!B120="","",'Model inputs'!B120),'Model inputs'!G49*(1+IF(IF(IF(IF(ISERROR('Model inputs'!H37&lt;=8),'Model inputs'!H37&lt;=8,IF('Model inputs'!H37="","",'Model inputs'!H37&lt;=8))="",FALSE,IF(ISERROR('Model inputs'!H37&lt;=8),'Model inputs'!H37&lt;=8,IF('Model inputs'!H37="","",'Model inputs'!H37&lt;=8))),IF('Model inputs'!B110="","",'Model inputs'!B110),IF('Model inputs'!B106="","",'Model inputs'!B106))="",0,IF(IF(IF(ISERROR('Model inputs'!H37&lt;=8),'Model inputs'!H37&lt;=8,IF('Model inputs'!H37="","",'Model inputs'!H37&lt;=8))="",FALSE,IF(ISERROR('Model inputs'!H37&lt;=8),'Model inputs'!H37&lt;=8,IF('Model inputs'!H37="","",'Model inputs'!H37&lt;=8))),IF('Model inputs'!B110="","",'Model inputs'!B110),IF('Model inputs'!B106="","",'Model inputs'!B106))))))</f>
        <v>0.5</v>
      </c>
      <c r="I49" s="9">
        <f>IF(IF(IF(ISERROR('Model inputs'!I37&lt;1),'Model inputs'!I37&lt;1,IF('Model inputs'!I37="","",'Model inputs'!I37&lt;1))="",FALSE,IF(ISERROR('Model inputs'!I37&lt;1),'Model inputs'!I37&lt;1,IF('Model inputs'!I37="","",'Model inputs'!I37&lt;1))),0,IF(IF(IF(ISERROR('Model inputs'!I37=1),'Model inputs'!I37=1,IF('Model inputs'!I37="","",'Model inputs'!I37=1))="",FALSE,IF(ISERROR('Model inputs'!I37=1),'Model inputs'!I37=1,IF('Model inputs'!I37="","",'Model inputs'!I37=1))),IF('Model inputs'!B120="","",'Model inputs'!B120),'Model inputs'!H49*(1+IF(IF(IF(IF(ISERROR('Model inputs'!I37&lt;=8),'Model inputs'!I37&lt;=8,IF('Model inputs'!I37="","",'Model inputs'!I37&lt;=8))="",FALSE,IF(ISERROR('Model inputs'!I37&lt;=8),'Model inputs'!I37&lt;=8,IF('Model inputs'!I37="","",'Model inputs'!I37&lt;=8))),IF('Model inputs'!B110="","",'Model inputs'!B110),IF('Model inputs'!B106="","",'Model inputs'!B106))="",0,IF(IF(IF(ISERROR('Model inputs'!I37&lt;=8),'Model inputs'!I37&lt;=8,IF('Model inputs'!I37="","",'Model inputs'!I37&lt;=8))="",FALSE,IF(ISERROR('Model inputs'!I37&lt;=8),'Model inputs'!I37&lt;=8,IF('Model inputs'!I37="","",'Model inputs'!I37&lt;=8))),IF('Model inputs'!B110="","",'Model inputs'!B110),IF('Model inputs'!B106="","",'Model inputs'!B106))))))</f>
        <v>0.5</v>
      </c>
      <c r="J49" s="9">
        <f>IF(IF(IF(ISERROR('Model inputs'!J37&lt;1),'Model inputs'!J37&lt;1,IF('Model inputs'!J37="","",'Model inputs'!J37&lt;1))="",FALSE,IF(ISERROR('Model inputs'!J37&lt;1),'Model inputs'!J37&lt;1,IF('Model inputs'!J37="","",'Model inputs'!J37&lt;1))),0,IF(IF(IF(ISERROR('Model inputs'!J37=1),'Model inputs'!J37=1,IF('Model inputs'!J37="","",'Model inputs'!J37=1))="",FALSE,IF(ISERROR('Model inputs'!J37=1),'Model inputs'!J37=1,IF('Model inputs'!J37="","",'Model inputs'!J37=1))),IF('Model inputs'!B120="","",'Model inputs'!B120),'Model inputs'!I49*(1+IF(IF(IF(IF(ISERROR('Model inputs'!J37&lt;=8),'Model inputs'!J37&lt;=8,IF('Model inputs'!J37="","",'Model inputs'!J37&lt;=8))="",FALSE,IF(ISERROR('Model inputs'!J37&lt;=8),'Model inputs'!J37&lt;=8,IF('Model inputs'!J37="","",'Model inputs'!J37&lt;=8))),IF('Model inputs'!B110="","",'Model inputs'!B110),IF('Model inputs'!B106="","",'Model inputs'!B106))="",0,IF(IF(IF(ISERROR('Model inputs'!J37&lt;=8),'Model inputs'!J37&lt;=8,IF('Model inputs'!J37="","",'Model inputs'!J37&lt;=8))="",FALSE,IF(ISERROR('Model inputs'!J37&lt;=8),'Model inputs'!J37&lt;=8,IF('Model inputs'!J37="","",'Model inputs'!J37&lt;=8))),IF('Model inputs'!B110="","",'Model inputs'!B110),IF('Model inputs'!B106="","",'Model inputs'!B106))))))</f>
        <v>0.5</v>
      </c>
      <c r="K49" s="9">
        <f>IF(IF(IF(ISERROR('Model inputs'!K37&lt;1),'Model inputs'!K37&lt;1,IF('Model inputs'!K37="","",'Model inputs'!K37&lt;1))="",FALSE,IF(ISERROR('Model inputs'!K37&lt;1),'Model inputs'!K37&lt;1,IF('Model inputs'!K37="","",'Model inputs'!K37&lt;1))),0,IF(IF(IF(ISERROR('Model inputs'!K37=1),'Model inputs'!K37=1,IF('Model inputs'!K37="","",'Model inputs'!K37=1))="",FALSE,IF(ISERROR('Model inputs'!K37=1),'Model inputs'!K37=1,IF('Model inputs'!K37="","",'Model inputs'!K37=1))),IF('Model inputs'!B120="","",'Model inputs'!B120),'Model inputs'!J49*(1+IF(IF(IF(IF(ISERROR('Model inputs'!K37&lt;=8),'Model inputs'!K37&lt;=8,IF('Model inputs'!K37="","",'Model inputs'!K37&lt;=8))="",FALSE,IF(ISERROR('Model inputs'!K37&lt;=8),'Model inputs'!K37&lt;=8,IF('Model inputs'!K37="","",'Model inputs'!K37&lt;=8))),IF('Model inputs'!B110="","",'Model inputs'!B110),IF('Model inputs'!B106="","",'Model inputs'!B106))="",0,IF(IF(IF(ISERROR('Model inputs'!K37&lt;=8),'Model inputs'!K37&lt;=8,IF('Model inputs'!K37="","",'Model inputs'!K37&lt;=8))="",FALSE,IF(ISERROR('Model inputs'!K37&lt;=8),'Model inputs'!K37&lt;=8,IF('Model inputs'!K37="","",'Model inputs'!K37&lt;=8))),IF('Model inputs'!B110="","",'Model inputs'!B110),IF('Model inputs'!B106="","",'Model inputs'!B106))))))</f>
        <v>0.5</v>
      </c>
      <c r="L49" s="9">
        <f>IF(IF(IF(ISERROR('Model inputs'!L37&lt;1),'Model inputs'!L37&lt;1,IF('Model inputs'!L37="","",'Model inputs'!L37&lt;1))="",FALSE,IF(ISERROR('Model inputs'!L37&lt;1),'Model inputs'!L37&lt;1,IF('Model inputs'!L37="","",'Model inputs'!L37&lt;1))),0,IF(IF(IF(ISERROR('Model inputs'!L37=1),'Model inputs'!L37=1,IF('Model inputs'!L37="","",'Model inputs'!L37=1))="",FALSE,IF(ISERROR('Model inputs'!L37=1),'Model inputs'!L37=1,IF('Model inputs'!L37="","",'Model inputs'!L37=1))),IF('Model inputs'!B120="","",'Model inputs'!B120),'Model inputs'!K49*(1+IF(IF(IF(IF(ISERROR('Model inputs'!L37&lt;=8),'Model inputs'!L37&lt;=8,IF('Model inputs'!L37="","",'Model inputs'!L37&lt;=8))="",FALSE,IF(ISERROR('Model inputs'!L37&lt;=8),'Model inputs'!L37&lt;=8,IF('Model inputs'!L37="","",'Model inputs'!L37&lt;=8))),IF('Model inputs'!B110="","",'Model inputs'!B110),IF('Model inputs'!B106="","",'Model inputs'!B106))="",0,IF(IF(IF(ISERROR('Model inputs'!L37&lt;=8),'Model inputs'!L37&lt;=8,IF('Model inputs'!L37="","",'Model inputs'!L37&lt;=8))="",FALSE,IF(ISERROR('Model inputs'!L37&lt;=8),'Model inputs'!L37&lt;=8,IF('Model inputs'!L37="","",'Model inputs'!L37&lt;=8))),IF('Model inputs'!B110="","",'Model inputs'!B110),IF('Model inputs'!B106="","",'Model inputs'!B106))))))</f>
        <v>0.5</v>
      </c>
      <c r="M49" s="9">
        <f>IF(IF(IF(ISERROR('Model inputs'!M37&lt;1),'Model inputs'!M37&lt;1,IF('Model inputs'!M37="","",'Model inputs'!M37&lt;1))="",FALSE,IF(ISERROR('Model inputs'!M37&lt;1),'Model inputs'!M37&lt;1,IF('Model inputs'!M37="","",'Model inputs'!M37&lt;1))),0,IF(IF(IF(ISERROR('Model inputs'!M37=1),'Model inputs'!M37=1,IF('Model inputs'!M37="","",'Model inputs'!M37=1))="",FALSE,IF(ISERROR('Model inputs'!M37=1),'Model inputs'!M37=1,IF('Model inputs'!M37="","",'Model inputs'!M37=1))),IF('Model inputs'!B120="","",'Model inputs'!B120),'Model inputs'!L49*(1+IF(IF(IF(IF(ISERROR('Model inputs'!M37&lt;=8),'Model inputs'!M37&lt;=8,IF('Model inputs'!M37="","",'Model inputs'!M37&lt;=8))="",FALSE,IF(ISERROR('Model inputs'!M37&lt;=8),'Model inputs'!M37&lt;=8,IF('Model inputs'!M37="","",'Model inputs'!M37&lt;=8))),IF('Model inputs'!B110="","",'Model inputs'!B110),IF('Model inputs'!B106="","",'Model inputs'!B106))="",0,IF(IF(IF(ISERROR('Model inputs'!M37&lt;=8),'Model inputs'!M37&lt;=8,IF('Model inputs'!M37="","",'Model inputs'!M37&lt;=8))="",FALSE,IF(ISERROR('Model inputs'!M37&lt;=8),'Model inputs'!M37&lt;=8,IF('Model inputs'!M37="","",'Model inputs'!M37&lt;=8))),IF('Model inputs'!B110="","",'Model inputs'!B110),IF('Model inputs'!B106="","",'Model inputs'!B106))))))</f>
        <v>0.5</v>
      </c>
      <c r="N49" s="9">
        <f>IF(IF(IF(ISERROR('Model inputs'!N37&lt;1),'Model inputs'!N37&lt;1,IF('Model inputs'!N37="","",'Model inputs'!N37&lt;1))="",FALSE,IF(ISERROR('Model inputs'!N37&lt;1),'Model inputs'!N37&lt;1,IF('Model inputs'!N37="","",'Model inputs'!N37&lt;1))),0,IF(IF(IF(ISERROR('Model inputs'!N37=1),'Model inputs'!N37=1,IF('Model inputs'!N37="","",'Model inputs'!N37=1))="",FALSE,IF(ISERROR('Model inputs'!N37=1),'Model inputs'!N37=1,IF('Model inputs'!N37="","",'Model inputs'!N37=1))),IF('Model inputs'!B120="","",'Model inputs'!B120),'Model inputs'!M49*(1+IF(IF(IF(IF(ISERROR('Model inputs'!N37&lt;=8),'Model inputs'!N37&lt;=8,IF('Model inputs'!N37="","",'Model inputs'!N37&lt;=8))="",FALSE,IF(ISERROR('Model inputs'!N37&lt;=8),'Model inputs'!N37&lt;=8,IF('Model inputs'!N37="","",'Model inputs'!N37&lt;=8))),IF('Model inputs'!B110="","",'Model inputs'!B110),IF('Model inputs'!B106="","",'Model inputs'!B106))="",0,IF(IF(IF(ISERROR('Model inputs'!N37&lt;=8),'Model inputs'!N37&lt;=8,IF('Model inputs'!N37="","",'Model inputs'!N37&lt;=8))="",FALSE,IF(ISERROR('Model inputs'!N37&lt;=8),'Model inputs'!N37&lt;=8,IF('Model inputs'!N37="","",'Model inputs'!N37&lt;=8))),IF('Model inputs'!B110="","",'Model inputs'!B110),IF('Model inputs'!B106="","",'Model inputs'!B106))))))</f>
        <v>0.5</v>
      </c>
      <c r="O49" s="9">
        <f>IF(IF(IF(ISERROR('Model inputs'!O37&lt;1),'Model inputs'!O37&lt;1,IF('Model inputs'!O37="","",'Model inputs'!O37&lt;1))="",FALSE,IF(ISERROR('Model inputs'!O37&lt;1),'Model inputs'!O37&lt;1,IF('Model inputs'!O37="","",'Model inputs'!O37&lt;1))),0,IF(IF(IF(ISERROR('Model inputs'!O37=1),'Model inputs'!O37=1,IF('Model inputs'!O37="","",'Model inputs'!O37=1))="",FALSE,IF(ISERROR('Model inputs'!O37=1),'Model inputs'!O37=1,IF('Model inputs'!O37="","",'Model inputs'!O37=1))),IF('Model inputs'!B120="","",'Model inputs'!B120),'Model inputs'!N49*(1+IF(IF(IF(IF(ISERROR('Model inputs'!O37&lt;=8),'Model inputs'!O37&lt;=8,IF('Model inputs'!O37="","",'Model inputs'!O37&lt;=8))="",FALSE,IF(ISERROR('Model inputs'!O37&lt;=8),'Model inputs'!O37&lt;=8,IF('Model inputs'!O37="","",'Model inputs'!O37&lt;=8))),IF('Model inputs'!B110="","",'Model inputs'!B110),IF('Model inputs'!B106="","",'Model inputs'!B106))="",0,IF(IF(IF(ISERROR('Model inputs'!O37&lt;=8),'Model inputs'!O37&lt;=8,IF('Model inputs'!O37="","",'Model inputs'!O37&lt;=8))="",FALSE,IF(ISERROR('Model inputs'!O37&lt;=8),'Model inputs'!O37&lt;=8,IF('Model inputs'!O37="","",'Model inputs'!O37&lt;=8))),IF('Model inputs'!B110="","",'Model inputs'!B110),IF('Model inputs'!B106="","",'Model inputs'!B106))))))</f>
        <v>0.5</v>
      </c>
      <c r="P49" s="9">
        <f>IF(IF(IF(ISERROR('Model inputs'!P37&lt;1),'Model inputs'!P37&lt;1,IF('Model inputs'!P37="","",'Model inputs'!P37&lt;1))="",FALSE,IF(ISERROR('Model inputs'!P37&lt;1),'Model inputs'!P37&lt;1,IF('Model inputs'!P37="","",'Model inputs'!P37&lt;1))),0,IF(IF(IF(ISERROR('Model inputs'!P37=1),'Model inputs'!P37=1,IF('Model inputs'!P37="","",'Model inputs'!P37=1))="",FALSE,IF(ISERROR('Model inputs'!P37=1),'Model inputs'!P37=1,IF('Model inputs'!P37="","",'Model inputs'!P37=1))),IF('Model inputs'!B120="","",'Model inputs'!B120),'Model inputs'!O49*(1+IF(IF(IF(IF(ISERROR('Model inputs'!P37&lt;=8),'Model inputs'!P37&lt;=8,IF('Model inputs'!P37="","",'Model inputs'!P37&lt;=8))="",FALSE,IF(ISERROR('Model inputs'!P37&lt;=8),'Model inputs'!P37&lt;=8,IF('Model inputs'!P37="","",'Model inputs'!P37&lt;=8))),IF('Model inputs'!B110="","",'Model inputs'!B110),IF('Model inputs'!B106="","",'Model inputs'!B106))="",0,IF(IF(IF(ISERROR('Model inputs'!P37&lt;=8),'Model inputs'!P37&lt;=8,IF('Model inputs'!P37="","",'Model inputs'!P37&lt;=8))="",FALSE,IF(ISERROR('Model inputs'!P37&lt;=8),'Model inputs'!P37&lt;=8,IF('Model inputs'!P37="","",'Model inputs'!P37&lt;=8))),IF('Model inputs'!B110="","",'Model inputs'!B110),IF('Model inputs'!B106="","",'Model inputs'!B106))))))</f>
        <v>0.5</v>
      </c>
      <c r="Q49" s="9">
        <f>IF(IF(IF(ISERROR('Model inputs'!Q37&lt;1),'Model inputs'!Q37&lt;1,IF('Model inputs'!Q37="","",'Model inputs'!Q37&lt;1))="",FALSE,IF(ISERROR('Model inputs'!Q37&lt;1),'Model inputs'!Q37&lt;1,IF('Model inputs'!Q37="","",'Model inputs'!Q37&lt;1))),0,IF(IF(IF(ISERROR('Model inputs'!Q37=1),'Model inputs'!Q37=1,IF('Model inputs'!Q37="","",'Model inputs'!Q37=1))="",FALSE,IF(ISERROR('Model inputs'!Q37=1),'Model inputs'!Q37=1,IF('Model inputs'!Q37="","",'Model inputs'!Q37=1))),IF('Model inputs'!B120="","",'Model inputs'!B120),'Model inputs'!P49*(1+IF(IF(IF(IF(ISERROR('Model inputs'!Q37&lt;=8),'Model inputs'!Q37&lt;=8,IF('Model inputs'!Q37="","",'Model inputs'!Q37&lt;=8))="",FALSE,IF(ISERROR('Model inputs'!Q37&lt;=8),'Model inputs'!Q37&lt;=8,IF('Model inputs'!Q37="","",'Model inputs'!Q37&lt;=8))),IF('Model inputs'!B110="","",'Model inputs'!B110),IF('Model inputs'!B106="","",'Model inputs'!B106))="",0,IF(IF(IF(ISERROR('Model inputs'!Q37&lt;=8),'Model inputs'!Q37&lt;=8,IF('Model inputs'!Q37="","",'Model inputs'!Q37&lt;=8))="",FALSE,IF(ISERROR('Model inputs'!Q37&lt;=8),'Model inputs'!Q37&lt;=8,IF('Model inputs'!Q37="","",'Model inputs'!Q37&lt;=8))),IF('Model inputs'!B110="","",'Model inputs'!B110),IF('Model inputs'!B106="","",'Model inputs'!B106))))))</f>
        <v>0.5</v>
      </c>
      <c r="R49" s="9">
        <f>IF(IF(IF(ISERROR('Model inputs'!R37&lt;1),'Model inputs'!R37&lt;1,IF('Model inputs'!R37="","",'Model inputs'!R37&lt;1))="",FALSE,IF(ISERROR('Model inputs'!R37&lt;1),'Model inputs'!R37&lt;1,IF('Model inputs'!R37="","",'Model inputs'!R37&lt;1))),0,IF(IF(IF(ISERROR('Model inputs'!R37=1),'Model inputs'!R37=1,IF('Model inputs'!R37="","",'Model inputs'!R37=1))="",FALSE,IF(ISERROR('Model inputs'!R37=1),'Model inputs'!R37=1,IF('Model inputs'!R37="","",'Model inputs'!R37=1))),IF('Model inputs'!B120="","",'Model inputs'!B120),'Model inputs'!Q49*(1+IF(IF(IF(IF(ISERROR('Model inputs'!R37&lt;=8),'Model inputs'!R37&lt;=8,IF('Model inputs'!R37="","",'Model inputs'!R37&lt;=8))="",FALSE,IF(ISERROR('Model inputs'!R37&lt;=8),'Model inputs'!R37&lt;=8,IF('Model inputs'!R37="","",'Model inputs'!R37&lt;=8))),IF('Model inputs'!B110="","",'Model inputs'!B110),IF('Model inputs'!B106="","",'Model inputs'!B106))="",0,IF(IF(IF(ISERROR('Model inputs'!R37&lt;=8),'Model inputs'!R37&lt;=8,IF('Model inputs'!R37="","",'Model inputs'!R37&lt;=8))="",FALSE,IF(ISERROR('Model inputs'!R37&lt;=8),'Model inputs'!R37&lt;=8,IF('Model inputs'!R37="","",'Model inputs'!R37&lt;=8))),IF('Model inputs'!B110="","",'Model inputs'!B110),IF('Model inputs'!B106="","",'Model inputs'!B106))))))</f>
        <v>0.5</v>
      </c>
      <c r="S49" s="9">
        <f>IF(IF(IF(ISERROR('Model inputs'!S37&lt;1),'Model inputs'!S37&lt;1,IF('Model inputs'!S37="","",'Model inputs'!S37&lt;1))="",FALSE,IF(ISERROR('Model inputs'!S37&lt;1),'Model inputs'!S37&lt;1,IF('Model inputs'!S37="","",'Model inputs'!S37&lt;1))),0,IF(IF(IF(ISERROR('Model inputs'!S37=1),'Model inputs'!S37=1,IF('Model inputs'!S37="","",'Model inputs'!S37=1))="",FALSE,IF(ISERROR('Model inputs'!S37=1),'Model inputs'!S37=1,IF('Model inputs'!S37="","",'Model inputs'!S37=1))),IF('Model inputs'!B120="","",'Model inputs'!B120),'Model inputs'!R49*(1+IF(IF(IF(IF(ISERROR('Model inputs'!S37&lt;=8),'Model inputs'!S37&lt;=8,IF('Model inputs'!S37="","",'Model inputs'!S37&lt;=8))="",FALSE,IF(ISERROR('Model inputs'!S37&lt;=8),'Model inputs'!S37&lt;=8,IF('Model inputs'!S37="","",'Model inputs'!S37&lt;=8))),IF('Model inputs'!B110="","",'Model inputs'!B110),IF('Model inputs'!B106="","",'Model inputs'!B106))="",0,IF(IF(IF(ISERROR('Model inputs'!S37&lt;=8),'Model inputs'!S37&lt;=8,IF('Model inputs'!S37="","",'Model inputs'!S37&lt;=8))="",FALSE,IF(ISERROR('Model inputs'!S37&lt;=8),'Model inputs'!S37&lt;=8,IF('Model inputs'!S37="","",'Model inputs'!S37&lt;=8))),IF('Model inputs'!B110="","",'Model inputs'!B110),IF('Model inputs'!B106="","",'Model inputs'!B106))))))</f>
        <v>0.5</v>
      </c>
      <c r="T49" s="9">
        <f>IF(IF(IF(ISERROR('Model inputs'!T37&lt;1),'Model inputs'!T37&lt;1,IF('Model inputs'!T37="","",'Model inputs'!T37&lt;1))="",FALSE,IF(ISERROR('Model inputs'!T37&lt;1),'Model inputs'!T37&lt;1,IF('Model inputs'!T37="","",'Model inputs'!T37&lt;1))),0,IF(IF(IF(ISERROR('Model inputs'!T37=1),'Model inputs'!T37=1,IF('Model inputs'!T37="","",'Model inputs'!T37=1))="",FALSE,IF(ISERROR('Model inputs'!T37=1),'Model inputs'!T37=1,IF('Model inputs'!T37="","",'Model inputs'!T37=1))),IF('Model inputs'!B120="","",'Model inputs'!B120),'Model inputs'!S49*(1+IF(IF(IF(IF(ISERROR('Model inputs'!T37&lt;=8),'Model inputs'!T37&lt;=8,IF('Model inputs'!T37="","",'Model inputs'!T37&lt;=8))="",FALSE,IF(ISERROR('Model inputs'!T37&lt;=8),'Model inputs'!T37&lt;=8,IF('Model inputs'!T37="","",'Model inputs'!T37&lt;=8))),IF('Model inputs'!B110="","",'Model inputs'!B110),IF('Model inputs'!B106="","",'Model inputs'!B106))="",0,IF(IF(IF(ISERROR('Model inputs'!T37&lt;=8),'Model inputs'!T37&lt;=8,IF('Model inputs'!T37="","",'Model inputs'!T37&lt;=8))="",FALSE,IF(ISERROR('Model inputs'!T37&lt;=8),'Model inputs'!T37&lt;=8,IF('Model inputs'!T37="","",'Model inputs'!T37&lt;=8))),IF('Model inputs'!B110="","",'Model inputs'!B110),IF('Model inputs'!B106="","",'Model inputs'!B106))))))</f>
        <v>0.5</v>
      </c>
    </row>
    <row r="50" outlineLevel="1">
      <c r="A50" t="inlineStr" s="21">
        <is>
          <t xml:space="preserve">Organic new logos &gt; Team</t>
        </is>
      </c>
      <c r="C50" s="9">
        <f>IF(IF(IF(ISERROR('Model inputs'!C37&lt;1),'Model inputs'!C37&lt;1,IF('Model inputs'!C37="","",'Model inputs'!C37&lt;1))="",FALSE,IF(ISERROR('Model inputs'!C37&lt;1),'Model inputs'!C37&lt;1,IF('Model inputs'!C37="","",'Model inputs'!C37&lt;1))),0,IF(IF(IF(ISERROR('Model inputs'!C37=1),'Model inputs'!C37=1,IF('Model inputs'!C37="","",'Model inputs'!C37=1))="",FALSE,IF(ISERROR('Model inputs'!C37=1),'Model inputs'!C37=1,IF('Model inputs'!C37="","",'Model inputs'!C37=1))),IF('Model inputs'!B121="","",'Model inputs'!B121),'Model inputs'!AG129*(1+IF(IF(IF(IF(ISERROR('Model inputs'!C37&lt;=8),'Model inputs'!C37&lt;=8,IF('Model inputs'!C37="","",'Model inputs'!C37&lt;=8))="",FALSE,IF(ISERROR('Model inputs'!C37&lt;=8),'Model inputs'!C37&lt;=8,IF('Model inputs'!C37="","",'Model inputs'!C37&lt;=8))),IF('Model inputs'!B111="","",'Model inputs'!B111),IF('Model inputs'!B107="","",'Model inputs'!B107))="",0,IF(IF(IF(ISERROR('Model inputs'!C37&lt;=8),'Model inputs'!C37&lt;=8,IF('Model inputs'!C37="","",'Model inputs'!C37&lt;=8))="",FALSE,IF(ISERROR('Model inputs'!C37&lt;=8),'Model inputs'!C37&lt;=8,IF('Model inputs'!C37="","",'Model inputs'!C37&lt;=8))),IF('Model inputs'!B111="","",'Model inputs'!B111),IF('Model inputs'!B107="","",'Model inputs'!B107))))))</f>
        <v>0</v>
      </c>
      <c r="D50" s="9">
        <f>IF(IF(IF(ISERROR('Model inputs'!D37&lt;1),'Model inputs'!D37&lt;1,IF('Model inputs'!D37="","",'Model inputs'!D37&lt;1))="",FALSE,IF(ISERROR('Model inputs'!D37&lt;1),'Model inputs'!D37&lt;1,IF('Model inputs'!D37="","",'Model inputs'!D37&lt;1))),0,IF(IF(IF(ISERROR('Model inputs'!D37=1),'Model inputs'!D37=1,IF('Model inputs'!D37="","",'Model inputs'!D37=1))="",FALSE,IF(ISERROR('Model inputs'!D37=1),'Model inputs'!D37=1,IF('Model inputs'!D37="","",'Model inputs'!D37=1))),IF('Model inputs'!B121="","",'Model inputs'!B121),'Model inputs'!C50*(1+IF(IF(IF(IF(ISERROR('Model inputs'!D37&lt;=8),'Model inputs'!D37&lt;=8,IF('Model inputs'!D37="","",'Model inputs'!D37&lt;=8))="",FALSE,IF(ISERROR('Model inputs'!D37&lt;=8),'Model inputs'!D37&lt;=8,IF('Model inputs'!D37="","",'Model inputs'!D37&lt;=8))),IF('Model inputs'!B111="","",'Model inputs'!B111),IF('Model inputs'!B107="","",'Model inputs'!B107))="",0,IF(IF(IF(ISERROR('Model inputs'!D37&lt;=8),'Model inputs'!D37&lt;=8,IF('Model inputs'!D37="","",'Model inputs'!D37&lt;=8))="",FALSE,IF(ISERROR('Model inputs'!D37&lt;=8),'Model inputs'!D37&lt;=8,IF('Model inputs'!D37="","",'Model inputs'!D37&lt;=8))),IF('Model inputs'!B111="","",'Model inputs'!B111),IF('Model inputs'!B107="","",'Model inputs'!B107))))))</f>
        <v>3</v>
      </c>
      <c r="E50" s="9">
        <f>IF(IF(IF(ISERROR('Model inputs'!E37&lt;1),'Model inputs'!E37&lt;1,IF('Model inputs'!E37="","",'Model inputs'!E37&lt;1))="",FALSE,IF(ISERROR('Model inputs'!E37&lt;1),'Model inputs'!E37&lt;1,IF('Model inputs'!E37="","",'Model inputs'!E37&lt;1))),0,IF(IF(IF(ISERROR('Model inputs'!E37=1),'Model inputs'!E37=1,IF('Model inputs'!E37="","",'Model inputs'!E37=1))="",FALSE,IF(ISERROR('Model inputs'!E37=1),'Model inputs'!E37=1,IF('Model inputs'!E37="","",'Model inputs'!E37=1))),IF('Model inputs'!B121="","",'Model inputs'!B121),'Model inputs'!D50*(1+IF(IF(IF(IF(ISERROR('Model inputs'!E37&lt;=8),'Model inputs'!E37&lt;=8,IF('Model inputs'!E37="","",'Model inputs'!E37&lt;=8))="",FALSE,IF(ISERROR('Model inputs'!E37&lt;=8),'Model inputs'!E37&lt;=8,IF('Model inputs'!E37="","",'Model inputs'!E37&lt;=8))),IF('Model inputs'!B111="","",'Model inputs'!B111),IF('Model inputs'!B107="","",'Model inputs'!B107))="",0,IF(IF(IF(ISERROR('Model inputs'!E37&lt;=8),'Model inputs'!E37&lt;=8,IF('Model inputs'!E37="","",'Model inputs'!E37&lt;=8))="",FALSE,IF(ISERROR('Model inputs'!E37&lt;=8),'Model inputs'!E37&lt;=8,IF('Model inputs'!E37="","",'Model inputs'!E37&lt;=8))),IF('Model inputs'!B111="","",'Model inputs'!B111),IF('Model inputs'!B107="","",'Model inputs'!B107))))))</f>
        <v>3.3000000000000003</v>
      </c>
      <c r="F50" s="9">
        <f>IF(IF(IF(ISERROR('Model inputs'!F37&lt;1),'Model inputs'!F37&lt;1,IF('Model inputs'!F37="","",'Model inputs'!F37&lt;1))="",FALSE,IF(ISERROR('Model inputs'!F37&lt;1),'Model inputs'!F37&lt;1,IF('Model inputs'!F37="","",'Model inputs'!F37&lt;1))),0,IF(IF(IF(ISERROR('Model inputs'!F37=1),'Model inputs'!F37=1,IF('Model inputs'!F37="","",'Model inputs'!F37=1))="",FALSE,IF(ISERROR('Model inputs'!F37=1),'Model inputs'!F37=1,IF('Model inputs'!F37="","",'Model inputs'!F37=1))),IF('Model inputs'!B121="","",'Model inputs'!B121),'Model inputs'!E50*(1+IF(IF(IF(IF(ISERROR('Model inputs'!F37&lt;=8),'Model inputs'!F37&lt;=8,IF('Model inputs'!F37="","",'Model inputs'!F37&lt;=8))="",FALSE,IF(ISERROR('Model inputs'!F37&lt;=8),'Model inputs'!F37&lt;=8,IF('Model inputs'!F37="","",'Model inputs'!F37&lt;=8))),IF('Model inputs'!B111="","",'Model inputs'!B111),IF('Model inputs'!B107="","",'Model inputs'!B107))="",0,IF(IF(IF(ISERROR('Model inputs'!F37&lt;=8),'Model inputs'!F37&lt;=8,IF('Model inputs'!F37="","",'Model inputs'!F37&lt;=8))="",FALSE,IF(ISERROR('Model inputs'!F37&lt;=8),'Model inputs'!F37&lt;=8,IF('Model inputs'!F37="","",'Model inputs'!F37&lt;=8))),IF('Model inputs'!B111="","",'Model inputs'!B111),IF('Model inputs'!B107="","",'Model inputs'!B107))))))</f>
        <v>3.630000000000001</v>
      </c>
      <c r="G50" s="9">
        <f>IF(IF(IF(ISERROR('Model inputs'!G37&lt;1),'Model inputs'!G37&lt;1,IF('Model inputs'!G37="","",'Model inputs'!G37&lt;1))="",FALSE,IF(ISERROR('Model inputs'!G37&lt;1),'Model inputs'!G37&lt;1,IF('Model inputs'!G37="","",'Model inputs'!G37&lt;1))),0,IF(IF(IF(ISERROR('Model inputs'!G37=1),'Model inputs'!G37=1,IF('Model inputs'!G37="","",'Model inputs'!G37=1))="",FALSE,IF(ISERROR('Model inputs'!G37=1),'Model inputs'!G37=1,IF('Model inputs'!G37="","",'Model inputs'!G37=1))),IF('Model inputs'!B121="","",'Model inputs'!B121),'Model inputs'!F50*(1+IF(IF(IF(IF(ISERROR('Model inputs'!G37&lt;=8),'Model inputs'!G37&lt;=8,IF('Model inputs'!G37="","",'Model inputs'!G37&lt;=8))="",FALSE,IF(ISERROR('Model inputs'!G37&lt;=8),'Model inputs'!G37&lt;=8,IF('Model inputs'!G37="","",'Model inputs'!G37&lt;=8))),IF('Model inputs'!B111="","",'Model inputs'!B111),IF('Model inputs'!B107="","",'Model inputs'!B107))="",0,IF(IF(IF(ISERROR('Model inputs'!G37&lt;=8),'Model inputs'!G37&lt;=8,IF('Model inputs'!G37="","",'Model inputs'!G37&lt;=8))="",FALSE,IF(ISERROR('Model inputs'!G37&lt;=8),'Model inputs'!G37&lt;=8,IF('Model inputs'!G37="","",'Model inputs'!G37&lt;=8))),IF('Model inputs'!B111="","",'Model inputs'!B111),IF('Model inputs'!B107="","",'Model inputs'!B107))))))</f>
        <v>3.993000000000001</v>
      </c>
      <c r="H50" s="9">
        <f>IF(IF(IF(ISERROR('Model inputs'!H37&lt;1),'Model inputs'!H37&lt;1,IF('Model inputs'!H37="","",'Model inputs'!H37&lt;1))="",FALSE,IF(ISERROR('Model inputs'!H37&lt;1),'Model inputs'!H37&lt;1,IF('Model inputs'!H37="","",'Model inputs'!H37&lt;1))),0,IF(IF(IF(ISERROR('Model inputs'!H37=1),'Model inputs'!H37=1,IF('Model inputs'!H37="","",'Model inputs'!H37=1))="",FALSE,IF(ISERROR('Model inputs'!H37=1),'Model inputs'!H37=1,IF('Model inputs'!H37="","",'Model inputs'!H37=1))),IF('Model inputs'!B121="","",'Model inputs'!B121),'Model inputs'!G50*(1+IF(IF(IF(IF(ISERROR('Model inputs'!H37&lt;=8),'Model inputs'!H37&lt;=8,IF('Model inputs'!H37="","",'Model inputs'!H37&lt;=8))="",FALSE,IF(ISERROR('Model inputs'!H37&lt;=8),'Model inputs'!H37&lt;=8,IF('Model inputs'!H37="","",'Model inputs'!H37&lt;=8))),IF('Model inputs'!B111="","",'Model inputs'!B111),IF('Model inputs'!B107="","",'Model inputs'!B107))="",0,IF(IF(IF(ISERROR('Model inputs'!H37&lt;=8),'Model inputs'!H37&lt;=8,IF('Model inputs'!H37="","",'Model inputs'!H37&lt;=8))="",FALSE,IF(ISERROR('Model inputs'!H37&lt;=8),'Model inputs'!H37&lt;=8,IF('Model inputs'!H37="","",'Model inputs'!H37&lt;=8))),IF('Model inputs'!B111="","",'Model inputs'!B111),IF('Model inputs'!B107="","",'Model inputs'!B107))))))</f>
        <v>4.392300000000001</v>
      </c>
      <c r="I50" s="9">
        <f>IF(IF(IF(ISERROR('Model inputs'!I37&lt;1),'Model inputs'!I37&lt;1,IF('Model inputs'!I37="","",'Model inputs'!I37&lt;1))="",FALSE,IF(ISERROR('Model inputs'!I37&lt;1),'Model inputs'!I37&lt;1,IF('Model inputs'!I37="","",'Model inputs'!I37&lt;1))),0,IF(IF(IF(ISERROR('Model inputs'!I37=1),'Model inputs'!I37=1,IF('Model inputs'!I37="","",'Model inputs'!I37=1))="",FALSE,IF(ISERROR('Model inputs'!I37=1),'Model inputs'!I37=1,IF('Model inputs'!I37="","",'Model inputs'!I37=1))),IF('Model inputs'!B121="","",'Model inputs'!B121),'Model inputs'!H50*(1+IF(IF(IF(IF(ISERROR('Model inputs'!I37&lt;=8),'Model inputs'!I37&lt;=8,IF('Model inputs'!I37="","",'Model inputs'!I37&lt;=8))="",FALSE,IF(ISERROR('Model inputs'!I37&lt;=8),'Model inputs'!I37&lt;=8,IF('Model inputs'!I37="","",'Model inputs'!I37&lt;=8))),IF('Model inputs'!B111="","",'Model inputs'!B111),IF('Model inputs'!B107="","",'Model inputs'!B107))="",0,IF(IF(IF(ISERROR('Model inputs'!I37&lt;=8),'Model inputs'!I37&lt;=8,IF('Model inputs'!I37="","",'Model inputs'!I37&lt;=8))="",FALSE,IF(ISERROR('Model inputs'!I37&lt;=8),'Model inputs'!I37&lt;=8,IF('Model inputs'!I37="","",'Model inputs'!I37&lt;=8))),IF('Model inputs'!B111="","",'Model inputs'!B111),IF('Model inputs'!B107="","",'Model inputs'!B107))))))</f>
        <v>4.831530000000002</v>
      </c>
      <c r="J50" s="9">
        <f>IF(IF(IF(ISERROR('Model inputs'!J37&lt;1),'Model inputs'!J37&lt;1,IF('Model inputs'!J37="","",'Model inputs'!J37&lt;1))="",FALSE,IF(ISERROR('Model inputs'!J37&lt;1),'Model inputs'!J37&lt;1,IF('Model inputs'!J37="","",'Model inputs'!J37&lt;1))),0,IF(IF(IF(ISERROR('Model inputs'!J37=1),'Model inputs'!J37=1,IF('Model inputs'!J37="","",'Model inputs'!J37=1))="",FALSE,IF(ISERROR('Model inputs'!J37=1),'Model inputs'!J37=1,IF('Model inputs'!J37="","",'Model inputs'!J37=1))),IF('Model inputs'!B121="","",'Model inputs'!B121),'Model inputs'!I50*(1+IF(IF(IF(IF(ISERROR('Model inputs'!J37&lt;=8),'Model inputs'!J37&lt;=8,IF('Model inputs'!J37="","",'Model inputs'!J37&lt;=8))="",FALSE,IF(ISERROR('Model inputs'!J37&lt;=8),'Model inputs'!J37&lt;=8,IF('Model inputs'!J37="","",'Model inputs'!J37&lt;=8))),IF('Model inputs'!B111="","",'Model inputs'!B111),IF('Model inputs'!B107="","",'Model inputs'!B107))="",0,IF(IF(IF(ISERROR('Model inputs'!J37&lt;=8),'Model inputs'!J37&lt;=8,IF('Model inputs'!J37="","",'Model inputs'!J37&lt;=8))="",FALSE,IF(ISERROR('Model inputs'!J37&lt;=8),'Model inputs'!J37&lt;=8,IF('Model inputs'!J37="","",'Model inputs'!J37&lt;=8))),IF('Model inputs'!B111="","",'Model inputs'!B111),IF('Model inputs'!B107="","",'Model inputs'!B107))))))</f>
        <v>5.314683000000002</v>
      </c>
      <c r="K50" s="9">
        <f>IF(IF(IF(ISERROR('Model inputs'!K37&lt;1),'Model inputs'!K37&lt;1,IF('Model inputs'!K37="","",'Model inputs'!K37&lt;1))="",FALSE,IF(ISERROR('Model inputs'!K37&lt;1),'Model inputs'!K37&lt;1,IF('Model inputs'!K37="","",'Model inputs'!K37&lt;1))),0,IF(IF(IF(ISERROR('Model inputs'!K37=1),'Model inputs'!K37=1,IF('Model inputs'!K37="","",'Model inputs'!K37=1))="",FALSE,IF(ISERROR('Model inputs'!K37=1),'Model inputs'!K37=1,IF('Model inputs'!K37="","",'Model inputs'!K37=1))),IF('Model inputs'!B121="","",'Model inputs'!B121),'Model inputs'!J50*(1+IF(IF(IF(IF(ISERROR('Model inputs'!K37&lt;=8),'Model inputs'!K37&lt;=8,IF('Model inputs'!K37="","",'Model inputs'!K37&lt;=8))="",FALSE,IF(ISERROR('Model inputs'!K37&lt;=8),'Model inputs'!K37&lt;=8,IF('Model inputs'!K37="","",'Model inputs'!K37&lt;=8))),IF('Model inputs'!B111="","",'Model inputs'!B111),IF('Model inputs'!B107="","",'Model inputs'!B107))="",0,IF(IF(IF(ISERROR('Model inputs'!K37&lt;=8),'Model inputs'!K37&lt;=8,IF('Model inputs'!K37="","",'Model inputs'!K37&lt;=8))="",FALSE,IF(ISERROR('Model inputs'!K37&lt;=8),'Model inputs'!K37&lt;=8,IF('Model inputs'!K37="","",'Model inputs'!K37&lt;=8))),IF('Model inputs'!B111="","",'Model inputs'!B111),IF('Model inputs'!B107="","",'Model inputs'!B107))))))</f>
        <v>5.846151300000003</v>
      </c>
      <c r="L50" s="9">
        <f>IF(IF(IF(ISERROR('Model inputs'!L37&lt;1),'Model inputs'!L37&lt;1,IF('Model inputs'!L37="","",'Model inputs'!L37&lt;1))="",FALSE,IF(ISERROR('Model inputs'!L37&lt;1),'Model inputs'!L37&lt;1,IF('Model inputs'!L37="","",'Model inputs'!L37&lt;1))),0,IF(IF(IF(ISERROR('Model inputs'!L37=1),'Model inputs'!L37=1,IF('Model inputs'!L37="","",'Model inputs'!L37=1))="",FALSE,IF(ISERROR('Model inputs'!L37=1),'Model inputs'!L37=1,IF('Model inputs'!L37="","",'Model inputs'!L37=1))),IF('Model inputs'!B121="","",'Model inputs'!B121),'Model inputs'!K50*(1+IF(IF(IF(IF(ISERROR('Model inputs'!L37&lt;=8),'Model inputs'!L37&lt;=8,IF('Model inputs'!L37="","",'Model inputs'!L37&lt;=8))="",FALSE,IF(ISERROR('Model inputs'!L37&lt;=8),'Model inputs'!L37&lt;=8,IF('Model inputs'!L37="","",'Model inputs'!L37&lt;=8))),IF('Model inputs'!B111="","",'Model inputs'!B111),IF('Model inputs'!B107="","",'Model inputs'!B107))="",0,IF(IF(IF(ISERROR('Model inputs'!L37&lt;=8),'Model inputs'!L37&lt;=8,IF('Model inputs'!L37="","",'Model inputs'!L37&lt;=8))="",FALSE,IF(ISERROR('Model inputs'!L37&lt;=8),'Model inputs'!L37&lt;=8,IF('Model inputs'!L37="","",'Model inputs'!L37&lt;=8))),IF('Model inputs'!B111="","",'Model inputs'!B111),IF('Model inputs'!B107="","",'Model inputs'!B107))))))</f>
        <v>6.079997352000004</v>
      </c>
      <c r="M50" s="9">
        <f>IF(IF(IF(ISERROR('Model inputs'!M37&lt;1),'Model inputs'!M37&lt;1,IF('Model inputs'!M37="","",'Model inputs'!M37&lt;1))="",FALSE,IF(ISERROR('Model inputs'!M37&lt;1),'Model inputs'!M37&lt;1,IF('Model inputs'!M37="","",'Model inputs'!M37&lt;1))),0,IF(IF(IF(ISERROR('Model inputs'!M37=1),'Model inputs'!M37=1,IF('Model inputs'!M37="","",'Model inputs'!M37=1))="",FALSE,IF(ISERROR('Model inputs'!M37=1),'Model inputs'!M37=1,IF('Model inputs'!M37="","",'Model inputs'!M37=1))),IF('Model inputs'!B121="","",'Model inputs'!B121),'Model inputs'!L50*(1+IF(IF(IF(IF(ISERROR('Model inputs'!M37&lt;=8),'Model inputs'!M37&lt;=8,IF('Model inputs'!M37="","",'Model inputs'!M37&lt;=8))="",FALSE,IF(ISERROR('Model inputs'!M37&lt;=8),'Model inputs'!M37&lt;=8,IF('Model inputs'!M37="","",'Model inputs'!M37&lt;=8))),IF('Model inputs'!B111="","",'Model inputs'!B111),IF('Model inputs'!B107="","",'Model inputs'!B107))="",0,IF(IF(IF(ISERROR('Model inputs'!M37&lt;=8),'Model inputs'!M37&lt;=8,IF('Model inputs'!M37="","",'Model inputs'!M37&lt;=8))="",FALSE,IF(ISERROR('Model inputs'!M37&lt;=8),'Model inputs'!M37&lt;=8,IF('Model inputs'!M37="","",'Model inputs'!M37&lt;=8))),IF('Model inputs'!B111="","",'Model inputs'!B111),IF('Model inputs'!B107="","",'Model inputs'!B107))))))</f>
        <v>6.323197246080004</v>
      </c>
      <c r="N50" s="9">
        <f>IF(IF(IF(ISERROR('Model inputs'!N37&lt;1),'Model inputs'!N37&lt;1,IF('Model inputs'!N37="","",'Model inputs'!N37&lt;1))="",FALSE,IF(ISERROR('Model inputs'!N37&lt;1),'Model inputs'!N37&lt;1,IF('Model inputs'!N37="","",'Model inputs'!N37&lt;1))),0,IF(IF(IF(ISERROR('Model inputs'!N37=1),'Model inputs'!N37=1,IF('Model inputs'!N37="","",'Model inputs'!N37=1))="",FALSE,IF(ISERROR('Model inputs'!N37=1),'Model inputs'!N37=1,IF('Model inputs'!N37="","",'Model inputs'!N37=1))),IF('Model inputs'!B121="","",'Model inputs'!B121),'Model inputs'!M50*(1+IF(IF(IF(IF(ISERROR('Model inputs'!N37&lt;=8),'Model inputs'!N37&lt;=8,IF('Model inputs'!N37="","",'Model inputs'!N37&lt;=8))="",FALSE,IF(ISERROR('Model inputs'!N37&lt;=8),'Model inputs'!N37&lt;=8,IF('Model inputs'!N37="","",'Model inputs'!N37&lt;=8))),IF('Model inputs'!B111="","",'Model inputs'!B111),IF('Model inputs'!B107="","",'Model inputs'!B107))="",0,IF(IF(IF(ISERROR('Model inputs'!N37&lt;=8),'Model inputs'!N37&lt;=8,IF('Model inputs'!N37="","",'Model inputs'!N37&lt;=8))="",FALSE,IF(ISERROR('Model inputs'!N37&lt;=8),'Model inputs'!N37&lt;=8,IF('Model inputs'!N37="","",'Model inputs'!N37&lt;=8))),IF('Model inputs'!B111="","",'Model inputs'!B111),IF('Model inputs'!B107="","",'Model inputs'!B107))))))</f>
        <v>6.5761251359232045</v>
      </c>
      <c r="O50" s="9">
        <f>IF(IF(IF(ISERROR('Model inputs'!O37&lt;1),'Model inputs'!O37&lt;1,IF('Model inputs'!O37="","",'Model inputs'!O37&lt;1))="",FALSE,IF(ISERROR('Model inputs'!O37&lt;1),'Model inputs'!O37&lt;1,IF('Model inputs'!O37="","",'Model inputs'!O37&lt;1))),0,IF(IF(IF(ISERROR('Model inputs'!O37=1),'Model inputs'!O37=1,IF('Model inputs'!O37="","",'Model inputs'!O37=1))="",FALSE,IF(ISERROR('Model inputs'!O37=1),'Model inputs'!O37=1,IF('Model inputs'!O37="","",'Model inputs'!O37=1))),IF('Model inputs'!B121="","",'Model inputs'!B121),'Model inputs'!N50*(1+IF(IF(IF(IF(ISERROR('Model inputs'!O37&lt;=8),'Model inputs'!O37&lt;=8,IF('Model inputs'!O37="","",'Model inputs'!O37&lt;=8))="",FALSE,IF(ISERROR('Model inputs'!O37&lt;=8),'Model inputs'!O37&lt;=8,IF('Model inputs'!O37="","",'Model inputs'!O37&lt;=8))),IF('Model inputs'!B111="","",'Model inputs'!B111),IF('Model inputs'!B107="","",'Model inputs'!B107))="",0,IF(IF(IF(ISERROR('Model inputs'!O37&lt;=8),'Model inputs'!O37&lt;=8,IF('Model inputs'!O37="","",'Model inputs'!O37&lt;=8))="",FALSE,IF(ISERROR('Model inputs'!O37&lt;=8),'Model inputs'!O37&lt;=8,IF('Model inputs'!O37="","",'Model inputs'!O37&lt;=8))),IF('Model inputs'!B111="","",'Model inputs'!B111),IF('Model inputs'!B107="","",'Model inputs'!B107))))))</f>
        <v>6.839170141360133</v>
      </c>
      <c r="P50" s="9">
        <f>IF(IF(IF(ISERROR('Model inputs'!P37&lt;1),'Model inputs'!P37&lt;1,IF('Model inputs'!P37="","",'Model inputs'!P37&lt;1))="",FALSE,IF(ISERROR('Model inputs'!P37&lt;1),'Model inputs'!P37&lt;1,IF('Model inputs'!P37="","",'Model inputs'!P37&lt;1))),0,IF(IF(IF(ISERROR('Model inputs'!P37=1),'Model inputs'!P37=1,IF('Model inputs'!P37="","",'Model inputs'!P37=1))="",FALSE,IF(ISERROR('Model inputs'!P37=1),'Model inputs'!P37=1,IF('Model inputs'!P37="","",'Model inputs'!P37=1))),IF('Model inputs'!B121="","",'Model inputs'!B121),'Model inputs'!O50*(1+IF(IF(IF(IF(ISERROR('Model inputs'!P37&lt;=8),'Model inputs'!P37&lt;=8,IF('Model inputs'!P37="","",'Model inputs'!P37&lt;=8))="",FALSE,IF(ISERROR('Model inputs'!P37&lt;=8),'Model inputs'!P37&lt;=8,IF('Model inputs'!P37="","",'Model inputs'!P37&lt;=8))),IF('Model inputs'!B111="","",'Model inputs'!B111),IF('Model inputs'!B107="","",'Model inputs'!B107))="",0,IF(IF(IF(ISERROR('Model inputs'!P37&lt;=8),'Model inputs'!P37&lt;=8,IF('Model inputs'!P37="","",'Model inputs'!P37&lt;=8))="",FALSE,IF(ISERROR('Model inputs'!P37&lt;=8),'Model inputs'!P37&lt;=8,IF('Model inputs'!P37="","",'Model inputs'!P37&lt;=8))),IF('Model inputs'!B111="","",'Model inputs'!B111),IF('Model inputs'!B107="","",'Model inputs'!B107))))))</f>
        <v>7.112736947014538</v>
      </c>
      <c r="Q50" s="9">
        <f>IF(IF(IF(ISERROR('Model inputs'!Q37&lt;1),'Model inputs'!Q37&lt;1,IF('Model inputs'!Q37="","",'Model inputs'!Q37&lt;1))="",FALSE,IF(ISERROR('Model inputs'!Q37&lt;1),'Model inputs'!Q37&lt;1,IF('Model inputs'!Q37="","",'Model inputs'!Q37&lt;1))),0,IF(IF(IF(ISERROR('Model inputs'!Q37=1),'Model inputs'!Q37=1,IF('Model inputs'!Q37="","",'Model inputs'!Q37=1))="",FALSE,IF(ISERROR('Model inputs'!Q37=1),'Model inputs'!Q37=1,IF('Model inputs'!Q37="","",'Model inputs'!Q37=1))),IF('Model inputs'!B121="","",'Model inputs'!B121),'Model inputs'!P50*(1+IF(IF(IF(IF(ISERROR('Model inputs'!Q37&lt;=8),'Model inputs'!Q37&lt;=8,IF('Model inputs'!Q37="","",'Model inputs'!Q37&lt;=8))="",FALSE,IF(ISERROR('Model inputs'!Q37&lt;=8),'Model inputs'!Q37&lt;=8,IF('Model inputs'!Q37="","",'Model inputs'!Q37&lt;=8))),IF('Model inputs'!B111="","",'Model inputs'!B111),IF('Model inputs'!B107="","",'Model inputs'!B107))="",0,IF(IF(IF(ISERROR('Model inputs'!Q37&lt;=8),'Model inputs'!Q37&lt;=8,IF('Model inputs'!Q37="","",'Model inputs'!Q37&lt;=8))="",FALSE,IF(ISERROR('Model inputs'!Q37&lt;=8),'Model inputs'!Q37&lt;=8,IF('Model inputs'!Q37="","",'Model inputs'!Q37&lt;=8))),IF('Model inputs'!B111="","",'Model inputs'!B111),IF('Model inputs'!B107="","",'Model inputs'!B107))))))</f>
        <v>7.39724642489512</v>
      </c>
      <c r="R50" s="9">
        <f>IF(IF(IF(ISERROR('Model inputs'!R37&lt;1),'Model inputs'!R37&lt;1,IF('Model inputs'!R37="","",'Model inputs'!R37&lt;1))="",FALSE,IF(ISERROR('Model inputs'!R37&lt;1),'Model inputs'!R37&lt;1,IF('Model inputs'!R37="","",'Model inputs'!R37&lt;1))),0,IF(IF(IF(ISERROR('Model inputs'!R37=1),'Model inputs'!R37=1,IF('Model inputs'!R37="","",'Model inputs'!R37=1))="",FALSE,IF(ISERROR('Model inputs'!R37=1),'Model inputs'!R37=1,IF('Model inputs'!R37="","",'Model inputs'!R37=1))),IF('Model inputs'!B121="","",'Model inputs'!B121),'Model inputs'!Q50*(1+IF(IF(IF(IF(ISERROR('Model inputs'!R37&lt;=8),'Model inputs'!R37&lt;=8,IF('Model inputs'!R37="","",'Model inputs'!R37&lt;=8))="",FALSE,IF(ISERROR('Model inputs'!R37&lt;=8),'Model inputs'!R37&lt;=8,IF('Model inputs'!R37="","",'Model inputs'!R37&lt;=8))),IF('Model inputs'!B111="","",'Model inputs'!B111),IF('Model inputs'!B107="","",'Model inputs'!B107))="",0,IF(IF(IF(ISERROR('Model inputs'!R37&lt;=8),'Model inputs'!R37&lt;=8,IF('Model inputs'!R37="","",'Model inputs'!R37&lt;=8))="",FALSE,IF(ISERROR('Model inputs'!R37&lt;=8),'Model inputs'!R37&lt;=8,IF('Model inputs'!R37="","",'Model inputs'!R37&lt;=8))),IF('Model inputs'!B111="","",'Model inputs'!B111),IF('Model inputs'!B107="","",'Model inputs'!B107))))))</f>
        <v>7.693136281890925</v>
      </c>
      <c r="S50" s="9">
        <f>IF(IF(IF(ISERROR('Model inputs'!S37&lt;1),'Model inputs'!S37&lt;1,IF('Model inputs'!S37="","",'Model inputs'!S37&lt;1))="",FALSE,IF(ISERROR('Model inputs'!S37&lt;1),'Model inputs'!S37&lt;1,IF('Model inputs'!S37="","",'Model inputs'!S37&lt;1))),0,IF(IF(IF(ISERROR('Model inputs'!S37=1),'Model inputs'!S37=1,IF('Model inputs'!S37="","",'Model inputs'!S37=1))="",FALSE,IF(ISERROR('Model inputs'!S37=1),'Model inputs'!S37=1,IF('Model inputs'!S37="","",'Model inputs'!S37=1))),IF('Model inputs'!B121="","",'Model inputs'!B121),'Model inputs'!R50*(1+IF(IF(IF(IF(ISERROR('Model inputs'!S37&lt;=8),'Model inputs'!S37&lt;=8,IF('Model inputs'!S37="","",'Model inputs'!S37&lt;=8))="",FALSE,IF(ISERROR('Model inputs'!S37&lt;=8),'Model inputs'!S37&lt;=8,IF('Model inputs'!S37="","",'Model inputs'!S37&lt;=8))),IF('Model inputs'!B111="","",'Model inputs'!B111),IF('Model inputs'!B107="","",'Model inputs'!B107))="",0,IF(IF(IF(ISERROR('Model inputs'!S37&lt;=8),'Model inputs'!S37&lt;=8,IF('Model inputs'!S37="","",'Model inputs'!S37&lt;=8))="",FALSE,IF(ISERROR('Model inputs'!S37&lt;=8),'Model inputs'!S37&lt;=8,IF('Model inputs'!S37="","",'Model inputs'!S37&lt;=8))),IF('Model inputs'!B111="","",'Model inputs'!B111),IF('Model inputs'!B107="","",'Model inputs'!B107))))))</f>
        <v>8.000861733166563</v>
      </c>
      <c r="T50" s="9">
        <f>IF(IF(IF(ISERROR('Model inputs'!T37&lt;1),'Model inputs'!T37&lt;1,IF('Model inputs'!T37="","",'Model inputs'!T37&lt;1))="",FALSE,IF(ISERROR('Model inputs'!T37&lt;1),'Model inputs'!T37&lt;1,IF('Model inputs'!T37="","",'Model inputs'!T37&lt;1))),0,IF(IF(IF(ISERROR('Model inputs'!T37=1),'Model inputs'!T37=1,IF('Model inputs'!T37="","",'Model inputs'!T37=1))="",FALSE,IF(ISERROR('Model inputs'!T37=1),'Model inputs'!T37=1,IF('Model inputs'!T37="","",'Model inputs'!T37=1))),IF('Model inputs'!B121="","",'Model inputs'!B121),'Model inputs'!S50*(1+IF(IF(IF(IF(ISERROR('Model inputs'!T37&lt;=8),'Model inputs'!T37&lt;=8,IF('Model inputs'!T37="","",'Model inputs'!T37&lt;=8))="",FALSE,IF(ISERROR('Model inputs'!T37&lt;=8),'Model inputs'!T37&lt;=8,IF('Model inputs'!T37="","",'Model inputs'!T37&lt;=8))),IF('Model inputs'!B111="","",'Model inputs'!B111),IF('Model inputs'!B107="","",'Model inputs'!B107))="",0,IF(IF(IF(ISERROR('Model inputs'!T37&lt;=8),'Model inputs'!T37&lt;=8,IF('Model inputs'!T37="","",'Model inputs'!T37&lt;=8))="",FALSE,IF(ISERROR('Model inputs'!T37&lt;=8),'Model inputs'!T37&lt;=8,IF('Model inputs'!T37="","",'Model inputs'!T37&lt;=8))),IF('Model inputs'!B111="","",'Model inputs'!B111),IF('Model inputs'!B107="","",'Model inputs'!B107))))))</f>
        <v>8.320896202493225</v>
      </c>
    </row>
    <row r="51">
      <c r="A51" t="inlineStr" s="20">
        <is>
          <t xml:space="preserve">Payment fees</t>
        </is>
      </c>
      <c r="C51" s="15">
        <f>SUM('Model inputs'!C52,'Model inputs'!C53,'Model inputs'!C54)</f>
        <v>92.33272000000001</v>
      </c>
      <c r="D51" s="15">
        <f>SUM('Model inputs'!D52,'Model inputs'!D53,'Model inputs'!D54)</f>
        <v>188.068080125</v>
      </c>
      <c r="E51" s="15">
        <f>SUM('Model inputs'!E52,'Model inputs'!E53,'Model inputs'!E54)</f>
        <v>260.0429898737778</v>
      </c>
      <c r="F51" s="15">
        <f>SUM('Model inputs'!F52,'Model inputs'!F53,'Model inputs'!F54)</f>
        <v>335.1664347990748</v>
      </c>
      <c r="G51" s="15">
        <f>SUM('Model inputs'!G52,'Model inputs'!G53,'Model inputs'!G54)</f>
        <v>413.78401436942465</v>
      </c>
      <c r="H51" s="15">
        <f>SUM('Model inputs'!H52,'Model inputs'!H53,'Model inputs'!H54)</f>
        <v>496.2816383447089</v>
      </c>
      <c r="I51" s="15">
        <f>SUM('Model inputs'!I52,'Model inputs'!I53,'Model inputs'!I54)</f>
        <v>583.088378449062</v>
      </c>
      <c r="J51" s="15">
        <f>SUM('Model inputs'!J52,'Model inputs'!J53,'Model inputs'!J54)</f>
        <v>557.2833486659224</v>
      </c>
      <c r="K51" s="15">
        <f>SUM('Model inputs'!K52,'Model inputs'!K53,'Model inputs'!K54)</f>
        <v>628.2135614513089</v>
      </c>
      <c r="L51" s="15">
        <f>SUM('Model inputs'!L52,'Model inputs'!L53,'Model inputs'!L54)</f>
        <v>695.4951727272281</v>
      </c>
      <c r="M51" s="15">
        <f>SUM('Model inputs'!M52,'Model inputs'!M53,'Model inputs'!M54)</f>
        <v>763.7046916431891</v>
      </c>
      <c r="N51" s="15">
        <f>SUM('Model inputs'!N52,'Model inputs'!N53,'Model inputs'!N54)</f>
        <v>832.9603774238383</v>
      </c>
      <c r="O51" s="15">
        <f>SUM('Model inputs'!O52,'Model inputs'!O53,'Model inputs'!O54)</f>
        <v>903.3805557774197</v>
      </c>
      <c r="P51" s="15">
        <f>SUM('Model inputs'!P52,'Model inputs'!P53,'Model inputs'!P54)</f>
        <v>1001.6961166493504</v>
      </c>
      <c r="Q51" s="15">
        <f>SUM('Model inputs'!Q52,'Model inputs'!Q53,'Model inputs'!Q54)</f>
        <v>1094.9873007989427</v>
      </c>
      <c r="R51" s="15">
        <f>SUM('Model inputs'!R52,'Model inputs'!R53,'Model inputs'!R54)</f>
        <v>1192.3131472022542</v>
      </c>
      <c r="S51" s="15">
        <f>SUM('Model inputs'!S52,'Model inputs'!S53,'Model inputs'!S54)</f>
        <v>1294.0719669015866</v>
      </c>
      <c r="T51" s="15">
        <f>SUM('Model inputs'!T52,'Model inputs'!T53,'Model inputs'!T54)</f>
        <v>1400.701363105876</v>
      </c>
    </row>
    <row r="52" outlineLevel="1">
      <c r="A52" t="inlineStr" s="21">
        <is>
          <t xml:space="preserve">Payment fees &gt; Indie</t>
        </is>
      </c>
      <c r="C52" s="16">
        <f>'Model inputs'!C86*'Model inputs'!B84+'Model inputs'!C80*'Model inputs'!B83</f>
        <v>47.6816</v>
      </c>
      <c r="D52" s="16">
        <f>'Model inputs'!D86*'Model inputs'!B84+'Model inputs'!D80*'Model inputs'!B83</f>
        <v>88.60830666666666</v>
      </c>
      <c r="E52" s="16">
        <f>'Model inputs'!E86*'Model inputs'!B84+'Model inputs'!E80*'Model inputs'!B83</f>
        <v>114.88616622222224</v>
      </c>
      <c r="F52" s="16">
        <f>'Model inputs'!F86*'Model inputs'!B84+'Model inputs'!F80*'Model inputs'!B83</f>
        <v>141.9869748740741</v>
      </c>
      <c r="G52" s="16">
        <f>'Model inputs'!G86*'Model inputs'!B84+'Model inputs'!G80*'Model inputs'!B83</f>
        <v>170.06185386113583</v>
      </c>
      <c r="H52" s="16">
        <f>'Model inputs'!H86*'Model inputs'!B84+'Model inputs'!H80*'Model inputs'!B83</f>
        <v>199.26832843402013</v>
      </c>
      <c r="I52" s="16">
        <f>'Model inputs'!I86*'Model inputs'!B84+'Model inputs'!I80*'Model inputs'!B83</f>
        <v>229.77121922180223</v>
      </c>
      <c r="J52" s="16">
        <f>'Model inputs'!J86*'Model inputs'!B84+'Model inputs'!J80*'Model inputs'!B83</f>
        <v>261.74357963840293</v>
      </c>
      <c r="K52" s="16">
        <f>'Model inputs'!K86*'Model inputs'!B84+'Model inputs'!K80*'Model inputs'!B83</f>
        <v>295.3676846964079</v>
      </c>
      <c r="L52" s="16">
        <f>'Model inputs'!L86*'Model inputs'!B84+'Model inputs'!L80*'Model inputs'!B83</f>
        <v>328.7931298319018</v>
      </c>
      <c r="M52" s="16">
        <f>'Model inputs'!M86*'Model inputs'!B84+'Model inputs'!M80*'Model inputs'!B83</f>
        <v>362.1148769229731</v>
      </c>
      <c r="N52" s="16">
        <f>'Model inputs'!N86*'Model inputs'!B84+'Model inputs'!N80*'Model inputs'!B83</f>
        <v>395.4248257711674</v>
      </c>
      <c r="O52" s="16">
        <f>'Model inputs'!O86*'Model inputs'!B84+'Model inputs'!O80*'Model inputs'!B83</f>
        <v>428.81214898853784</v>
      </c>
      <c r="P52" s="16">
        <f>'Model inputs'!P86*'Model inputs'!B84+'Model inputs'!P80*'Model inputs'!B83</f>
        <v>462.36360978883476</v>
      </c>
      <c r="Q52" s="16">
        <f>'Model inputs'!Q86*'Model inputs'!B84+'Model inputs'!Q80*'Model inputs'!B83</f>
        <v>496.16386403176006</v>
      </c>
      <c r="R52" s="16">
        <f>'Model inputs'!R86*'Model inputs'!B84+'Model inputs'!R80*'Model inputs'!B83</f>
        <v>530.2957477876441</v>
      </c>
      <c r="S52" s="16">
        <f>'Model inputs'!S86*'Model inputs'!B84+'Model inputs'!S80*'Model inputs'!B83</f>
        <v>564.8405516141227</v>
      </c>
      <c r="T52" s="16">
        <f>'Model inputs'!T86*'Model inputs'!B84+'Model inputs'!T80*'Model inputs'!B83</f>
        <v>599.8782826659955</v>
      </c>
    </row>
    <row r="53" outlineLevel="1">
      <c r="A53" t="inlineStr" s="21">
        <is>
          <t xml:space="preserve">Payment fees &gt; Launch</t>
        </is>
      </c>
      <c r="C53" s="16">
        <f>'Model inputs'!C87*'Model inputs'!B84+'Model inputs'!C81*'Model inputs'!B83</f>
        <v>15.564440000000001</v>
      </c>
      <c r="D53" s="16">
        <f>'Model inputs'!D87*'Model inputs'!B84+'Model inputs'!D81*'Model inputs'!B83</f>
        <v>34.97418965</v>
      </c>
      <c r="E53" s="16">
        <f>'Model inputs'!E87*'Model inputs'!B84+'Model inputs'!E81*'Model inputs'!B83</f>
        <v>49.70887454893054</v>
      </c>
      <c r="F53" s="16">
        <f>'Model inputs'!F87*'Model inputs'!B84+'Model inputs'!F81*'Model inputs'!B83</f>
        <v>63.94735449644058</v>
      </c>
      <c r="G53" s="16">
        <f>'Model inputs'!G87*'Model inputs'!B84+'Model inputs'!G81*'Model inputs'!B83</f>
        <v>77.73847893505328</v>
      </c>
      <c r="H53" s="16">
        <f>'Model inputs'!H87*'Model inputs'!B84+'Model inputs'!H81*'Model inputs'!B83</f>
        <v>91.131560867433</v>
      </c>
      <c r="I53" s="16">
        <f>'Model inputs'!I87*'Model inputs'!B84+'Model inputs'!I81*'Model inputs'!B83</f>
        <v>104.1768223265935</v>
      </c>
      <c r="J53" s="16">
        <f>'Model inputs'!J87*'Model inputs'!B84+'Model inputs'!J81*'Model inputs'!B83</f>
        <v>80.97747572261697</v>
      </c>
      <c r="K53" s="16">
        <f>'Model inputs'!K87*'Model inputs'!B84+'Model inputs'!K81*'Model inputs'!B83</f>
        <v>88.16845249585907</v>
      </c>
      <c r="L53" s="16">
        <f>'Model inputs'!L87*'Model inputs'!B84+'Model inputs'!L81*'Model inputs'!B83</f>
        <v>95.64269294993724</v>
      </c>
      <c r="M53" s="16">
        <f>'Model inputs'!M87*'Model inputs'!B84+'Model inputs'!M81*'Model inputs'!B83</f>
        <v>103.34212467758014</v>
      </c>
      <c r="N53" s="16">
        <f>'Model inputs'!N87*'Model inputs'!B84+'Model inputs'!N81*'Model inputs'!B83</f>
        <v>111.27355621035743</v>
      </c>
      <c r="O53" s="16">
        <f>'Model inputs'!O87*'Model inputs'!B84+'Model inputs'!O81*'Model inputs'!B83</f>
        <v>119.44395970697099</v>
      </c>
      <c r="P53" s="16">
        <f>'Model inputs'!P87*'Model inputs'!B84+'Model inputs'!P81*'Model inputs'!B83</f>
        <v>138.51483868898342</v>
      </c>
      <c r="Q53" s="16">
        <f>'Model inputs'!Q87*'Model inputs'!B84+'Model inputs'!Q81*'Model inputs'!B83</f>
        <v>154.61375866601935</v>
      </c>
      <c r="R53" s="16">
        <f>'Model inputs'!R87*'Model inputs'!B84+'Model inputs'!R81*'Model inputs'!B83</f>
        <v>171.22678024207562</v>
      </c>
      <c r="S53" s="16">
        <f>'Model inputs'!S87*'Model inputs'!B84+'Model inputs'!S81*'Model inputs'!B83</f>
        <v>188.40318430341623</v>
      </c>
      <c r="T53" s="16">
        <f>'Model inputs'!T87*'Model inputs'!B84+'Model inputs'!T81*'Model inputs'!B83</f>
        <v>206.19613943859596</v>
      </c>
    </row>
    <row r="54" outlineLevel="1">
      <c r="A54" t="inlineStr" s="21">
        <is>
          <t xml:space="preserve">Payment fees &gt; Team</t>
        </is>
      </c>
      <c r="C54" s="16">
        <f>'Model inputs'!C88*'Model inputs'!B84+'Model inputs'!C82*'Model inputs'!B83</f>
        <v>29.08668</v>
      </c>
      <c r="D54" s="16">
        <f>'Model inputs'!D88*'Model inputs'!B84+'Model inputs'!D82*'Model inputs'!B83</f>
        <v>64.48558380833333</v>
      </c>
      <c r="E54" s="16">
        <f>'Model inputs'!E88*'Model inputs'!B84+'Model inputs'!E82*'Model inputs'!B83</f>
        <v>95.447949102625</v>
      </c>
      <c r="F54" s="16">
        <f>'Model inputs'!F88*'Model inputs'!B84+'Model inputs'!F82*'Model inputs'!B83</f>
        <v>129.23210542856012</v>
      </c>
      <c r="G54" s="16">
        <f>'Model inputs'!G88*'Model inputs'!B84+'Model inputs'!G82*'Model inputs'!B83</f>
        <v>165.98368157323554</v>
      </c>
      <c r="H54" s="16">
        <f>'Model inputs'!H88*'Model inputs'!B84+'Model inputs'!H82*'Model inputs'!B83</f>
        <v>205.88174904325575</v>
      </c>
      <c r="I54" s="16">
        <f>'Model inputs'!I88*'Model inputs'!B84+'Model inputs'!I82*'Model inputs'!B83</f>
        <v>249.14033690066623</v>
      </c>
      <c r="J54" s="16">
        <f>'Model inputs'!J88*'Model inputs'!B84+'Model inputs'!J82*'Model inputs'!B83</f>
        <v>214.56229330490257</v>
      </c>
      <c r="K54" s="16">
        <f>'Model inputs'!K88*'Model inputs'!B84+'Model inputs'!K82*'Model inputs'!B83</f>
        <v>244.67742425904197</v>
      </c>
      <c r="L54" s="16">
        <f>'Model inputs'!L88*'Model inputs'!B84+'Model inputs'!L82*'Model inputs'!B83</f>
        <v>271.05934994538904</v>
      </c>
      <c r="M54" s="16">
        <f>'Model inputs'!M88*'Model inputs'!B84+'Model inputs'!M82*'Model inputs'!B83</f>
        <v>298.2476900426359</v>
      </c>
      <c r="N54" s="16">
        <f>'Model inputs'!N88*'Model inputs'!B84+'Model inputs'!N82*'Model inputs'!B83</f>
        <v>326.26199544231343</v>
      </c>
      <c r="O54" s="16">
        <f>'Model inputs'!O88*'Model inputs'!B84+'Model inputs'!O82*'Model inputs'!B83</f>
        <v>355.12444708191083</v>
      </c>
      <c r="P54" s="16">
        <f>'Model inputs'!P88*'Model inputs'!B84+'Model inputs'!P82*'Model inputs'!B83</f>
        <v>400.8176681715322</v>
      </c>
      <c r="Q54" s="16">
        <f>'Model inputs'!Q88*'Model inputs'!B84+'Model inputs'!Q82*'Model inputs'!B83</f>
        <v>444.2096781011634</v>
      </c>
      <c r="R54" s="16">
        <f>'Model inputs'!R88*'Model inputs'!B84+'Model inputs'!R82*'Model inputs'!B83</f>
        <v>490.79061917253455</v>
      </c>
      <c r="S54" s="16">
        <f>'Model inputs'!S88*'Model inputs'!B84+'Model inputs'!S82*'Model inputs'!B83</f>
        <v>540.8282309840478</v>
      </c>
      <c r="T54" s="16">
        <f>'Model inputs'!T88*'Model inputs'!B84+'Model inputs'!T82*'Model inputs'!B83</f>
        <v>594.6269410012845</v>
      </c>
    </row>
    <row r="55">
      <c r="A55" t="inlineStr" s="20">
        <is>
          <t xml:space="preserve">Total revenue</t>
        </is>
      </c>
      <c r="C55" s="15">
        <f>SUM('Model inputs'!C56,'Model inputs'!C57,'Model inputs'!C58)</f>
        <v>2697.6800000000003</v>
      </c>
      <c r="D55" s="15">
        <f>SUM('Model inputs'!D56,'Model inputs'!D57,'Model inputs'!D58)</f>
        <v>4481.89507175926</v>
      </c>
      <c r="E55" s="15">
        <f>SUM('Model inputs'!E56,'Model inputs'!E57,'Model inputs'!E58)</f>
        <v>5942.2303711064815</v>
      </c>
      <c r="F55" s="15">
        <f>SUM('Model inputs'!F56,'Model inputs'!F57,'Model inputs'!F58)</f>
        <v>7466.747638507654</v>
      </c>
      <c r="G55" s="15">
        <f>SUM('Model inputs'!G56,'Model inputs'!G57,'Model inputs'!G58)</f>
        <v>9062.22892048943</v>
      </c>
      <c r="H55" s="15">
        <f>SUM('Model inputs'!H56,'Model inputs'!H57,'Model inputs'!H58)</f>
        <v>10735.980486577066</v>
      </c>
      <c r="I55" s="15">
        <f>SUM('Model inputs'!I56,'Model inputs'!I57,'Model inputs'!I58)</f>
        <v>12495.873782727971</v>
      </c>
      <c r="J55" s="15">
        <f>SUM('Model inputs'!J56,'Model inputs'!J57,'Model inputs'!J58)</f>
        <v>14425.355466802397</v>
      </c>
      <c r="K55" s="15">
        <f>SUM('Model inputs'!K56,'Model inputs'!K57,'Model inputs'!K58)</f>
        <v>16481.836984085563</v>
      </c>
      <c r="L55" s="15">
        <f>SUM('Model inputs'!L56,'Model inputs'!L57,'Model inputs'!L58)</f>
        <v>18573.18684566851</v>
      </c>
      <c r="M55" s="15">
        <f>SUM('Model inputs'!M56,'Model inputs'!M57,'Model inputs'!M58)</f>
        <v>20702.312341418667</v>
      </c>
      <c r="N55" s="15">
        <f>SUM('Model inputs'!N56,'Model inputs'!N57,'Model inputs'!N58)</f>
        <v>22872.168272079078</v>
      </c>
      <c r="O55" s="15">
        <f>SUM('Model inputs'!O56,'Model inputs'!O57,'Model inputs'!O58)</f>
        <v>25085.762702985274</v>
      </c>
      <c r="P55" s="15">
        <f>SUM('Model inputs'!P56,'Model inputs'!P57,'Model inputs'!P58)</f>
        <v>27346.162710611366</v>
      </c>
      <c r="Q55" s="15">
        <f>SUM('Model inputs'!Q56,'Model inputs'!Q57,'Model inputs'!Q58)</f>
        <v>29656.50013689306</v>
      </c>
      <c r="R55" s="15">
        <f>SUM('Model inputs'!R56,'Model inputs'!R57,'Model inputs'!R58)</f>
        <v>32019.977365876286</v>
      </c>
      <c r="S55" s="15">
        <f>SUM('Model inputs'!S56,'Model inputs'!S57,'Model inputs'!S58)</f>
        <v>34439.87313689126</v>
      </c>
      <c r="T55" s="15">
        <f>SUM('Model inputs'!T56,'Model inputs'!T57,'Model inputs'!T58)</f>
        <v>36919.5484081502</v>
      </c>
    </row>
    <row r="56" outlineLevel="1">
      <c r="A56" t="inlineStr" s="21">
        <is>
          <t xml:space="preserve">Total revenue &gt; Indie</t>
        </is>
      </c>
      <c r="C56" s="16">
        <f>'Model inputs'!C144+'Model inputs'!C135+'Model inputs'!C113</f>
        <v>1230.4</v>
      </c>
      <c r="D56" s="16">
        <f>'Model inputs'!D144+'Model inputs'!D135+'Model inputs'!D113</f>
        <v>2286.4933333333333</v>
      </c>
      <c r="E56" s="16">
        <f>'Model inputs'!E144+'Model inputs'!E135+'Model inputs'!E113</f>
        <v>2964.5804444444448</v>
      </c>
      <c r="F56" s="16">
        <f>'Model inputs'!F144+'Model inputs'!F135+'Model inputs'!F113</f>
        <v>3663.903348148149</v>
      </c>
      <c r="G56" s="16">
        <f>'Model inputs'!G144+'Model inputs'!G135+'Model inputs'!G113</f>
        <v>4388.3616529382725</v>
      </c>
      <c r="H56" s="16">
        <f>'Model inputs'!H144+'Model inputs'!H135+'Model inputs'!H113</f>
        <v>5142.0202196490545</v>
      </c>
      <c r="I56" s="16">
        <f>'Model inputs'!I144+'Model inputs'!I135+'Model inputs'!I113</f>
        <v>5929.13216273165</v>
      </c>
      <c r="J56" s="16">
        <f>'Model inputs'!J144+'Model inputs'!J135+'Model inputs'!J113</f>
        <v>6754.163039560144</v>
      </c>
      <c r="K56" s="16">
        <f>'Model inputs'!K144+'Model inputs'!K135+'Model inputs'!K113</f>
        <v>7621.816366280919</v>
      </c>
      <c r="L56" s="16">
        <f>'Model inputs'!L144+'Model inputs'!L135+'Model inputs'!L113</f>
        <v>8484.343372394635</v>
      </c>
      <c r="M56" s="16">
        <f>'Model inputs'!M144+'Model inputs'!M135+'Model inputs'!M113</f>
        <v>9344.194501988735</v>
      </c>
      <c r="N56" s="16">
        <f>'Model inputs'!N144+'Model inputs'!N135+'Model inputs'!N113</f>
        <v>10203.74118378671</v>
      </c>
      <c r="O56" s="16">
        <f>'Model inputs'!O144+'Model inputs'!O135+'Model inputs'!O113</f>
        <v>11065.284472742042</v>
      </c>
      <c r="P56" s="16">
        <f>'Model inputs'!P144+'Model inputs'!P135+'Model inputs'!P113</f>
        <v>11931.063250481995</v>
      </c>
      <c r="Q56" s="16">
        <f>'Model inputs'!Q144+'Model inputs'!Q135+'Model inputs'!Q113</f>
        <v>12803.262019409533</v>
      </c>
      <c r="R56" s="16">
        <f>'Model inputs'!R144+'Model inputs'!R135+'Model inputs'!R113</f>
        <v>13684.01832316695</v>
      </c>
      <c r="S56" s="16">
        <f>'Model inputs'!S144+'Model inputs'!S135+'Model inputs'!S113</f>
        <v>14575.429824209265</v>
      </c>
      <c r="T56" s="16">
        <f>'Model inputs'!T144+'Model inputs'!T135+'Model inputs'!T113</f>
        <v>15479.561067418897</v>
      </c>
    </row>
    <row r="57" outlineLevel="1">
      <c r="A57" t="inlineStr" s="21">
        <is>
          <t xml:space="preserve">Total revenue &gt; Launch</t>
        </is>
      </c>
      <c r="C57" s="16">
        <f>'Model inputs'!C145+'Model inputs'!C136+'Model inputs'!C114</f>
        <v>526.36</v>
      </c>
      <c r="D57" s="16">
        <f>'Model inputs'!D145+'Model inputs'!D136+'Model inputs'!D114</f>
        <v>787.4780027777778</v>
      </c>
      <c r="E57" s="16">
        <f>'Model inputs'!E145+'Model inputs'!E136+'Model inputs'!E114</f>
        <v>1046.2861286195985</v>
      </c>
      <c r="F57" s="16">
        <f>'Model inputs'!F145+'Model inputs'!F136+'Model inputs'!F114</f>
        <v>1303.5756353044392</v>
      </c>
      <c r="G57" s="16">
        <f>'Model inputs'!G145+'Model inputs'!G136+'Model inputs'!G114</f>
        <v>1559.9517961648992</v>
      </c>
      <c r="H57" s="16">
        <f>'Model inputs'!H145+'Model inputs'!H136+'Model inputs'!H114</f>
        <v>1816.0355541351703</v>
      </c>
      <c r="I57" s="16">
        <f>'Model inputs'!I145+'Model inputs'!I136+'Model inputs'!I114</f>
        <v>2072.4676212244485</v>
      </c>
      <c r="J57" s="16">
        <f>'Model inputs'!J145+'Model inputs'!J136+'Model inputs'!J114</f>
        <v>2352.8681827697096</v>
      </c>
      <c r="K57" s="16">
        <f>'Model inputs'!K145+'Model inputs'!K136+'Model inputs'!K114</f>
        <v>2640.5887875725334</v>
      </c>
      <c r="L57" s="16">
        <f>'Model inputs'!L145+'Model inputs'!L136+'Model inputs'!L114</f>
        <v>2936.597441693701</v>
      </c>
      <c r="M57" s="16">
        <f>'Model inputs'!M145+'Model inputs'!M136+'Model inputs'!M114</f>
        <v>3241.2133071686694</v>
      </c>
      <c r="N57" s="16">
        <f>'Model inputs'!N145+'Model inputs'!N136+'Model inputs'!N114</f>
        <v>3554.7526843950727</v>
      </c>
      <c r="O57" s="16">
        <f>'Model inputs'!O145+'Model inputs'!O136+'Model inputs'!O114</f>
        <v>3877.530864815093</v>
      </c>
      <c r="P57" s="16">
        <f>'Model inputs'!P145+'Model inputs'!P136+'Model inputs'!P114</f>
        <v>4209.863889501037</v>
      </c>
      <c r="Q57" s="16">
        <f>'Model inputs'!Q145+'Model inputs'!Q136+'Model inputs'!Q114</f>
        <v>4552.070222441817</v>
      </c>
      <c r="R57" s="16">
        <f>'Model inputs'!R145+'Model inputs'!R136+'Model inputs'!R114</f>
        <v>4904.472346795219</v>
      </c>
      <c r="S57" s="16">
        <f>'Model inputs'!S145+'Model inputs'!S136+'Model inputs'!S114</f>
        <v>5267.398291877309</v>
      </c>
      <c r="T57" s="16">
        <f>'Model inputs'!T145+'Model inputs'!T136+'Model inputs'!T114</f>
        <v>5641.183098203667</v>
      </c>
    </row>
    <row r="58" outlineLevel="1">
      <c r="A58" t="inlineStr" s="21">
        <is>
          <t xml:space="preserve">Total revenue &gt; Team</t>
        </is>
      </c>
      <c r="C58" s="16">
        <f>'Model inputs'!C146+'Model inputs'!C137+'Model inputs'!C115</f>
        <v>940.92</v>
      </c>
      <c r="D58" s="16">
        <f>'Model inputs'!D146+'Model inputs'!D137+'Model inputs'!D115</f>
        <v>1407.9237356481483</v>
      </c>
      <c r="E58" s="16">
        <f>'Model inputs'!E146+'Model inputs'!E137+'Model inputs'!E115</f>
        <v>1931.3637980424382</v>
      </c>
      <c r="F58" s="16">
        <f>'Model inputs'!F146+'Model inputs'!F137+'Model inputs'!F115</f>
        <v>2499.2686550550666</v>
      </c>
      <c r="G58" s="16">
        <f>'Model inputs'!G146+'Model inputs'!G137+'Model inputs'!G115</f>
        <v>3113.9154713862586</v>
      </c>
      <c r="H58" s="16">
        <f>'Model inputs'!H146+'Model inputs'!H137+'Model inputs'!H115</f>
        <v>3777.9247127928406</v>
      </c>
      <c r="I58" s="16">
        <f>'Model inputs'!I146+'Model inputs'!I137+'Model inputs'!I115</f>
        <v>4494.273998771872</v>
      </c>
      <c r="J58" s="16">
        <f>'Model inputs'!J146+'Model inputs'!J137+'Model inputs'!J115</f>
        <v>5318.324244472544</v>
      </c>
      <c r="K58" s="16">
        <f>'Model inputs'!K146+'Model inputs'!K137+'Model inputs'!K115</f>
        <v>6219.43183023211</v>
      </c>
      <c r="L58" s="16">
        <f>'Model inputs'!L146+'Model inputs'!L137+'Model inputs'!L115</f>
        <v>7152.246031580174</v>
      </c>
      <c r="M58" s="16">
        <f>'Model inputs'!M146+'Model inputs'!M137+'Model inputs'!M115</f>
        <v>8116.904532261261</v>
      </c>
      <c r="N58" s="16">
        <f>'Model inputs'!N146+'Model inputs'!N137+'Model inputs'!N115</f>
        <v>9113.674403897294</v>
      </c>
      <c r="O58" s="16">
        <f>'Model inputs'!O146+'Model inputs'!O137+'Model inputs'!O115</f>
        <v>10142.947365428137</v>
      </c>
      <c r="P58" s="16">
        <f>'Model inputs'!P146+'Model inputs'!P137+'Model inputs'!P115</f>
        <v>11205.235570628334</v>
      </c>
      <c r="Q58" s="16">
        <f>'Model inputs'!Q146+'Model inputs'!Q137+'Model inputs'!Q115</f>
        <v>12301.167895041712</v>
      </c>
      <c r="R58" s="16">
        <f>'Model inputs'!R146+'Model inputs'!R137+'Model inputs'!R115</f>
        <v>13431.486695914116</v>
      </c>
      <c r="S58" s="16">
        <f>'Model inputs'!S146+'Model inputs'!S137+'Model inputs'!S115</f>
        <v>14597.045020804691</v>
      </c>
      <c r="T58" s="16">
        <f>'Model inputs'!T146+'Model inputs'!T137+'Model inputs'!T115</f>
        <v>15798.804242527634</v>
      </c>
    </row>
    <row r="59">
      <c r="A59" t="inlineStr" s="20">
        <is>
          <t xml:space="preserve">Upgrades in</t>
        </is>
      </c>
      <c r="C59" s="7">
        <f>SUM('Model inputs'!C60,'Model inputs'!C61,'Model inputs'!C62)</f>
        <v>0</v>
      </c>
      <c r="D59" s="7">
        <f>SUM('Model inputs'!D60,'Model inputs'!D61,'Model inputs'!D62)</f>
        <v>0.2916666666666667</v>
      </c>
      <c r="E59" s="7">
        <f>SUM('Model inputs'!E60,'Model inputs'!E61,'Model inputs'!E62)</f>
        <v>0.5333125</v>
      </c>
      <c r="F59" s="7">
        <f>SUM('Model inputs'!F60,'Model inputs'!F61,'Model inputs'!F62)</f>
        <v>0.6948002488425927</v>
      </c>
      <c r="G59" s="7">
        <f>SUM('Model inputs'!G60,'Model inputs'!G61,'Model inputs'!G62)</f>
        <v>0.8623815489824461</v>
      </c>
      <c r="H59" s="7">
        <f>SUM('Model inputs'!H60,'Model inputs'!H61,'Model inputs'!H62)</f>
        <v>1.0370073007913894</v>
      </c>
      <c r="I59" s="7">
        <f>SUM('Model inputs'!I60,'Model inputs'!I61,'Model inputs'!I62)</f>
        <v>1.2196778790980267</v>
      </c>
      <c r="J59" s="7">
        <f>SUM('Model inputs'!J60,'Model inputs'!J61,'Model inputs'!J62)</f>
        <v>1.4114491758402756</v>
      </c>
      <c r="K59" s="7">
        <f>SUM('Model inputs'!K60,'Model inputs'!K61,'Model inputs'!K62)</f>
        <v>1.6134390223399573</v>
      </c>
      <c r="L59" s="7">
        <f>SUM('Model inputs'!L60,'Model inputs'!L61,'Model inputs'!L62)</f>
        <v>1.8268340318695697</v>
      </c>
      <c r="M59" s="7">
        <f>SUM('Model inputs'!M60,'Model inputs'!M61,'Model inputs'!M62)</f>
        <v>2.0400098731409044</v>
      </c>
      <c r="N59" s="7">
        <f>SUM('Model inputs'!N60,'Model inputs'!N61,'Model inputs'!N62)</f>
        <v>2.2535015079062166</v>
      </c>
      <c r="O59" s="7">
        <f>SUM('Model inputs'!O60,'Model inputs'!O61,'Model inputs'!O62)</f>
        <v>2.467830412305536</v>
      </c>
      <c r="P59" s="7">
        <f>SUM('Model inputs'!P60,'Model inputs'!P61,'Model inputs'!P62)</f>
        <v>2.683506316427823</v>
      </c>
      <c r="Q59" s="7">
        <f>SUM('Model inputs'!Q60,'Model inputs'!Q61,'Model inputs'!Q62)</f>
        <v>2.9010288631150405</v>
      </c>
      <c r="R59" s="7">
        <f>SUM('Model inputs'!R60,'Model inputs'!R61,'Model inputs'!R62)</f>
        <v>3.12088919274707</v>
      </c>
      <c r="S59" s="7">
        <f>SUM('Model inputs'!S60,'Model inputs'!S61,'Model inputs'!S62)</f>
        <v>3.3435714603522264</v>
      </c>
      <c r="T59" s="7">
        <f>SUM('Model inputs'!T60,'Model inputs'!T61,'Model inputs'!T62)</f>
        <v>3.569554291023361</v>
      </c>
    </row>
    <row r="60" outlineLevel="1">
      <c r="A60" t="inlineStr" s="21">
        <is>
          <t xml:space="preserve">Upgrades in &gt; Indie</t>
        </is>
      </c>
      <c r="C60" s="9">
        <f>IF(EXACT("Indie","Team"),IF('Model inputs'!C64="","",'Model inputs'!C64),IF(EXACT("Indie","Launch"),IF('Model inputs'!C66="","",'Model inputs'!C66),0))</f>
        <v>0</v>
      </c>
      <c r="D60" s="9">
        <f>IF(EXACT("Indie","Team"),IF('Model inputs'!D64="","",'Model inputs'!D64),IF(EXACT("Indie","Launch"),IF('Model inputs'!D66="","",'Model inputs'!D66),0))</f>
        <v>0</v>
      </c>
      <c r="E60" s="9">
        <f>IF(EXACT("Indie","Team"),IF('Model inputs'!E64="","",'Model inputs'!E64),IF(EXACT("Indie","Launch"),IF('Model inputs'!E66="","",'Model inputs'!E66),0))</f>
        <v>0</v>
      </c>
      <c r="F60" s="9">
        <f>IF(EXACT("Indie","Team"),IF('Model inputs'!F64="","",'Model inputs'!F64),IF(EXACT("Indie","Launch"),IF('Model inputs'!F66="","",'Model inputs'!F66),0))</f>
        <v>0</v>
      </c>
      <c r="G60" s="9">
        <f>IF(EXACT("Indie","Team"),IF('Model inputs'!G64="","",'Model inputs'!G64),IF(EXACT("Indie","Launch"),IF('Model inputs'!G66="","",'Model inputs'!G66),0))</f>
        <v>0</v>
      </c>
      <c r="H60" s="9">
        <f>IF(EXACT("Indie","Team"),IF('Model inputs'!H64="","",'Model inputs'!H64),IF(EXACT("Indie","Launch"),IF('Model inputs'!H66="","",'Model inputs'!H66),0))</f>
        <v>0</v>
      </c>
      <c r="I60" s="9">
        <f>IF(EXACT("Indie","Team"),IF('Model inputs'!I64="","",'Model inputs'!I64),IF(EXACT("Indie","Launch"),IF('Model inputs'!I66="","",'Model inputs'!I66),0))</f>
        <v>0</v>
      </c>
      <c r="J60" s="9">
        <f>IF(EXACT("Indie","Team"),IF('Model inputs'!J64="","",'Model inputs'!J64),IF(EXACT("Indie","Launch"),IF('Model inputs'!J66="","",'Model inputs'!J66),0))</f>
        <v>0</v>
      </c>
      <c r="K60" s="9">
        <f>IF(EXACT("Indie","Team"),IF('Model inputs'!K64="","",'Model inputs'!K64),IF(EXACT("Indie","Launch"),IF('Model inputs'!K66="","",'Model inputs'!K66),0))</f>
        <v>0</v>
      </c>
      <c r="L60" s="9">
        <f>IF(EXACT("Indie","Team"),IF('Model inputs'!L64="","",'Model inputs'!L64),IF(EXACT("Indie","Launch"),IF('Model inputs'!L66="","",'Model inputs'!L66),0))</f>
        <v>0</v>
      </c>
      <c r="M60" s="9">
        <f>IF(EXACT("Indie","Team"),IF('Model inputs'!M64="","",'Model inputs'!M64),IF(EXACT("Indie","Launch"),IF('Model inputs'!M66="","",'Model inputs'!M66),0))</f>
        <v>0</v>
      </c>
      <c r="N60" s="9">
        <f>IF(EXACT("Indie","Team"),IF('Model inputs'!N64="","",'Model inputs'!N64),IF(EXACT("Indie","Launch"),IF('Model inputs'!N66="","",'Model inputs'!N66),0))</f>
        <v>0</v>
      </c>
      <c r="O60" s="9">
        <f>IF(EXACT("Indie","Team"),IF('Model inputs'!O64="","",'Model inputs'!O64),IF(EXACT("Indie","Launch"),IF('Model inputs'!O66="","",'Model inputs'!O66),0))</f>
        <v>0</v>
      </c>
      <c r="P60" s="9">
        <f>IF(EXACT("Indie","Team"),IF('Model inputs'!P64="","",'Model inputs'!P64),IF(EXACT("Indie","Launch"),IF('Model inputs'!P66="","",'Model inputs'!P66),0))</f>
        <v>0</v>
      </c>
      <c r="Q60" s="9">
        <f>IF(EXACT("Indie","Team"),IF('Model inputs'!Q64="","",'Model inputs'!Q64),IF(EXACT("Indie","Launch"),IF('Model inputs'!Q66="","",'Model inputs'!Q66),0))</f>
        <v>0</v>
      </c>
      <c r="R60" s="9">
        <f>IF(EXACT("Indie","Team"),IF('Model inputs'!R64="","",'Model inputs'!R64),IF(EXACT("Indie","Launch"),IF('Model inputs'!R66="","",'Model inputs'!R66),0))</f>
        <v>0</v>
      </c>
      <c r="S60" s="9">
        <f>IF(EXACT("Indie","Team"),IF('Model inputs'!S64="","",'Model inputs'!S64),IF(EXACT("Indie","Launch"),IF('Model inputs'!S66="","",'Model inputs'!S66),0))</f>
        <v>0</v>
      </c>
      <c r="T60" s="9">
        <f>IF(EXACT("Indie","Team"),IF('Model inputs'!T64="","",'Model inputs'!T64),IF(EXACT("Indie","Launch"),IF('Model inputs'!T66="","",'Model inputs'!T66),0))</f>
        <v>0</v>
      </c>
    </row>
    <row r="61" outlineLevel="1">
      <c r="A61" t="inlineStr" s="21">
        <is>
          <t xml:space="preserve">Upgrades in &gt; Launch</t>
        </is>
      </c>
      <c r="C61" s="9">
        <f>IF(EXACT("Launch","Team"),IF('Model inputs'!C64="","",'Model inputs'!C64),IF(EXACT("Launch","Launch"),IF('Model inputs'!C66="","",'Model inputs'!C66),0))</f>
        <v>0</v>
      </c>
      <c r="D61" s="9">
        <f>IF(EXACT("Launch","Team"),IF('Model inputs'!D64="","",'Model inputs'!D64),IF(EXACT("Launch","Launch"),IF('Model inputs'!D66="","",'Model inputs'!D66),0))</f>
        <v>0.025</v>
      </c>
      <c r="E61" s="9">
        <f>IF(EXACT("Launch","Team"),IF('Model inputs'!E64="","",'Model inputs'!E64),IF(EXACT("Launch","Launch"),IF('Model inputs'!E66="","",'Model inputs'!E66),0))</f>
        <v>0.03775694444444445</v>
      </c>
      <c r="F61" s="9">
        <f>IF(EXACT("Launch","Team"),IF('Model inputs'!F64="","",'Model inputs'!F64),IF(EXACT("Launch","Launch"),IF('Model inputs'!F66="","",'Model inputs'!F66),0))</f>
        <v>0.05228173032407408</v>
      </c>
      <c r="G61" s="9">
        <f>IF(EXACT("Launch","Team"),IF('Model inputs'!G64="","",'Model inputs'!G64),IF(EXACT("Launch","Launch"),IF('Model inputs'!G66="","",'Model inputs'!G66),0))</f>
        <v>0.06829759836516204</v>
      </c>
      <c r="H61" s="9">
        <f>IF(EXACT("Launch","Team"),IF('Model inputs'!H64="","",'Model inputs'!H64),IF(EXACT("Launch","Launch"),IF('Model inputs'!H66="","",'Model inputs'!H66),0))</f>
        <v>0.08591028021525769</v>
      </c>
      <c r="I61" s="9">
        <f>IF(EXACT("Launch","Team"),IF('Model inputs'!I64="","",'Model inputs'!I64),IF(EXACT("Launch","Launch"),IF('Model inputs'!I66="","",'Model inputs'!I66),0))</f>
        <v>0.10523916656030362</v>
      </c>
      <c r="J61" s="9">
        <f>IF(EXACT("Launch","Team"),IF('Model inputs'!J64="","",'Model inputs'!J64),IF(EXACT("Launch","Launch"),IF('Model inputs'!J66="","",'Model inputs'!J66),0))</f>
        <v>0.12641836467173376</v>
      </c>
      <c r="K61" s="9">
        <f>IF(EXACT("Launch","Team"),IF('Model inputs'!K64="","",'Model inputs'!K64),IF(EXACT("Launch","Launch"),IF('Model inputs'!K66="","",'Model inputs'!K66),0))</f>
        <v>0.1495978780919851</v>
      </c>
      <c r="L61" s="9">
        <f>IF(EXACT("Launch","Team"),IF('Model inputs'!L64="","",'Model inputs'!L64),IF(EXACT("Launch","Launch"),IF('Model inputs'!L66="","",'Model inputs'!L66),0))</f>
        <v>0.17494491910820884</v>
      </c>
      <c r="M61" s="9">
        <f>IF(EXACT("Launch","Team"),IF('Model inputs'!M64="","",'Model inputs'!M64),IF(EXACT("Launch","Launch"),IF('Model inputs'!M66="","",'Model inputs'!M66),0))</f>
        <v>0.20118382797518408</v>
      </c>
      <c r="N61" s="9">
        <f>IF(EXACT("Launch","Team"),IF('Model inputs'!N64="","",'Model inputs'!N64),IF(EXACT("Launch","Launch"),IF('Model inputs'!N66="","",'Model inputs'!N66),0))</f>
        <v>0.22831847756622248</v>
      </c>
      <c r="O61" s="9">
        <f>IF(EXACT("Launch","Team"),IF('Model inputs'!O64="","",'Model inputs'!O64),IF(EXACT("Launch","Launch"),IF('Model inputs'!O66="","",'Model inputs'!O66),0))</f>
        <v>0.2563563802754732</v>
      </c>
      <c r="P61" s="9">
        <f>IF(EXACT("Launch","Team"),IF('Model inputs'!P64="","",'Model inputs'!P64),IF(EXACT("Launch","Launch"),IF('Model inputs'!P66="","",'Model inputs'!P66),0))</f>
        <v>0.28530855467185373</v>
      </c>
      <c r="Q61" s="9">
        <f>IF(EXACT("Launch","Team"),IF('Model inputs'!Q64="","",'Model inputs'!Q64),IF(EXACT("Launch","Launch"),IF('Model inputs'!Q66="","",'Model inputs'!Q66),0))</f>
        <v>0.3151894070071091</v>
      </c>
      <c r="R61" s="9">
        <f>IF(EXACT("Launch","Team"),IF('Model inputs'!R64="","",'Model inputs'!R64),IF(EXACT("Launch","Launch"),IF('Model inputs'!R66="","",'Model inputs'!R66),0))</f>
        <v>0.34601662677187894</v>
      </c>
      <c r="S61" s="9">
        <f>IF(EXACT("Launch","Team"),IF('Model inputs'!S64="","",'Model inputs'!S64),IF(EXACT("Launch","Launch"),IF('Model inputs'!S66="","",'Model inputs'!S66),0))</f>
        <v>0.3778110955566152</v>
      </c>
      <c r="T61" s="9">
        <f>IF(EXACT("Launch","Team"),IF('Model inputs'!T64="","",'Model inputs'!T64),IF(EXACT("Launch","Launch"),IF('Model inputs'!T66="","",'Model inputs'!T66),0))</f>
        <v>0.41059680853327324</v>
      </c>
    </row>
    <row r="62" outlineLevel="1">
      <c r="A62" t="inlineStr" s="21">
        <is>
          <t xml:space="preserve">Upgrades in &gt; Team</t>
        </is>
      </c>
      <c r="C62" s="9">
        <f>IF(EXACT("Team","Team"),IF('Model inputs'!C64="","",'Model inputs'!C64),IF(EXACT("Team","Launch"),IF('Model inputs'!C66="","",'Model inputs'!C66),0))</f>
        <v>0</v>
      </c>
      <c r="D62" s="9">
        <f>IF(EXACT("Team","Team"),IF('Model inputs'!D64="","",'Model inputs'!D64),IF(EXACT("Team","Launch"),IF('Model inputs'!D66="","",'Model inputs'!D66),0))</f>
        <v>0.26666666666666666</v>
      </c>
      <c r="E62" s="9">
        <f>IF(EXACT("Team","Team"),IF('Model inputs'!E64="","",'Model inputs'!E64),IF(EXACT("Team","Launch"),IF('Model inputs'!E66="","",'Model inputs'!E66),0))</f>
        <v>0.4955555555555555</v>
      </c>
      <c r="F62" s="9">
        <f>IF(EXACT("Team","Team"),IF('Model inputs'!F64="","",'Model inputs'!F64),IF(EXACT("Team","Launch"),IF('Model inputs'!F66="","",'Model inputs'!F66),0))</f>
        <v>0.6425185185185186</v>
      </c>
      <c r="G62" s="9">
        <f>IF(EXACT("Team","Team"),IF('Model inputs'!G64="","",'Model inputs'!G64),IF(EXACT("Team","Launch"),IF('Model inputs'!G66="","",'Model inputs'!G66),0))</f>
        <v>0.7940839506172841</v>
      </c>
      <c r="H62" s="9">
        <f>IF(EXACT("Team","Team"),IF('Model inputs'!H64="","",'Model inputs'!H64),IF(EXACT("Team","Launch"),IF('Model inputs'!H66="","",'Model inputs'!H66),0))</f>
        <v>0.9510970205761318</v>
      </c>
      <c r="I62" s="9">
        <f>IF(EXACT("Team","Team"),IF('Model inputs'!I64="","",'Model inputs'!I64),IF(EXACT("Team","Launch"),IF('Model inputs'!I66="","",'Model inputs'!I66),0))</f>
        <v>1.114438712537723</v>
      </c>
      <c r="J62" s="9">
        <f>IF(EXACT("Team","Team"),IF('Model inputs'!J64="","",'Model inputs'!J64),IF(EXACT("Team","Launch"),IF('Model inputs'!J66="","",'Model inputs'!J66),0))</f>
        <v>1.2850308111685418</v>
      </c>
      <c r="K62" s="9">
        <f>IF(EXACT("Team","Team"),IF('Model inputs'!K64="","",'Model inputs'!K64),IF(EXACT("Team","Launch"),IF('Model inputs'!K66="","",'Model inputs'!K66),0))</f>
        <v>1.4638411442479722</v>
      </c>
      <c r="L62" s="9">
        <f>IF(EXACT("Team","Team"),IF('Model inputs'!L64="","",'Model inputs'!L64),IF(EXACT("Team","Launch"),IF('Model inputs'!L66="","",'Model inputs'!L66),0))</f>
        <v>1.6518891127613609</v>
      </c>
      <c r="M62" s="9">
        <f>IF(EXACT("Team","Team"),IF('Model inputs'!M64="","",'Model inputs'!M64),IF(EXACT("Team","Launch"),IF('Model inputs'!M66="","",'Model inputs'!M66),0))</f>
        <v>1.8388260451657203</v>
      </c>
      <c r="N62" s="9">
        <f>IF(EXACT("Team","Team"),IF('Model inputs'!N64="","",'Model inputs'!N64),IF(EXACT("Team","Launch"),IF('Model inputs'!N66="","",'Model inputs'!N66),0))</f>
        <v>2.0251830303399943</v>
      </c>
      <c r="O62" s="9">
        <f>IF(EXACT("Team","Team"),IF('Model inputs'!O64="","",'Model inputs'!O64),IF(EXACT("Team","Launch"),IF('Model inputs'!O66="","",'Model inputs'!O66),0))</f>
        <v>2.211474032030063</v>
      </c>
      <c r="P62" s="9">
        <f>IF(EXACT("Team","Team"),IF('Model inputs'!P64="","",'Model inputs'!P64),IF(EXACT("Team","Launch"),IF('Model inputs'!P66="","",'Model inputs'!P66),0))</f>
        <v>2.398197761755969</v>
      </c>
      <c r="Q62" s="9">
        <f>IF(EXACT("Team","Team"),IF('Model inputs'!Q64="","",'Model inputs'!Q64),IF(EXACT("Team","Launch"),IF('Model inputs'!Q66="","",'Model inputs'!Q66),0))</f>
        <v>2.5858394561079314</v>
      </c>
      <c r="R62" s="9">
        <f>IF(EXACT("Team","Team"),IF('Model inputs'!R64="","",'Model inputs'!R64),IF(EXACT("Team","Launch"),IF('Model inputs'!R66="","",'Model inputs'!R66),0))</f>
        <v>2.774872565975191</v>
      </c>
      <c r="S62" s="9">
        <f>IF(EXACT("Team","Team"),IF('Model inputs'!S64="","",'Model inputs'!S64),IF(EXACT("Team","Launch"),IF('Model inputs'!S66="","",'Model inputs'!S66),0))</f>
        <v>2.9657603647956114</v>
      </c>
      <c r="T62" s="9">
        <f>IF(EXACT("Team","Team"),IF('Model inputs'!T64="","",'Model inputs'!T64),IF(EXACT("Team","Launch"),IF('Model inputs'!T66="","",'Model inputs'!T66),0))</f>
        <v>3.158957482490088</v>
      </c>
    </row>
    <row r="63">
      <c r="A63" t="inlineStr" s="20">
        <is>
          <t xml:space="preserve">Upgrades out</t>
        </is>
      </c>
      <c r="C63" s="7">
        <f>SUM('Model inputs'!C64,'Model inputs'!C65,'Model inputs'!C66)</f>
        <v>0</v>
      </c>
      <c r="D63" s="7">
        <f>SUM('Model inputs'!D64,'Model inputs'!D65,'Model inputs'!D66)</f>
        <v>0.2916666666666667</v>
      </c>
      <c r="E63" s="7">
        <f>SUM('Model inputs'!E64,'Model inputs'!E65,'Model inputs'!E66)</f>
        <v>0.5333125</v>
      </c>
      <c r="F63" s="7">
        <f>SUM('Model inputs'!F64,'Model inputs'!F65,'Model inputs'!F66)</f>
        <v>0.6948002488425927</v>
      </c>
      <c r="G63" s="7">
        <f>SUM('Model inputs'!G64,'Model inputs'!G65,'Model inputs'!G66)</f>
        <v>0.8623815489824461</v>
      </c>
      <c r="H63" s="7">
        <f>SUM('Model inputs'!H64,'Model inputs'!H65,'Model inputs'!H66)</f>
        <v>1.0370073007913894</v>
      </c>
      <c r="I63" s="7">
        <f>SUM('Model inputs'!I64,'Model inputs'!I65,'Model inputs'!I66)</f>
        <v>1.2196778790980267</v>
      </c>
      <c r="J63" s="7">
        <f>SUM('Model inputs'!J64,'Model inputs'!J65,'Model inputs'!J66)</f>
        <v>1.4114491758402756</v>
      </c>
      <c r="K63" s="7">
        <f>SUM('Model inputs'!K64,'Model inputs'!K65,'Model inputs'!K66)</f>
        <v>1.6134390223399573</v>
      </c>
      <c r="L63" s="7">
        <f>SUM('Model inputs'!L64,'Model inputs'!L65,'Model inputs'!L66)</f>
        <v>1.8268340318695697</v>
      </c>
      <c r="M63" s="7">
        <f>SUM('Model inputs'!M64,'Model inputs'!M65,'Model inputs'!M66)</f>
        <v>2.0400098731409044</v>
      </c>
      <c r="N63" s="7">
        <f>SUM('Model inputs'!N64,'Model inputs'!N65,'Model inputs'!N66)</f>
        <v>2.2535015079062166</v>
      </c>
      <c r="O63" s="7">
        <f>SUM('Model inputs'!O64,'Model inputs'!O65,'Model inputs'!O66)</f>
        <v>2.467830412305536</v>
      </c>
      <c r="P63" s="7">
        <f>SUM('Model inputs'!P64,'Model inputs'!P65,'Model inputs'!P66)</f>
        <v>2.683506316427823</v>
      </c>
      <c r="Q63" s="7">
        <f>SUM('Model inputs'!Q64,'Model inputs'!Q65,'Model inputs'!Q66)</f>
        <v>2.9010288631150405</v>
      </c>
      <c r="R63" s="7">
        <f>SUM('Model inputs'!R64,'Model inputs'!R65,'Model inputs'!R66)</f>
        <v>3.12088919274707</v>
      </c>
      <c r="S63" s="7">
        <f>SUM('Model inputs'!S64,'Model inputs'!S65,'Model inputs'!S66)</f>
        <v>3.3435714603522264</v>
      </c>
      <c r="T63" s="7">
        <f>SUM('Model inputs'!T64,'Model inputs'!T65,'Model inputs'!T66)</f>
        <v>3.569554291023361</v>
      </c>
    </row>
    <row r="64" outlineLevel="1">
      <c r="A64" t="inlineStr" s="21">
        <is>
          <t xml:space="preserve">Upgrades out &gt; Indie</t>
        </is>
      </c>
      <c r="C64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inputs'!C43*'Model inputs'!B76/12)</f>
        <v>0</v>
      </c>
      <c r="D64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inputs'!D43*'Model inputs'!B76/12)</f>
        <v>0.26666666666666666</v>
      </c>
      <c r="E64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inputs'!E43*'Model inputs'!B76/12)</f>
        <v>0.4955555555555555</v>
      </c>
      <c r="F64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inputs'!F43*'Model inputs'!B76/12)</f>
        <v>0.6425185185185186</v>
      </c>
      <c r="G64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inputs'!G43*'Model inputs'!B76/12)</f>
        <v>0.7940839506172841</v>
      </c>
      <c r="H64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inputs'!H43*'Model inputs'!B76/12)</f>
        <v>0.9510970205761318</v>
      </c>
      <c r="I64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inputs'!I43*'Model inputs'!B76/12)</f>
        <v>1.114438712537723</v>
      </c>
      <c r="J64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inputs'!J43*'Model inputs'!B76/12)</f>
        <v>1.2850308111685418</v>
      </c>
      <c r="K64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inputs'!K43*'Model inputs'!B76/12)</f>
        <v>1.4638411442479722</v>
      </c>
      <c r="L64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inputs'!L43*'Model inputs'!B76/12)</f>
        <v>1.6518891127613609</v>
      </c>
      <c r="M64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inputs'!M43*'Model inputs'!B76/12)</f>
        <v>1.8388260451657203</v>
      </c>
      <c r="N64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inputs'!N43*'Model inputs'!B76/12)</f>
        <v>2.0251830303399943</v>
      </c>
      <c r="O64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inputs'!O43*'Model inputs'!B76/12)</f>
        <v>2.211474032030063</v>
      </c>
      <c r="P64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inputs'!P43*'Model inputs'!B76/12)</f>
        <v>2.398197761755969</v>
      </c>
      <c r="Q64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inputs'!Q43*'Model inputs'!B76/12)</f>
        <v>2.5858394561079314</v>
      </c>
      <c r="R64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inputs'!R43*'Model inputs'!B76/12)</f>
        <v>2.774872565975191</v>
      </c>
      <c r="S64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inputs'!S43*'Model inputs'!B76/12)</f>
        <v>2.9657603647956114</v>
      </c>
      <c r="T64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inputs'!T43*'Model inputs'!B76/12)</f>
        <v>3.158957482490088</v>
      </c>
    </row>
    <row r="65" outlineLevel="1">
      <c r="A65" t="inlineStr" s="21">
        <is>
          <t xml:space="preserve">Upgrades out &gt; Launch</t>
        </is>
      </c>
      <c r="C65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inputs'!C44*'Model inputs'!B77/12)</f>
        <v>0</v>
      </c>
      <c r="D65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inputs'!D44*'Model inputs'!B77/12)</f>
        <v>0</v>
      </c>
      <c r="E65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inputs'!E44*'Model inputs'!B77/12)</f>
        <v>0</v>
      </c>
      <c r="F65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inputs'!F44*'Model inputs'!B77/12)</f>
        <v>0</v>
      </c>
      <c r="G65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inputs'!G44*'Model inputs'!B77/12)</f>
        <v>0</v>
      </c>
      <c r="H65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inputs'!H44*'Model inputs'!B77/12)</f>
        <v>0</v>
      </c>
      <c r="I65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inputs'!I44*'Model inputs'!B77/12)</f>
        <v>0</v>
      </c>
      <c r="J65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inputs'!J44*'Model inputs'!B77/12)</f>
        <v>0</v>
      </c>
      <c r="K65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inputs'!K44*'Model inputs'!B77/12)</f>
        <v>0</v>
      </c>
      <c r="L65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inputs'!L44*'Model inputs'!B77/12)</f>
        <v>0</v>
      </c>
      <c r="M65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inputs'!M44*'Model inputs'!B77/12)</f>
        <v>0</v>
      </c>
      <c r="N65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inputs'!N44*'Model inputs'!B77/12)</f>
        <v>0</v>
      </c>
      <c r="O65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inputs'!O44*'Model inputs'!B77/12)</f>
        <v>0</v>
      </c>
      <c r="P65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inputs'!P44*'Model inputs'!B77/12)</f>
        <v>0</v>
      </c>
      <c r="Q65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inputs'!Q44*'Model inputs'!B77/12)</f>
        <v>0</v>
      </c>
      <c r="R65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inputs'!R44*'Model inputs'!B77/12)</f>
        <v>0</v>
      </c>
      <c r="S65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inputs'!S44*'Model inputs'!B77/12)</f>
        <v>0</v>
      </c>
      <c r="T65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inputs'!T44*'Model inputs'!B77/12)</f>
        <v>0</v>
      </c>
    </row>
    <row r="66" outlineLevel="1">
      <c r="A66" t="inlineStr" s="21">
        <is>
          <t xml:space="preserve">Upgrades out &gt; Team</t>
        </is>
      </c>
      <c r="C66" s="9">
        <f>IF(IF(IF(ISERROR('Model inputs'!C37&lt;1),'Model inputs'!C37&lt;1,IF('Model inputs'!C37="","",'Model inputs'!C37&lt;1))="",FALSE,IF(ISERROR('Model inputs'!C37&lt;1),'Model inputs'!C37&lt;1,IF('Model inputs'!C37="","",'Model inputs'!C37&lt;1))),0,'Model inputs'!C45*'Model inputs'!B78/12)</f>
        <v>0</v>
      </c>
      <c r="D66" s="9">
        <f>IF(IF(IF(ISERROR('Model inputs'!D37&lt;1),'Model inputs'!D37&lt;1,IF('Model inputs'!D37="","",'Model inputs'!D37&lt;1))="",FALSE,IF(ISERROR('Model inputs'!D37&lt;1),'Model inputs'!D37&lt;1,IF('Model inputs'!D37="","",'Model inputs'!D37&lt;1))),0,'Model inputs'!D45*'Model inputs'!B78/12)</f>
        <v>0.025</v>
      </c>
      <c r="E66" s="9">
        <f>IF(IF(IF(ISERROR('Model inputs'!E37&lt;1),'Model inputs'!E37&lt;1,IF('Model inputs'!E37="","",'Model inputs'!E37&lt;1))="",FALSE,IF(ISERROR('Model inputs'!E37&lt;1),'Model inputs'!E37&lt;1,IF('Model inputs'!E37="","",'Model inputs'!E37&lt;1))),0,'Model inputs'!E45*'Model inputs'!B78/12)</f>
        <v>0.03775694444444445</v>
      </c>
      <c r="F66" s="9">
        <f>IF(IF(IF(ISERROR('Model inputs'!F37&lt;1),'Model inputs'!F37&lt;1,IF('Model inputs'!F37="","",'Model inputs'!F37&lt;1))="",FALSE,IF(ISERROR('Model inputs'!F37&lt;1),'Model inputs'!F37&lt;1,IF('Model inputs'!F37="","",'Model inputs'!F37&lt;1))),0,'Model inputs'!F45*'Model inputs'!B78/12)</f>
        <v>0.05228173032407408</v>
      </c>
      <c r="G66" s="9">
        <f>IF(IF(IF(ISERROR('Model inputs'!G37&lt;1),'Model inputs'!G37&lt;1,IF('Model inputs'!G37="","",'Model inputs'!G37&lt;1))="",FALSE,IF(ISERROR('Model inputs'!G37&lt;1),'Model inputs'!G37&lt;1,IF('Model inputs'!G37="","",'Model inputs'!G37&lt;1))),0,'Model inputs'!G45*'Model inputs'!B78/12)</f>
        <v>0.06829759836516204</v>
      </c>
      <c r="H66" s="9">
        <f>IF(IF(IF(ISERROR('Model inputs'!H37&lt;1),'Model inputs'!H37&lt;1,IF('Model inputs'!H37="","",'Model inputs'!H37&lt;1))="",FALSE,IF(ISERROR('Model inputs'!H37&lt;1),'Model inputs'!H37&lt;1,IF('Model inputs'!H37="","",'Model inputs'!H37&lt;1))),0,'Model inputs'!H45*'Model inputs'!B78/12)</f>
        <v>0.08591028021525769</v>
      </c>
      <c r="I66" s="9">
        <f>IF(IF(IF(ISERROR('Model inputs'!I37&lt;1),'Model inputs'!I37&lt;1,IF('Model inputs'!I37="","",'Model inputs'!I37&lt;1))="",FALSE,IF(ISERROR('Model inputs'!I37&lt;1),'Model inputs'!I37&lt;1,IF('Model inputs'!I37="","",'Model inputs'!I37&lt;1))),0,'Model inputs'!I45*'Model inputs'!B78/12)</f>
        <v>0.10523916656030362</v>
      </c>
      <c r="J66" s="9">
        <f>IF(IF(IF(ISERROR('Model inputs'!J37&lt;1),'Model inputs'!J37&lt;1,IF('Model inputs'!J37="","",'Model inputs'!J37&lt;1))="",FALSE,IF(ISERROR('Model inputs'!J37&lt;1),'Model inputs'!J37&lt;1,IF('Model inputs'!J37="","",'Model inputs'!J37&lt;1))),0,'Model inputs'!J45*'Model inputs'!B78/12)</f>
        <v>0.12641836467173376</v>
      </c>
      <c r="K66" s="9">
        <f>IF(IF(IF(ISERROR('Model inputs'!K37&lt;1),'Model inputs'!K37&lt;1,IF('Model inputs'!K37="","",'Model inputs'!K37&lt;1))="",FALSE,IF(ISERROR('Model inputs'!K37&lt;1),'Model inputs'!K37&lt;1,IF('Model inputs'!K37="","",'Model inputs'!K37&lt;1))),0,'Model inputs'!K45*'Model inputs'!B78/12)</f>
        <v>0.1495978780919851</v>
      </c>
      <c r="L66" s="9">
        <f>IF(IF(IF(ISERROR('Model inputs'!L37&lt;1),'Model inputs'!L37&lt;1,IF('Model inputs'!L37="","",'Model inputs'!L37&lt;1))="",FALSE,IF(ISERROR('Model inputs'!L37&lt;1),'Model inputs'!L37&lt;1,IF('Model inputs'!L37="","",'Model inputs'!L37&lt;1))),0,'Model inputs'!L45*'Model inputs'!B78/12)</f>
        <v>0.17494491910820884</v>
      </c>
      <c r="M66" s="9">
        <f>IF(IF(IF(ISERROR('Model inputs'!M37&lt;1),'Model inputs'!M37&lt;1,IF('Model inputs'!M37="","",'Model inputs'!M37&lt;1))="",FALSE,IF(ISERROR('Model inputs'!M37&lt;1),'Model inputs'!M37&lt;1,IF('Model inputs'!M37="","",'Model inputs'!M37&lt;1))),0,'Model inputs'!M45*'Model inputs'!B78/12)</f>
        <v>0.20118382797518408</v>
      </c>
      <c r="N66" s="9">
        <f>IF(IF(IF(ISERROR('Model inputs'!N37&lt;1),'Model inputs'!N37&lt;1,IF('Model inputs'!N37="","",'Model inputs'!N37&lt;1))="",FALSE,IF(ISERROR('Model inputs'!N37&lt;1),'Model inputs'!N37&lt;1,IF('Model inputs'!N37="","",'Model inputs'!N37&lt;1))),0,'Model inputs'!N45*'Model inputs'!B78/12)</f>
        <v>0.22831847756622248</v>
      </c>
      <c r="O66" s="9">
        <f>IF(IF(IF(ISERROR('Model inputs'!O37&lt;1),'Model inputs'!O37&lt;1,IF('Model inputs'!O37="","",'Model inputs'!O37&lt;1))="",FALSE,IF(ISERROR('Model inputs'!O37&lt;1),'Model inputs'!O37&lt;1,IF('Model inputs'!O37="","",'Model inputs'!O37&lt;1))),0,'Model inputs'!O45*'Model inputs'!B78/12)</f>
        <v>0.2563563802754732</v>
      </c>
      <c r="P66" s="9">
        <f>IF(IF(IF(ISERROR('Model inputs'!P37&lt;1),'Model inputs'!P37&lt;1,IF('Model inputs'!P37="","",'Model inputs'!P37&lt;1))="",FALSE,IF(ISERROR('Model inputs'!P37&lt;1),'Model inputs'!P37&lt;1,IF('Model inputs'!P37="","",'Model inputs'!P37&lt;1))),0,'Model inputs'!P45*'Model inputs'!B78/12)</f>
        <v>0.28530855467185373</v>
      </c>
      <c r="Q66" s="9">
        <f>IF(IF(IF(ISERROR('Model inputs'!Q37&lt;1),'Model inputs'!Q37&lt;1,IF('Model inputs'!Q37="","",'Model inputs'!Q37&lt;1))="",FALSE,IF(ISERROR('Model inputs'!Q37&lt;1),'Model inputs'!Q37&lt;1,IF('Model inputs'!Q37="","",'Model inputs'!Q37&lt;1))),0,'Model inputs'!Q45*'Model inputs'!B78/12)</f>
        <v>0.3151894070071091</v>
      </c>
      <c r="R66" s="9">
        <f>IF(IF(IF(ISERROR('Model inputs'!R37&lt;1),'Model inputs'!R37&lt;1,IF('Model inputs'!R37="","",'Model inputs'!R37&lt;1))="",FALSE,IF(ISERROR('Model inputs'!R37&lt;1),'Model inputs'!R37&lt;1,IF('Model inputs'!R37="","",'Model inputs'!R37&lt;1))),0,'Model inputs'!R45*'Model inputs'!B78/12)</f>
        <v>0.34601662677187894</v>
      </c>
      <c r="S66" s="9">
        <f>IF(IF(IF(ISERROR('Model inputs'!S37&lt;1),'Model inputs'!S37&lt;1,IF('Model inputs'!S37="","",'Model inputs'!S37&lt;1))="",FALSE,IF(ISERROR('Model inputs'!S37&lt;1),'Model inputs'!S37&lt;1,IF('Model inputs'!S37="","",'Model inputs'!S37&lt;1))),0,'Model inputs'!S45*'Model inputs'!B78/12)</f>
        <v>0.3778110955566152</v>
      </c>
      <c r="T66" s="9">
        <f>IF(IF(IF(ISERROR('Model inputs'!T37&lt;1),'Model inputs'!T37&lt;1,IF('Model inputs'!T37="","",'Model inputs'!T37&lt;1))="",FALSE,IF(ISERROR('Model inputs'!T37&lt;1),'Model inputs'!T37&lt;1,IF('Model inputs'!T37="","",'Model inputs'!T37&lt;1))),0,'Model inputs'!T45*'Model inputs'!B78/12)</f>
        <v>0.41059680853327324</v>
      </c>
    </row>
    <row r="67">
      <c r="A67" t="inlineStr" s="20">
        <is>
          <t xml:space="preserve">Waitlist new logos</t>
        </is>
      </c>
      <c r="C67" s="7">
        <f>SUM('Model inputs'!C68,'Model inputs'!C69,'Model inputs'!C70)</f>
        <v>0</v>
      </c>
      <c r="D67" s="7">
        <f>SUM('Model inputs'!D68,'Model inputs'!D69,'Model inputs'!D70)</f>
        <v>12</v>
      </c>
      <c r="E67" s="7">
        <f>SUM('Model inputs'!E68,'Model inputs'!E69,'Model inputs'!E70)</f>
        <v>0</v>
      </c>
      <c r="F67" s="7">
        <f>SUM('Model inputs'!F68,'Model inputs'!F69,'Model inputs'!F70)</f>
        <v>0</v>
      </c>
      <c r="G67" s="7">
        <f>SUM('Model inputs'!G68,'Model inputs'!G69,'Model inputs'!G70)</f>
        <v>0</v>
      </c>
      <c r="H67" s="7">
        <f>SUM('Model inputs'!H68,'Model inputs'!H69,'Model inputs'!H70)</f>
        <v>0</v>
      </c>
      <c r="I67" s="7">
        <f>SUM('Model inputs'!I68,'Model inputs'!I69,'Model inputs'!I70)</f>
        <v>0</v>
      </c>
      <c r="J67" s="7">
        <f>SUM('Model inputs'!J68,'Model inputs'!J69,'Model inputs'!J70)</f>
        <v>0</v>
      </c>
      <c r="K67" s="7">
        <f>SUM('Model inputs'!K68,'Model inputs'!K69,'Model inputs'!K70)</f>
        <v>0</v>
      </c>
      <c r="L67" s="7">
        <f>SUM('Model inputs'!L68,'Model inputs'!L69,'Model inputs'!L70)</f>
        <v>0</v>
      </c>
      <c r="M67" s="7">
        <f>SUM('Model inputs'!M68,'Model inputs'!M69,'Model inputs'!M70)</f>
        <v>0</v>
      </c>
      <c r="N67" s="7">
        <f>SUM('Model inputs'!N68,'Model inputs'!N69,'Model inputs'!N70)</f>
        <v>0</v>
      </c>
      <c r="O67" s="7">
        <f>SUM('Model inputs'!O68,'Model inputs'!O69,'Model inputs'!O70)</f>
        <v>0</v>
      </c>
      <c r="P67" s="7">
        <f>SUM('Model inputs'!P68,'Model inputs'!P69,'Model inputs'!P70)</f>
        <v>0</v>
      </c>
      <c r="Q67" s="7">
        <f>SUM('Model inputs'!Q68,'Model inputs'!Q69,'Model inputs'!Q70)</f>
        <v>0</v>
      </c>
      <c r="R67" s="7">
        <f>SUM('Model inputs'!R68,'Model inputs'!R69,'Model inputs'!R70)</f>
        <v>0</v>
      </c>
      <c r="S67" s="7">
        <f>SUM('Model inputs'!S68,'Model inputs'!S69,'Model inputs'!S70)</f>
        <v>0</v>
      </c>
      <c r="T67" s="7">
        <f>SUM('Model inputs'!T68,'Model inputs'!T69,'Model inputs'!T70)</f>
        <v>0</v>
      </c>
    </row>
    <row r="68" outlineLevel="1">
      <c r="A68" t="inlineStr" s="21">
        <is>
          <t xml:space="preserve">Waitlist new logos &gt; Indie</t>
        </is>
      </c>
      <c r="C68" s="9">
        <f>IF(IF(IF(ISERROR('Model inputs'!C37=1),'Model inputs'!C37=1,IF('Model inputs'!C37="","",'Model inputs'!C37=1))="",FALSE,IF(ISERROR('Model inputs'!C37=1),'Model inputs'!C37=1,IF('Model inputs'!C37="","",'Model inputs'!C37=1))),IF('Model inputs'!B156="","",'Model inputs'!B156),0)</f>
        <v>0</v>
      </c>
      <c r="D68" s="9">
        <f>IF(IF(IF(ISERROR('Model inputs'!D37=1),'Model inputs'!D37=1,IF('Model inputs'!D37="","",'Model inputs'!D37=1))="",FALSE,IF(ISERROR('Model inputs'!D37=1),'Model inputs'!D37=1,IF('Model inputs'!D37="","",'Model inputs'!D37=1))),IF('Model inputs'!B156="","",'Model inputs'!B156),0)</f>
        <v>12</v>
      </c>
      <c r="E68" s="9">
        <f>IF(IF(IF(ISERROR('Model inputs'!E37=1),'Model inputs'!E37=1,IF('Model inputs'!E37="","",'Model inputs'!E37=1))="",FALSE,IF(ISERROR('Model inputs'!E37=1),'Model inputs'!E37=1,IF('Model inputs'!E37="","",'Model inputs'!E37=1))),IF('Model inputs'!B156="","",'Model inputs'!B156),0)</f>
        <v>0</v>
      </c>
      <c r="F68" s="9">
        <f>IF(IF(IF(ISERROR('Model inputs'!F37=1),'Model inputs'!F37=1,IF('Model inputs'!F37="","",'Model inputs'!F37=1))="",FALSE,IF(ISERROR('Model inputs'!F37=1),'Model inputs'!F37=1,IF('Model inputs'!F37="","",'Model inputs'!F37=1))),IF('Model inputs'!B156="","",'Model inputs'!B156),0)</f>
        <v>0</v>
      </c>
      <c r="G68" s="9">
        <f>IF(IF(IF(ISERROR('Model inputs'!G37=1),'Model inputs'!G37=1,IF('Model inputs'!G37="","",'Model inputs'!G37=1))="",FALSE,IF(ISERROR('Model inputs'!G37=1),'Model inputs'!G37=1,IF('Model inputs'!G37="","",'Model inputs'!G37=1))),IF('Model inputs'!B156="","",'Model inputs'!B156),0)</f>
        <v>0</v>
      </c>
      <c r="H68" s="9">
        <f>IF(IF(IF(ISERROR('Model inputs'!H37=1),'Model inputs'!H37=1,IF('Model inputs'!H37="","",'Model inputs'!H37=1))="",FALSE,IF(ISERROR('Model inputs'!H37=1),'Model inputs'!H37=1,IF('Model inputs'!H37="","",'Model inputs'!H37=1))),IF('Model inputs'!B156="","",'Model inputs'!B156),0)</f>
        <v>0</v>
      </c>
      <c r="I68" s="9">
        <f>IF(IF(IF(ISERROR('Model inputs'!I37=1),'Model inputs'!I37=1,IF('Model inputs'!I37="","",'Model inputs'!I37=1))="",FALSE,IF(ISERROR('Model inputs'!I37=1),'Model inputs'!I37=1,IF('Model inputs'!I37="","",'Model inputs'!I37=1))),IF('Model inputs'!B156="","",'Model inputs'!B156),0)</f>
        <v>0</v>
      </c>
      <c r="J68" s="9">
        <f>IF(IF(IF(ISERROR('Model inputs'!J37=1),'Model inputs'!J37=1,IF('Model inputs'!J37="","",'Model inputs'!J37=1))="",FALSE,IF(ISERROR('Model inputs'!J37=1),'Model inputs'!J37=1,IF('Model inputs'!J37="","",'Model inputs'!J37=1))),IF('Model inputs'!B156="","",'Model inputs'!B156),0)</f>
        <v>0</v>
      </c>
      <c r="K68" s="9">
        <f>IF(IF(IF(ISERROR('Model inputs'!K37=1),'Model inputs'!K37=1,IF('Model inputs'!K37="","",'Model inputs'!K37=1))="",FALSE,IF(ISERROR('Model inputs'!K37=1),'Model inputs'!K37=1,IF('Model inputs'!K37="","",'Model inputs'!K37=1))),IF('Model inputs'!B156="","",'Model inputs'!B156),0)</f>
        <v>0</v>
      </c>
      <c r="L68" s="9">
        <f>IF(IF(IF(ISERROR('Model inputs'!L37=1),'Model inputs'!L37=1,IF('Model inputs'!L37="","",'Model inputs'!L37=1))="",FALSE,IF(ISERROR('Model inputs'!L37=1),'Model inputs'!L37=1,IF('Model inputs'!L37="","",'Model inputs'!L37=1))),IF('Model inputs'!B156="","",'Model inputs'!B156),0)</f>
        <v>0</v>
      </c>
      <c r="M68" s="9">
        <f>IF(IF(IF(ISERROR('Model inputs'!M37=1),'Model inputs'!M37=1,IF('Model inputs'!M37="","",'Model inputs'!M37=1))="",FALSE,IF(ISERROR('Model inputs'!M37=1),'Model inputs'!M37=1,IF('Model inputs'!M37="","",'Model inputs'!M37=1))),IF('Model inputs'!B156="","",'Model inputs'!B156),0)</f>
        <v>0</v>
      </c>
      <c r="N68" s="9">
        <f>IF(IF(IF(ISERROR('Model inputs'!N37=1),'Model inputs'!N37=1,IF('Model inputs'!N37="","",'Model inputs'!N37=1))="",FALSE,IF(ISERROR('Model inputs'!N37=1),'Model inputs'!N37=1,IF('Model inputs'!N37="","",'Model inputs'!N37=1))),IF('Model inputs'!B156="","",'Model inputs'!B156),0)</f>
        <v>0</v>
      </c>
      <c r="O68" s="9">
        <f>IF(IF(IF(ISERROR('Model inputs'!O37=1),'Model inputs'!O37=1,IF('Model inputs'!O37="","",'Model inputs'!O37=1))="",FALSE,IF(ISERROR('Model inputs'!O37=1),'Model inputs'!O37=1,IF('Model inputs'!O37="","",'Model inputs'!O37=1))),IF('Model inputs'!B156="","",'Model inputs'!B156),0)</f>
        <v>0</v>
      </c>
      <c r="P68" s="9">
        <f>IF(IF(IF(ISERROR('Model inputs'!P37=1),'Model inputs'!P37=1,IF('Model inputs'!P37="","",'Model inputs'!P37=1))="",FALSE,IF(ISERROR('Model inputs'!P37=1),'Model inputs'!P37=1,IF('Model inputs'!P37="","",'Model inputs'!P37=1))),IF('Model inputs'!B156="","",'Model inputs'!B156),0)</f>
        <v>0</v>
      </c>
      <c r="Q68" s="9">
        <f>IF(IF(IF(ISERROR('Model inputs'!Q37=1),'Model inputs'!Q37=1,IF('Model inputs'!Q37="","",'Model inputs'!Q37=1))="",FALSE,IF(ISERROR('Model inputs'!Q37=1),'Model inputs'!Q37=1,IF('Model inputs'!Q37="","",'Model inputs'!Q37=1))),IF('Model inputs'!B156="","",'Model inputs'!B156),0)</f>
        <v>0</v>
      </c>
      <c r="R68" s="9">
        <f>IF(IF(IF(ISERROR('Model inputs'!R37=1),'Model inputs'!R37=1,IF('Model inputs'!R37="","",'Model inputs'!R37=1))="",FALSE,IF(ISERROR('Model inputs'!R37=1),'Model inputs'!R37=1,IF('Model inputs'!R37="","",'Model inputs'!R37=1))),IF('Model inputs'!B156="","",'Model inputs'!B156),0)</f>
        <v>0</v>
      </c>
      <c r="S68" s="9">
        <f>IF(IF(IF(ISERROR('Model inputs'!S37=1),'Model inputs'!S37=1,IF('Model inputs'!S37="","",'Model inputs'!S37=1))="",FALSE,IF(ISERROR('Model inputs'!S37=1),'Model inputs'!S37=1,IF('Model inputs'!S37="","",'Model inputs'!S37=1))),IF('Model inputs'!B156="","",'Model inputs'!B156),0)</f>
        <v>0</v>
      </c>
      <c r="T68" s="9">
        <f>IF(IF(IF(ISERROR('Model inputs'!T37=1),'Model inputs'!T37=1,IF('Model inputs'!T37="","",'Model inputs'!T37=1))="",FALSE,IF(ISERROR('Model inputs'!T37=1),'Model inputs'!T37=1,IF('Model inputs'!T37="","",'Model inputs'!T37=1))),IF('Model inputs'!B156="","",'Model inputs'!B156),0)</f>
        <v>0</v>
      </c>
    </row>
    <row r="69" outlineLevel="1">
      <c r="A69" t="inlineStr" s="21">
        <is>
          <t xml:space="preserve">Waitlist new logos &gt; Launch</t>
        </is>
      </c>
      <c r="C69" s="9">
        <f>IF(IF(IF(ISERROR('Model inputs'!C37=1),'Model inputs'!C37=1,IF('Model inputs'!C37="","",'Model inputs'!C37=1))="",FALSE,IF(ISERROR('Model inputs'!C37=1),'Model inputs'!C37=1,IF('Model inputs'!C37="","",'Model inputs'!C37=1))),IF('Model inputs'!B157="","",'Model inputs'!B157),0)</f>
        <v>0</v>
      </c>
      <c r="D69" s="9">
        <f>IF(IF(IF(ISERROR('Model inputs'!D37=1),'Model inputs'!D37=1,IF('Model inputs'!D37="","",'Model inputs'!D37=1))="",FALSE,IF(ISERROR('Model inputs'!D37=1),'Model inputs'!D37=1,IF('Model inputs'!D37="","",'Model inputs'!D37=1))),IF('Model inputs'!B157="","",'Model inputs'!B157),0)</f>
        <v>0</v>
      </c>
      <c r="E69" s="9">
        <f>IF(IF(IF(ISERROR('Model inputs'!E37=1),'Model inputs'!E37=1,IF('Model inputs'!E37="","",'Model inputs'!E37=1))="",FALSE,IF(ISERROR('Model inputs'!E37=1),'Model inputs'!E37=1,IF('Model inputs'!E37="","",'Model inputs'!E37=1))),IF('Model inputs'!B157="","",'Model inputs'!B157),0)</f>
        <v>0</v>
      </c>
      <c r="F69" s="9">
        <f>IF(IF(IF(ISERROR('Model inputs'!F37=1),'Model inputs'!F37=1,IF('Model inputs'!F37="","",'Model inputs'!F37=1))="",FALSE,IF(ISERROR('Model inputs'!F37=1),'Model inputs'!F37=1,IF('Model inputs'!F37="","",'Model inputs'!F37=1))),IF('Model inputs'!B157="","",'Model inputs'!B157),0)</f>
        <v>0</v>
      </c>
      <c r="G69" s="9">
        <f>IF(IF(IF(ISERROR('Model inputs'!G37=1),'Model inputs'!G37=1,IF('Model inputs'!G37="","",'Model inputs'!G37=1))="",FALSE,IF(ISERROR('Model inputs'!G37=1),'Model inputs'!G37=1,IF('Model inputs'!G37="","",'Model inputs'!G37=1))),IF('Model inputs'!B157="","",'Model inputs'!B157),0)</f>
        <v>0</v>
      </c>
      <c r="H69" s="9">
        <f>IF(IF(IF(ISERROR('Model inputs'!H37=1),'Model inputs'!H37=1,IF('Model inputs'!H37="","",'Model inputs'!H37=1))="",FALSE,IF(ISERROR('Model inputs'!H37=1),'Model inputs'!H37=1,IF('Model inputs'!H37="","",'Model inputs'!H37=1))),IF('Model inputs'!B157="","",'Model inputs'!B157),0)</f>
        <v>0</v>
      </c>
      <c r="I69" s="9">
        <f>IF(IF(IF(ISERROR('Model inputs'!I37=1),'Model inputs'!I37=1,IF('Model inputs'!I37="","",'Model inputs'!I37=1))="",FALSE,IF(ISERROR('Model inputs'!I37=1),'Model inputs'!I37=1,IF('Model inputs'!I37="","",'Model inputs'!I37=1))),IF('Model inputs'!B157="","",'Model inputs'!B157),0)</f>
        <v>0</v>
      </c>
      <c r="J69" s="9">
        <f>IF(IF(IF(ISERROR('Model inputs'!J37=1),'Model inputs'!J37=1,IF('Model inputs'!J37="","",'Model inputs'!J37=1))="",FALSE,IF(ISERROR('Model inputs'!J37=1),'Model inputs'!J37=1,IF('Model inputs'!J37="","",'Model inputs'!J37=1))),IF('Model inputs'!B157="","",'Model inputs'!B157),0)</f>
        <v>0</v>
      </c>
      <c r="K69" s="9">
        <f>IF(IF(IF(ISERROR('Model inputs'!K37=1),'Model inputs'!K37=1,IF('Model inputs'!K37="","",'Model inputs'!K37=1))="",FALSE,IF(ISERROR('Model inputs'!K37=1),'Model inputs'!K37=1,IF('Model inputs'!K37="","",'Model inputs'!K37=1))),IF('Model inputs'!B157="","",'Model inputs'!B157),0)</f>
        <v>0</v>
      </c>
      <c r="L69" s="9">
        <f>IF(IF(IF(ISERROR('Model inputs'!L37=1),'Model inputs'!L37=1,IF('Model inputs'!L37="","",'Model inputs'!L37=1))="",FALSE,IF(ISERROR('Model inputs'!L37=1),'Model inputs'!L37=1,IF('Model inputs'!L37="","",'Model inputs'!L37=1))),IF('Model inputs'!B157="","",'Model inputs'!B157),0)</f>
        <v>0</v>
      </c>
      <c r="M69" s="9">
        <f>IF(IF(IF(ISERROR('Model inputs'!M37=1),'Model inputs'!M37=1,IF('Model inputs'!M37="","",'Model inputs'!M37=1))="",FALSE,IF(ISERROR('Model inputs'!M37=1),'Model inputs'!M37=1,IF('Model inputs'!M37="","",'Model inputs'!M37=1))),IF('Model inputs'!B157="","",'Model inputs'!B157),0)</f>
        <v>0</v>
      </c>
      <c r="N69" s="9">
        <f>IF(IF(IF(ISERROR('Model inputs'!N37=1),'Model inputs'!N37=1,IF('Model inputs'!N37="","",'Model inputs'!N37=1))="",FALSE,IF(ISERROR('Model inputs'!N37=1),'Model inputs'!N37=1,IF('Model inputs'!N37="","",'Model inputs'!N37=1))),IF('Model inputs'!B157="","",'Model inputs'!B157),0)</f>
        <v>0</v>
      </c>
      <c r="O69" s="9">
        <f>IF(IF(IF(ISERROR('Model inputs'!O37=1),'Model inputs'!O37=1,IF('Model inputs'!O37="","",'Model inputs'!O37=1))="",FALSE,IF(ISERROR('Model inputs'!O37=1),'Model inputs'!O37=1,IF('Model inputs'!O37="","",'Model inputs'!O37=1))),IF('Model inputs'!B157="","",'Model inputs'!B157),0)</f>
        <v>0</v>
      </c>
      <c r="P69" s="9">
        <f>IF(IF(IF(ISERROR('Model inputs'!P37=1),'Model inputs'!P37=1,IF('Model inputs'!P37="","",'Model inputs'!P37=1))="",FALSE,IF(ISERROR('Model inputs'!P37=1),'Model inputs'!P37=1,IF('Model inputs'!P37="","",'Model inputs'!P37=1))),IF('Model inputs'!B157="","",'Model inputs'!B157),0)</f>
        <v>0</v>
      </c>
      <c r="Q69" s="9">
        <f>IF(IF(IF(ISERROR('Model inputs'!Q37=1),'Model inputs'!Q37=1,IF('Model inputs'!Q37="","",'Model inputs'!Q37=1))="",FALSE,IF(ISERROR('Model inputs'!Q37=1),'Model inputs'!Q37=1,IF('Model inputs'!Q37="","",'Model inputs'!Q37=1))),IF('Model inputs'!B157="","",'Model inputs'!B157),0)</f>
        <v>0</v>
      </c>
      <c r="R69" s="9">
        <f>IF(IF(IF(ISERROR('Model inputs'!R37=1),'Model inputs'!R37=1,IF('Model inputs'!R37="","",'Model inputs'!R37=1))="",FALSE,IF(ISERROR('Model inputs'!R37=1),'Model inputs'!R37=1,IF('Model inputs'!R37="","",'Model inputs'!R37=1))),IF('Model inputs'!B157="","",'Model inputs'!B157),0)</f>
        <v>0</v>
      </c>
      <c r="S69" s="9">
        <f>IF(IF(IF(ISERROR('Model inputs'!S37=1),'Model inputs'!S37=1,IF('Model inputs'!S37="","",'Model inputs'!S37=1))="",FALSE,IF(ISERROR('Model inputs'!S37=1),'Model inputs'!S37=1,IF('Model inputs'!S37="","",'Model inputs'!S37=1))),IF('Model inputs'!B157="","",'Model inputs'!B157),0)</f>
        <v>0</v>
      </c>
      <c r="T69" s="9">
        <f>IF(IF(IF(ISERROR('Model inputs'!T37=1),'Model inputs'!T37=1,IF('Model inputs'!T37="","",'Model inputs'!T37=1))="",FALSE,IF(ISERROR('Model inputs'!T37=1),'Model inputs'!T37=1,IF('Model inputs'!T37="","",'Model inputs'!T37=1))),IF('Model inputs'!B157="","",'Model inputs'!B157),0)</f>
        <v>0</v>
      </c>
    </row>
    <row r="70" outlineLevel="1">
      <c r="A70" t="inlineStr" s="21">
        <is>
          <t xml:space="preserve">Waitlist new logos &gt; Team</t>
        </is>
      </c>
      <c r="C70" s="9">
        <f>IF(IF(IF(ISERROR('Model inputs'!C37=1),'Model inputs'!C37=1,IF('Model inputs'!C37="","",'Model inputs'!C37=1))="",FALSE,IF(ISERROR('Model inputs'!C37=1),'Model inputs'!C37=1,IF('Model inputs'!C37="","",'Model inputs'!C37=1))),IF('Model inputs'!B158="","",'Model inputs'!B158),0)</f>
        <v>0</v>
      </c>
      <c r="D70" s="9">
        <f>IF(IF(IF(ISERROR('Model inputs'!D37=1),'Model inputs'!D37=1,IF('Model inputs'!D37="","",'Model inputs'!D37=1))="",FALSE,IF(ISERROR('Model inputs'!D37=1),'Model inputs'!D37=1,IF('Model inputs'!D37="","",'Model inputs'!D37=1))),IF('Model inputs'!B158="","",'Model inputs'!B158),0)</f>
        <v>0</v>
      </c>
      <c r="E70" s="9">
        <f>IF(IF(IF(ISERROR('Model inputs'!E37=1),'Model inputs'!E37=1,IF('Model inputs'!E37="","",'Model inputs'!E37=1))="",FALSE,IF(ISERROR('Model inputs'!E37=1),'Model inputs'!E37=1,IF('Model inputs'!E37="","",'Model inputs'!E37=1))),IF('Model inputs'!B158="","",'Model inputs'!B158),0)</f>
        <v>0</v>
      </c>
      <c r="F70" s="9">
        <f>IF(IF(IF(ISERROR('Model inputs'!F37=1),'Model inputs'!F37=1,IF('Model inputs'!F37="","",'Model inputs'!F37=1))="",FALSE,IF(ISERROR('Model inputs'!F37=1),'Model inputs'!F37=1,IF('Model inputs'!F37="","",'Model inputs'!F37=1))),IF('Model inputs'!B158="","",'Model inputs'!B158),0)</f>
        <v>0</v>
      </c>
      <c r="G70" s="9">
        <f>IF(IF(IF(ISERROR('Model inputs'!G37=1),'Model inputs'!G37=1,IF('Model inputs'!G37="","",'Model inputs'!G37=1))="",FALSE,IF(ISERROR('Model inputs'!G37=1),'Model inputs'!G37=1,IF('Model inputs'!G37="","",'Model inputs'!G37=1))),IF('Model inputs'!B158="","",'Model inputs'!B158),0)</f>
        <v>0</v>
      </c>
      <c r="H70" s="9">
        <f>IF(IF(IF(ISERROR('Model inputs'!H37=1),'Model inputs'!H37=1,IF('Model inputs'!H37="","",'Model inputs'!H37=1))="",FALSE,IF(ISERROR('Model inputs'!H37=1),'Model inputs'!H37=1,IF('Model inputs'!H37="","",'Model inputs'!H37=1))),IF('Model inputs'!B158="","",'Model inputs'!B158),0)</f>
        <v>0</v>
      </c>
      <c r="I70" s="9">
        <f>IF(IF(IF(ISERROR('Model inputs'!I37=1),'Model inputs'!I37=1,IF('Model inputs'!I37="","",'Model inputs'!I37=1))="",FALSE,IF(ISERROR('Model inputs'!I37=1),'Model inputs'!I37=1,IF('Model inputs'!I37="","",'Model inputs'!I37=1))),IF('Model inputs'!B158="","",'Model inputs'!B158),0)</f>
        <v>0</v>
      </c>
      <c r="J70" s="9">
        <f>IF(IF(IF(ISERROR('Model inputs'!J37=1),'Model inputs'!J37=1,IF('Model inputs'!J37="","",'Model inputs'!J37=1))="",FALSE,IF(ISERROR('Model inputs'!J37=1),'Model inputs'!J37=1,IF('Model inputs'!J37="","",'Model inputs'!J37=1))),IF('Model inputs'!B158="","",'Model inputs'!B158),0)</f>
        <v>0</v>
      </c>
      <c r="K70" s="9">
        <f>IF(IF(IF(ISERROR('Model inputs'!K37=1),'Model inputs'!K37=1,IF('Model inputs'!K37="","",'Model inputs'!K37=1))="",FALSE,IF(ISERROR('Model inputs'!K37=1),'Model inputs'!K37=1,IF('Model inputs'!K37="","",'Model inputs'!K37=1))),IF('Model inputs'!B158="","",'Model inputs'!B158),0)</f>
        <v>0</v>
      </c>
      <c r="L70" s="9">
        <f>IF(IF(IF(ISERROR('Model inputs'!L37=1),'Model inputs'!L37=1,IF('Model inputs'!L37="","",'Model inputs'!L37=1))="",FALSE,IF(ISERROR('Model inputs'!L37=1),'Model inputs'!L37=1,IF('Model inputs'!L37="","",'Model inputs'!L37=1))),IF('Model inputs'!B158="","",'Model inputs'!B158),0)</f>
        <v>0</v>
      </c>
      <c r="M70" s="9">
        <f>IF(IF(IF(ISERROR('Model inputs'!M37=1),'Model inputs'!M37=1,IF('Model inputs'!M37="","",'Model inputs'!M37=1))="",FALSE,IF(ISERROR('Model inputs'!M37=1),'Model inputs'!M37=1,IF('Model inputs'!M37="","",'Model inputs'!M37=1))),IF('Model inputs'!B158="","",'Model inputs'!B158),0)</f>
        <v>0</v>
      </c>
      <c r="N70" s="9">
        <f>IF(IF(IF(ISERROR('Model inputs'!N37=1),'Model inputs'!N37=1,IF('Model inputs'!N37="","",'Model inputs'!N37=1))="",FALSE,IF(ISERROR('Model inputs'!N37=1),'Model inputs'!N37=1,IF('Model inputs'!N37="","",'Model inputs'!N37=1))),IF('Model inputs'!B158="","",'Model inputs'!B158),0)</f>
        <v>0</v>
      </c>
      <c r="O70" s="9">
        <f>IF(IF(IF(ISERROR('Model inputs'!O37=1),'Model inputs'!O37=1,IF('Model inputs'!O37="","",'Model inputs'!O37=1))="",FALSE,IF(ISERROR('Model inputs'!O37=1),'Model inputs'!O37=1,IF('Model inputs'!O37="","",'Model inputs'!O37=1))),IF('Model inputs'!B158="","",'Model inputs'!B158),0)</f>
        <v>0</v>
      </c>
      <c r="P70" s="9">
        <f>IF(IF(IF(ISERROR('Model inputs'!P37=1),'Model inputs'!P37=1,IF('Model inputs'!P37="","",'Model inputs'!P37=1))="",FALSE,IF(ISERROR('Model inputs'!P37=1),'Model inputs'!P37=1,IF('Model inputs'!P37="","",'Model inputs'!P37=1))),IF('Model inputs'!B158="","",'Model inputs'!B158),0)</f>
        <v>0</v>
      </c>
      <c r="Q70" s="9">
        <f>IF(IF(IF(ISERROR('Model inputs'!Q37=1),'Model inputs'!Q37=1,IF('Model inputs'!Q37="","",'Model inputs'!Q37=1))="",FALSE,IF(ISERROR('Model inputs'!Q37=1),'Model inputs'!Q37=1,IF('Model inputs'!Q37="","",'Model inputs'!Q37=1))),IF('Model inputs'!B158="","",'Model inputs'!B158),0)</f>
        <v>0</v>
      </c>
      <c r="R70" s="9">
        <f>IF(IF(IF(ISERROR('Model inputs'!R37=1),'Model inputs'!R37=1,IF('Model inputs'!R37="","",'Model inputs'!R37=1))="",FALSE,IF(ISERROR('Model inputs'!R37=1),'Model inputs'!R37=1,IF('Model inputs'!R37="","",'Model inputs'!R37=1))),IF('Model inputs'!B158="","",'Model inputs'!B158),0)</f>
        <v>0</v>
      </c>
      <c r="S70" s="9">
        <f>IF(IF(IF(ISERROR('Model inputs'!S37=1),'Model inputs'!S37=1,IF('Model inputs'!S37="","",'Model inputs'!S37=1))="",FALSE,IF(ISERROR('Model inputs'!S37=1),'Model inputs'!S37=1,IF('Model inputs'!S37="","",'Model inputs'!S37=1))),IF('Model inputs'!B158="","",'Model inputs'!B158),0)</f>
        <v>0</v>
      </c>
      <c r="T70" s="9">
        <f>IF(IF(IF(ISERROR('Model inputs'!T37=1),'Model inputs'!T37=1,IF('Model inputs'!T37="","",'Model inputs'!T37=1))="",FALSE,IF(ISERROR('Model inputs'!T37=1),'Model inputs'!T37=1,IF('Model inputs'!T37="","",'Model inputs'!T37=1))),IF('Model inputs'!B158="","",'Model inputs'!B158),0)</f>
        <v>0</v>
      </c>
    </row>
    <row r="71">
      <c r="A71" t="inlineStr" s="20">
        <is>
          <t xml:space="preserve">Ending customers</t>
        </is>
      </c>
      <c r="C71" s="7">
        <f>SUM('Model inputs'!C72,'Model inputs'!C73,'Model inputs'!C74)</f>
        <v>47</v>
      </c>
      <c r="D71" s="7">
        <f>SUM('Model inputs'!D72,'Model inputs'!D73,'Model inputs'!D74)</f>
        <v>84.905</v>
      </c>
      <c r="E71" s="7">
        <f>SUM('Model inputs'!E72,'Model inputs'!E73,'Model inputs'!E74)</f>
        <v>110.9505</v>
      </c>
      <c r="F71" s="7">
        <f>SUM('Model inputs'!F72,'Model inputs'!F73,'Model inputs'!F74)</f>
        <v>138.05102827083334</v>
      </c>
      <c r="G71" s="7">
        <f>SUM('Model inputs'!G72,'Model inputs'!G73,'Model inputs'!G74)</f>
        <v>166.3601248259896</v>
      </c>
      <c r="H71" s="7">
        <f>SUM('Model inputs'!H72,'Model inputs'!H73,'Model inputs'!H74)</f>
        <v>196.04006505593594</v>
      </c>
      <c r="I71" s="7">
        <f>SUM('Model inputs'!I72,'Model inputs'!I73,'Model inputs'!I74)</f>
        <v>227.2628736908502</v>
      </c>
      <c r="J71" s="7">
        <f>SUM('Model inputs'!J72,'Model inputs'!J73,'Model inputs'!J74)</f>
        <v>260.21140757088153</v>
      </c>
      <c r="K71" s="7">
        <f>SUM('Model inputs'!K72,'Model inputs'!K73,'Model inputs'!K74)</f>
        <v>295.08051439200136</v>
      </c>
      <c r="L71" s="7">
        <f>SUM('Model inputs'!L72,'Model inputs'!L73,'Model inputs'!L74)</f>
        <v>330.0136817964602</v>
      </c>
      <c r="M71" s="7">
        <f>SUM('Model inputs'!M72,'Model inputs'!M73,'Model inputs'!M74)</f>
        <v>365.0921444578123</v>
      </c>
      <c r="N71" s="7">
        <f>SUM('Model inputs'!N72,'Model inputs'!N73,'Model inputs'!N74)</f>
        <v>400.3954360097452</v>
      </c>
      <c r="O71" s="7">
        <f>SUM('Model inputs'!O72,'Model inputs'!O73,'Model inputs'!O74)</f>
        <v>436.0016417049511</v>
      </c>
      <c r="P71" s="7">
        <f>SUM('Model inputs'!P72,'Model inputs'!P73,'Model inputs'!P74)</f>
        <v>471.98764010807395</v>
      </c>
      <c r="Q71" s="7">
        <f>SUM('Model inputs'!Q72,'Model inputs'!Q73,'Model inputs'!Q74)</f>
        <v>508.42933477856207</v>
      </c>
      <c r="R71" s="7">
        <f>SUM('Model inputs'!R72,'Model inputs'!R73,'Model inputs'!R74)</f>
        <v>545.4018768448782</v>
      </c>
      <c r="S71" s="7">
        <f>SUM('Model inputs'!S72,'Model inputs'!S73,'Model inputs'!S74)</f>
        <v>582.979879321125</v>
      </c>
      <c r="T71" s="7">
        <f>SUM('Model inputs'!T72,'Model inputs'!T73,'Model inputs'!T74)</f>
        <v>621.2376239704861</v>
      </c>
    </row>
    <row r="72" outlineLevel="1">
      <c r="A72" t="inlineStr" s="21">
        <is>
          <t xml:space="preserve">Ending customers &gt; Indie</t>
        </is>
      </c>
      <c r="C72" s="9">
        <f>'Model inputs'!C43+'Model inputs'!C48+'Model inputs'!C68+'Model inputs'!C60-'Model inputs'!C11-'Model inputs'!C64</f>
        <v>40</v>
      </c>
      <c r="D72" s="9">
        <f>'Model inputs'!D43+'Model inputs'!D48+'Model inputs'!D68+'Model inputs'!D60-'Model inputs'!D11-'Model inputs'!D64</f>
        <v>74.33333333333333</v>
      </c>
      <c r="E72" s="9">
        <f>'Model inputs'!E43+'Model inputs'!E48+'Model inputs'!E68+'Model inputs'!E60-'Model inputs'!E11-'Model inputs'!E64</f>
        <v>96.37777777777778</v>
      </c>
      <c r="F72" s="9">
        <f>'Model inputs'!F43+'Model inputs'!F48+'Model inputs'!F68+'Model inputs'!F60-'Model inputs'!F11-'Model inputs'!F64</f>
        <v>119.1125925925926</v>
      </c>
      <c r="G72" s="9">
        <f>'Model inputs'!G43+'Model inputs'!G48+'Model inputs'!G68+'Model inputs'!G60-'Model inputs'!G11-'Model inputs'!G64</f>
        <v>142.66455308641977</v>
      </c>
      <c r="H72" s="9">
        <f>'Model inputs'!H43+'Model inputs'!H48+'Model inputs'!H68+'Model inputs'!H60-'Model inputs'!H11-'Model inputs'!H64</f>
        <v>167.16580688065847</v>
      </c>
      <c r="I72" s="9">
        <f>'Model inputs'!I43+'Model inputs'!I48+'Model inputs'!I68+'Model inputs'!I60-'Model inputs'!I11-'Model inputs'!I64</f>
        <v>192.75462167528124</v>
      </c>
      <c r="J72" s="9">
        <f>'Model inputs'!J43+'Model inputs'!J48+'Model inputs'!J68+'Model inputs'!J60-'Model inputs'!J11-'Model inputs'!J64</f>
        <v>219.57617163719584</v>
      </c>
      <c r="K72" s="9">
        <f>'Model inputs'!K43+'Model inputs'!K48+'Model inputs'!K68+'Model inputs'!K60-'Model inputs'!K11-'Model inputs'!K64</f>
        <v>247.78336691420412</v>
      </c>
      <c r="L72" s="9">
        <f>'Model inputs'!L43+'Model inputs'!L48+'Model inputs'!L68+'Model inputs'!L60-'Model inputs'!L11-'Model inputs'!L64</f>
        <v>275.8239067748581</v>
      </c>
      <c r="M72" s="9">
        <f>'Model inputs'!M43+'Model inputs'!M48+'Model inputs'!M68+'Model inputs'!M60-'Model inputs'!M11-'Model inputs'!M64</f>
        <v>303.77745455099915</v>
      </c>
      <c r="N72" s="9">
        <f>'Model inputs'!N43+'Model inputs'!N48+'Model inputs'!N68+'Model inputs'!N60-'Model inputs'!N11-'Model inputs'!N64</f>
        <v>331.7211048045094</v>
      </c>
      <c r="O72" s="9">
        <f>'Model inputs'!O43+'Model inputs'!O48+'Model inputs'!O68+'Model inputs'!O60-'Model inputs'!O11-'Model inputs'!O64</f>
        <v>359.72966426339536</v>
      </c>
      <c r="P72" s="9">
        <f>'Model inputs'!P43+'Model inputs'!P48+'Model inputs'!P68+'Model inputs'!P60-'Model inputs'!P11-'Model inputs'!P64</f>
        <v>387.87591841618973</v>
      </c>
      <c r="Q72" s="9">
        <f>'Model inputs'!Q43+'Model inputs'!Q48+'Model inputs'!Q68+'Model inputs'!Q60-'Model inputs'!Q11-'Model inputs'!Q64</f>
        <v>416.23088489627867</v>
      </c>
      <c r="R72" s="9">
        <f>'Model inputs'!R43+'Model inputs'!R48+'Model inputs'!R68+'Model inputs'!R60-'Model inputs'!R11-'Model inputs'!R64</f>
        <v>444.8640547193417</v>
      </c>
      <c r="S72" s="9">
        <f>'Model inputs'!S43+'Model inputs'!S48+'Model inputs'!S68+'Model inputs'!S60-'Model inputs'!S11-'Model inputs'!S64</f>
        <v>473.8436223735132</v>
      </c>
      <c r="T72" s="9">
        <f>'Model inputs'!T43+'Model inputs'!T48+'Model inputs'!T68+'Model inputs'!T60-'Model inputs'!T11-'Model inputs'!T64</f>
        <v>503.23670570282496</v>
      </c>
    </row>
    <row r="73" outlineLevel="1">
      <c r="A73" t="inlineStr" s="21">
        <is>
          <t xml:space="preserve">Ending customers &gt; Launch</t>
        </is>
      </c>
      <c r="C73" s="9">
        <f>'Model inputs'!C44+'Model inputs'!C49+'Model inputs'!C69+'Model inputs'!C61-'Model inputs'!C12-'Model inputs'!C65</f>
        <v>1</v>
      </c>
      <c r="D73" s="9">
        <f>'Model inputs'!D44+'Model inputs'!D49+'Model inputs'!D69+'Model inputs'!D61-'Model inputs'!D12-'Model inputs'!D65</f>
        <v>1.51</v>
      </c>
      <c r="E73" s="9">
        <f>'Model inputs'!E44+'Model inputs'!E49+'Model inputs'!E69+'Model inputs'!E61-'Model inputs'!E12-'Model inputs'!E65</f>
        <v>2.025106944444444</v>
      </c>
      <c r="F73" s="9">
        <f>'Model inputs'!F44+'Model inputs'!F49+'Model inputs'!F69+'Model inputs'!F61-'Model inputs'!F12-'Model inputs'!F65</f>
        <v>2.547012070601851</v>
      </c>
      <c r="G73" s="9">
        <f>'Model inputs'!G44+'Model inputs'!G49+'Model inputs'!G69+'Model inputs'!G61-'Model inputs'!G12-'Model inputs'!G65</f>
        <v>3.0771044879079854</v>
      </c>
      <c r="H73" s="9">
        <f>'Model inputs'!H44+'Model inputs'!H49+'Model inputs'!H69+'Model inputs'!H61-'Model inputs'!H12-'Model inputs'!H65</f>
        <v>3.6168582008046233</v>
      </c>
      <c r="I73" s="9">
        <f>'Model inputs'!I44+'Model inputs'!I49+'Model inputs'!I69+'Model inputs'!I61-'Model inputs'!I12-'Model inputs'!I65</f>
        <v>4.167844494352857</v>
      </c>
      <c r="J73" s="9">
        <f>'Model inputs'!J44+'Model inputs'!J49+'Model inputs'!J69+'Model inputs'!J61-'Model inputs'!J12-'Model inputs'!J65</f>
        <v>4.731745191609298</v>
      </c>
      <c r="K73" s="9">
        <f>'Model inputs'!K44+'Model inputs'!K49+'Model inputs'!K69+'Model inputs'!K61-'Model inputs'!K12-'Model inputs'!K65</f>
        <v>5.310366891827144</v>
      </c>
      <c r="L73" s="9">
        <f>'Model inputs'!L44+'Model inputs'!L49+'Model inputs'!L69+'Model inputs'!L61-'Model inputs'!L12-'Model inputs'!L65</f>
        <v>5.905656307557946</v>
      </c>
      <c r="M73" s="9">
        <f>'Model inputs'!M44+'Model inputs'!M49+'Model inputs'!M69+'Model inputs'!M61-'Model inputs'!M12-'Model inputs'!M65</f>
        <v>6.51825529091976</v>
      </c>
      <c r="N73" s="9">
        <f>'Model inputs'!N44+'Model inputs'!N49+'Model inputs'!N69+'Model inputs'!N61-'Model inputs'!N12-'Model inputs'!N65</f>
        <v>7.148799939122187</v>
      </c>
      <c r="O73" s="9">
        <f>'Model inputs'!O44+'Model inputs'!O49+'Model inputs'!O69+'Model inputs'!O61-'Model inputs'!O12-'Model inputs'!O65</f>
        <v>7.797924320310828</v>
      </c>
      <c r="P73" s="9">
        <f>'Model inputs'!P44+'Model inputs'!P49+'Model inputs'!P69+'Model inputs'!P61-'Model inputs'!P12-'Model inputs'!P65</f>
        <v>8.466264010178019</v>
      </c>
      <c r="Q73" s="9">
        <f>'Model inputs'!Q44+'Model inputs'!Q49+'Model inputs'!Q69+'Model inputs'!Q61-'Model inputs'!Q12-'Model inputs'!Q65</f>
        <v>9.154459457032457</v>
      </c>
      <c r="R73" s="9">
        <f>'Model inputs'!R44+'Model inputs'!R49+'Model inputs'!R69+'Model inputs'!R61-'Model inputs'!R12-'Model inputs'!R65</f>
        <v>9.86315919194885</v>
      </c>
      <c r="S73" s="9">
        <f>'Model inputs'!S44+'Model inputs'!S49+'Model inputs'!S69+'Model inputs'!S61-'Model inputs'!S12-'Model inputs'!S65</f>
        <v>10.59302289962623</v>
      </c>
      <c r="T73" s="9">
        <f>'Model inputs'!T44+'Model inputs'!T49+'Model inputs'!T69+'Model inputs'!T61-'Model inputs'!T12-'Model inputs'!T65</f>
        <v>11.344724364665112</v>
      </c>
    </row>
    <row r="74" outlineLevel="1">
      <c r="A74" t="inlineStr" s="21">
        <is>
          <t xml:space="preserve">Ending customers &gt; Team</t>
        </is>
      </c>
      <c r="C74" s="9">
        <f>'Model inputs'!C45+'Model inputs'!C50+'Model inputs'!C70+'Model inputs'!C62-'Model inputs'!C13-'Model inputs'!C66</f>
        <v>6</v>
      </c>
      <c r="D74" s="9">
        <f>'Model inputs'!D45+'Model inputs'!D50+'Model inputs'!D70+'Model inputs'!D62-'Model inputs'!D13-'Model inputs'!D66</f>
        <v>9.061666666666667</v>
      </c>
      <c r="E74" s="9">
        <f>'Model inputs'!E45+'Model inputs'!E50+'Model inputs'!E70+'Model inputs'!E62-'Model inputs'!E13-'Model inputs'!E66</f>
        <v>12.547615277777778</v>
      </c>
      <c r="F74" s="9">
        <f>'Model inputs'!F45+'Model inputs'!F50+'Model inputs'!F70+'Model inputs'!F62-'Model inputs'!F13-'Model inputs'!F66</f>
        <v>16.391423607638888</v>
      </c>
      <c r="G74" s="9">
        <f>'Model inputs'!G45+'Model inputs'!G50+'Model inputs'!G70+'Model inputs'!G62-'Model inputs'!G13-'Model inputs'!G66</f>
        <v>20.618467251661844</v>
      </c>
      <c r="H74" s="9">
        <f>'Model inputs'!H45+'Model inputs'!H50+'Model inputs'!H70+'Model inputs'!H62-'Model inputs'!H13-'Model inputs'!H66</f>
        <v>25.257399974472865</v>
      </c>
      <c r="I74" s="9">
        <f>'Model inputs'!I45+'Model inputs'!I50+'Model inputs'!I70+'Model inputs'!I62-'Model inputs'!I13-'Model inputs'!I66</f>
        <v>30.3404075212161</v>
      </c>
      <c r="J74" s="9">
        <f>'Model inputs'!J45+'Model inputs'!J50+'Model inputs'!J70+'Model inputs'!J62-'Model inputs'!J13-'Model inputs'!J66</f>
        <v>35.90349074207642</v>
      </c>
      <c r="K74" s="9">
        <f>'Model inputs'!K45+'Model inputs'!K50+'Model inputs'!K70+'Model inputs'!K62-'Model inputs'!K13-'Model inputs'!K66</f>
        <v>41.986780585970116</v>
      </c>
      <c r="L74" s="9">
        <f>'Model inputs'!L45+'Model inputs'!L50+'Model inputs'!L70+'Model inputs'!L62-'Model inputs'!L13-'Model inputs'!L66</f>
        <v>48.284118714044176</v>
      </c>
      <c r="M74" s="9">
        <f>'Model inputs'!M45+'Model inputs'!M50+'Model inputs'!M70+'Model inputs'!M62-'Model inputs'!M13-'Model inputs'!M66</f>
        <v>54.79643461589339</v>
      </c>
      <c r="N74" s="9">
        <f>'Model inputs'!N45+'Model inputs'!N50+'Model inputs'!N70+'Model inputs'!N62-'Model inputs'!N13-'Model inputs'!N66</f>
        <v>61.52553126611357</v>
      </c>
      <c r="O74" s="9">
        <f>'Model inputs'!O45+'Model inputs'!O50+'Model inputs'!O70+'Model inputs'!O62-'Model inputs'!O13-'Model inputs'!O66</f>
        <v>68.47405312124489</v>
      </c>
      <c r="P74" s="9">
        <f>'Model inputs'!P45+'Model inputs'!P50+'Model inputs'!P70+'Model inputs'!P62-'Model inputs'!P13-'Model inputs'!P66</f>
        <v>75.64545768170619</v>
      </c>
      <c r="Q74" s="9">
        <f>'Model inputs'!Q45+'Model inputs'!Q50+'Model inputs'!Q70+'Model inputs'!Q62-'Model inputs'!Q13-'Model inputs'!Q66</f>
        <v>83.04399042525094</v>
      </c>
      <c r="R74" s="9">
        <f>'Model inputs'!R45+'Model inputs'!R50+'Model inputs'!R70+'Model inputs'!R62-'Model inputs'!R13-'Model inputs'!R66</f>
        <v>90.67466293358764</v>
      </c>
      <c r="S74" s="9">
        <f>'Model inputs'!S45+'Model inputs'!S50+'Model inputs'!S70+'Model inputs'!S62-'Model inputs'!S13-'Model inputs'!S66</f>
        <v>98.54323404798558</v>
      </c>
      <c r="T74" s="9">
        <f>'Model inputs'!T45+'Model inputs'!T50+'Model inputs'!T70+'Model inputs'!T62-'Model inputs'!T13-'Model inputs'!T66</f>
        <v>106.65619390299605</v>
      </c>
    </row>
    <row r="75">
      <c r="A75" t="inlineStr" s="20">
        <is>
          <t xml:space="preserve">Annual upgrade rate to next plan</t>
        </is>
      </c>
      <c r="B75" s="24">
        <v>0</v>
      </c>
    </row>
    <row r="76" outlineLevel="1">
      <c r="A76" t="inlineStr" s="21">
        <is>
          <t xml:space="preserve">Annual upgrade rate to next plan &gt; Indie</t>
        </is>
      </c>
      <c r="B76" s="25">
        <f>0.08</f>
        <v>0.08</v>
      </c>
    </row>
    <row r="77" outlineLevel="1">
      <c r="A77" t="inlineStr" s="21">
        <is>
          <t xml:space="preserve">Annual upgrade rate to next plan &gt; Launch</t>
        </is>
      </c>
      <c r="B77" s="25">
        <f>0</f>
        <v>0</v>
      </c>
    </row>
    <row r="78" outlineLevel="1">
      <c r="A78" t="inlineStr" s="21">
        <is>
          <t xml:space="preserve">Annual upgrade rate to next plan &gt; Team</t>
        </is>
      </c>
      <c r="B78" s="25">
        <f>0.05</f>
        <v>0.05</v>
      </c>
    </row>
    <row r="79">
      <c r="A79" t="inlineStr" s="20">
        <is>
          <t xml:space="preserve">Card charges</t>
        </is>
      </c>
      <c r="C79" s="23">
        <f>SUM('Model inputs'!C80,'Model inputs'!C81,'Model inputs'!C82)</f>
        <v>47</v>
      </c>
      <c r="D79" s="23">
        <f>SUM('Model inputs'!D80,'Model inputs'!D81,'Model inputs'!D82)</f>
        <v>84.905</v>
      </c>
      <c r="E79" s="23">
        <f>SUM('Model inputs'!E80,'Model inputs'!E81,'Model inputs'!E82)</f>
        <v>110.35099861111111</v>
      </c>
      <c r="F79" s="23">
        <f>SUM('Model inputs'!F80,'Model inputs'!F81,'Model inputs'!F82)</f>
        <v>136.39833793553242</v>
      </c>
      <c r="G79" s="23">
        <f>SUM('Model inputs'!G80,'Model inputs'!G81,'Model inputs'!G82)</f>
        <v>163.1386394629229</v>
      </c>
      <c r="H79" s="23">
        <f>SUM('Model inputs'!H80,'Model inputs'!H81,'Model inputs'!H82)</f>
        <v>190.66619745317232</v>
      </c>
      <c r="I79" s="23">
        <f>SUM('Model inputs'!I80,'Model inputs'!I81,'Model inputs'!I82)</f>
        <v>219.07804106079942</v>
      </c>
      <c r="J79" s="23">
        <f>SUM('Model inputs'!J80,'Model inputs'!J81,'Model inputs'!J82)</f>
        <v>248.47397482800056</v>
      </c>
      <c r="K79" s="23">
        <f>SUM('Model inputs'!K80,'Model inputs'!K81,'Model inputs'!K82)</f>
        <v>281.26001013025916</v>
      </c>
      <c r="L79" s="23">
        <f>SUM('Model inputs'!L80,'Model inputs'!L81,'Model inputs'!L82)</f>
        <v>313.92842080156595</v>
      </c>
      <c r="M79" s="23">
        <f>SUM('Model inputs'!M80,'Model inputs'!M81,'Model inputs'!M82)</f>
        <v>346.6637111423637</v>
      </c>
      <c r="N79" s="23">
        <f>SUM('Model inputs'!N80,'Model inputs'!N81,'Model inputs'!N82)</f>
        <v>379.5448779461048</v>
      </c>
      <c r="O79" s="23">
        <f>SUM('Model inputs'!O80,'Model inputs'!O81,'Model inputs'!O82)</f>
        <v>412.64917506109316</v>
      </c>
      <c r="P79" s="23">
        <f>SUM('Model inputs'!P80,'Model inputs'!P81,'Model inputs'!P82)</f>
        <v>446.4926009328778</v>
      </c>
      <c r="Q79" s="23">
        <f>SUM('Model inputs'!Q80,'Model inputs'!Q81,'Model inputs'!Q82)</f>
        <v>480.613608003025</v>
      </c>
      <c r="R79" s="23">
        <f>SUM('Model inputs'!R80,'Model inputs'!R81,'Model inputs'!R82)</f>
        <v>515.2351690842696</v>
      </c>
      <c r="S79" s="23">
        <f>SUM('Model inputs'!S80,'Model inputs'!S81,'Model inputs'!S82)</f>
        <v>550.4356692134742</v>
      </c>
      <c r="T79" s="23">
        <f>SUM('Model inputs'!T80,'Model inputs'!T81,'Model inputs'!T82)</f>
        <v>586.2937159981817</v>
      </c>
      <c r="U79" s="23">
        <f>SUM('Model inputs'!U80,'Model inputs'!U81,'Model inputs'!U82)</f>
        <v>0</v>
      </c>
      <c r="V79" s="23">
        <f>SUM('Model inputs'!V80,'Model inputs'!V81,'Model inputs'!V82)</f>
        <v>0</v>
      </c>
      <c r="W79" s="23">
        <f>SUM('Model inputs'!W80,'Model inputs'!W81,'Model inputs'!W82)</f>
        <v>0</v>
      </c>
      <c r="X79" s="23">
        <f>SUM('Model inputs'!X80,'Model inputs'!X81,'Model inputs'!X82)</f>
        <v>0</v>
      </c>
      <c r="Y79" s="23">
        <f>SUM('Model inputs'!Y80,'Model inputs'!Y81,'Model inputs'!Y82)</f>
        <v>0</v>
      </c>
      <c r="Z79" s="23">
        <f>SUM('Model inputs'!Z80,'Model inputs'!Z81,'Model inputs'!Z82)</f>
        <v>0</v>
      </c>
      <c r="AA79" s="23">
        <f>SUM('Model inputs'!AA80,'Model inputs'!AA81,'Model inputs'!AA82)</f>
        <v>0</v>
      </c>
      <c r="AB79" s="23">
        <f>SUM('Model inputs'!AB80,'Model inputs'!AB81,'Model inputs'!AB82)</f>
        <v>0</v>
      </c>
      <c r="AC79" s="23">
        <f>SUM('Model inputs'!AC80,'Model inputs'!AC81,'Model inputs'!AC82)</f>
        <v>0</v>
      </c>
      <c r="AD79" s="23">
        <f>SUM('Model inputs'!AD80,'Model inputs'!AD81,'Model inputs'!AD82)</f>
        <v>0</v>
      </c>
      <c r="AE79" s="23">
        <f>SUM('Model inputs'!AE80,'Model inputs'!AE81,'Model inputs'!AE82)</f>
        <v>0</v>
      </c>
      <c r="AF79" s="23">
        <f>SUM('Model inputs'!AF80,'Model inputs'!AF81,'Model inputs'!AF82)</f>
        <v>0</v>
      </c>
      <c r="AG79" s="23">
        <f>SUM('Model inputs'!AG80,'Model inputs'!AG81,'Model inputs'!AG82)</f>
        <v>0</v>
      </c>
    </row>
    <row r="80" outlineLevel="1">
      <c r="A80" t="inlineStr" s="21">
        <is>
          <t xml:space="preserve">Card charges &gt; Indie</t>
        </is>
      </c>
      <c r="C80" s="22">
        <f>'Model inputs'!C187+'Model inputs'!C195+'Model inputs'!C172</f>
        <v>40</v>
      </c>
      <c r="D80" s="22">
        <f>'Model inputs'!D187+'Model inputs'!D195+'Model inputs'!D172</f>
        <v>74.33333333333333</v>
      </c>
      <c r="E80" s="22">
        <f>'Model inputs'!E187+'Model inputs'!E195+'Model inputs'!E172</f>
        <v>96.37777777777778</v>
      </c>
      <c r="F80" s="22">
        <f>'Model inputs'!F187+'Model inputs'!F195+'Model inputs'!F172</f>
        <v>119.1125925925926</v>
      </c>
      <c r="G80" s="22">
        <f>'Model inputs'!G187+'Model inputs'!G195+'Model inputs'!G172</f>
        <v>142.66455308641977</v>
      </c>
      <c r="H80" s="22">
        <f>'Model inputs'!H187+'Model inputs'!H195+'Model inputs'!H172</f>
        <v>167.16580688065847</v>
      </c>
      <c r="I80" s="22">
        <f>'Model inputs'!I187+'Model inputs'!I195+'Model inputs'!I172</f>
        <v>192.75462167528124</v>
      </c>
      <c r="J80" s="22">
        <f>'Model inputs'!J187+'Model inputs'!J195+'Model inputs'!J172</f>
        <v>219.57617163719584</v>
      </c>
      <c r="K80" s="22">
        <f>'Model inputs'!K187+'Model inputs'!K195+'Model inputs'!K172</f>
        <v>247.78336691420412</v>
      </c>
      <c r="L80" s="22">
        <f>'Model inputs'!L187+'Model inputs'!L195+'Model inputs'!L172</f>
        <v>275.8239067748581</v>
      </c>
      <c r="M80" s="22">
        <f>'Model inputs'!M187+'Model inputs'!M195+'Model inputs'!M172</f>
        <v>303.77745455099915</v>
      </c>
      <c r="N80" s="22">
        <f>'Model inputs'!N187+'Model inputs'!N195+'Model inputs'!N172</f>
        <v>331.7211048045094</v>
      </c>
      <c r="O80" s="22">
        <f>'Model inputs'!O187+'Model inputs'!O195+'Model inputs'!O172</f>
        <v>359.72966426339536</v>
      </c>
      <c r="P80" s="22">
        <f>'Model inputs'!P187+'Model inputs'!P195+'Model inputs'!P172</f>
        <v>387.87591841618973</v>
      </c>
      <c r="Q80" s="22">
        <f>'Model inputs'!Q187+'Model inputs'!Q195+'Model inputs'!Q172</f>
        <v>416.23088489627867</v>
      </c>
      <c r="R80" s="22">
        <f>'Model inputs'!R187+'Model inputs'!R195+'Model inputs'!R172</f>
        <v>444.8640547193417</v>
      </c>
      <c r="S80" s="22">
        <f>'Model inputs'!S187+'Model inputs'!S195+'Model inputs'!S172</f>
        <v>473.8436223735132</v>
      </c>
      <c r="T80" s="22">
        <f>'Model inputs'!T187+'Model inputs'!T195+'Model inputs'!T172</f>
        <v>503.23670570282496</v>
      </c>
      <c r="U80" s="22">
        <f>'Model inputs'!U187+'Model inputs'!U195+'Model inputs'!U172</f>
        <v>0</v>
      </c>
      <c r="V80" s="22">
        <f>'Model inputs'!V187+'Model inputs'!V195+'Model inputs'!V172</f>
        <v>0</v>
      </c>
      <c r="W80" s="22">
        <f>'Model inputs'!W187+'Model inputs'!W195+'Model inputs'!W172</f>
        <v>0</v>
      </c>
      <c r="X80" s="22">
        <f>'Model inputs'!X187+'Model inputs'!X195+'Model inputs'!X172</f>
        <v>0</v>
      </c>
      <c r="Y80" s="22">
        <f>'Model inputs'!Y187+'Model inputs'!Y195+'Model inputs'!Y172</f>
        <v>0</v>
      </c>
      <c r="Z80" s="22">
        <f>'Model inputs'!Z187+'Model inputs'!Z195+'Model inputs'!Z172</f>
        <v>0</v>
      </c>
      <c r="AA80" s="22">
        <f>'Model inputs'!AA187+'Model inputs'!AA195+'Model inputs'!AA172</f>
        <v>0</v>
      </c>
      <c r="AB80" s="22">
        <f>'Model inputs'!AB187+'Model inputs'!AB195+'Model inputs'!AB172</f>
        <v>0</v>
      </c>
      <c r="AC80" s="22">
        <f>'Model inputs'!AC187+'Model inputs'!AC195+'Model inputs'!AC172</f>
        <v>0</v>
      </c>
      <c r="AD80" s="22">
        <f>'Model inputs'!AD187+'Model inputs'!AD195+'Model inputs'!AD172</f>
        <v>0</v>
      </c>
      <c r="AE80" s="22">
        <f>'Model inputs'!AE187+'Model inputs'!AE195+'Model inputs'!AE172</f>
        <v>0</v>
      </c>
      <c r="AF80" s="22">
        <f>'Model inputs'!AF187+'Model inputs'!AF195+'Model inputs'!AF172</f>
        <v>0</v>
      </c>
      <c r="AG80" s="22">
        <f>'Model inputs'!AG187+'Model inputs'!AG195+'Model inputs'!AG172</f>
        <v>0</v>
      </c>
    </row>
    <row r="81" outlineLevel="1">
      <c r="A81" t="inlineStr" s="21">
        <is>
          <t xml:space="preserve">Card charges &gt; Launch</t>
        </is>
      </c>
      <c r="C81" s="22">
        <f>'Model inputs'!C188+'Model inputs'!C196+'Model inputs'!C173</f>
        <v>1</v>
      </c>
      <c r="D81" s="22">
        <f>'Model inputs'!D188+'Model inputs'!D196+'Model inputs'!D173</f>
        <v>1.51</v>
      </c>
      <c r="E81" s="22">
        <f>'Model inputs'!E188+'Model inputs'!E196+'Model inputs'!E173</f>
        <v>1.9383448611111107</v>
      </c>
      <c r="F81" s="22">
        <f>'Model inputs'!F188+'Model inputs'!F196+'Model inputs'!F173</f>
        <v>2.314293530902777</v>
      </c>
      <c r="G81" s="22">
        <f>'Model inputs'!G188+'Model inputs'!G196+'Model inputs'!G173</f>
        <v>2.638063282237991</v>
      </c>
      <c r="H81" s="22">
        <f>'Model inputs'!H188+'Model inputs'!H196+'Model inputs'!H173</f>
        <v>2.909637019333771</v>
      </c>
      <c r="I81" s="22">
        <f>'Model inputs'!I188+'Model inputs'!I196+'Model inputs'!I173</f>
        <v>3.128751273746695</v>
      </c>
      <c r="J81" s="22">
        <f>'Model inputs'!J188+'Model inputs'!J196+'Model inputs'!J173</f>
        <v>3.294880802181151</v>
      </c>
      <c r="K81" s="22">
        <f>'Model inputs'!K188+'Model inputs'!K196+'Model inputs'!K173</f>
        <v>3.6790977370198386</v>
      </c>
      <c r="L81" s="22">
        <f>'Model inputs'!L188+'Model inputs'!L196+'Model inputs'!L173</f>
        <v>4.074907321600538</v>
      </c>
      <c r="M81" s="22">
        <f>'Model inputs'!M188+'Model inputs'!M196+'Model inputs'!M173</f>
        <v>4.482280278889159</v>
      </c>
      <c r="N81" s="22">
        <f>'Model inputs'!N188+'Model inputs'!N196+'Model inputs'!N173</f>
        <v>4.9016314275776</v>
      </c>
      <c r="O81" s="22">
        <f>'Model inputs'!O188+'Model inputs'!O196+'Model inputs'!O173</f>
        <v>5.333375541298454</v>
      </c>
      <c r="P81" s="22">
        <f>'Model inputs'!P188+'Model inputs'!P196+'Model inputs'!P173</f>
        <v>5.85140272496222</v>
      </c>
      <c r="Q81" s="22">
        <f>'Model inputs'!Q188+'Model inputs'!Q196+'Model inputs'!Q173</f>
        <v>6.360417997036922</v>
      </c>
      <c r="R81" s="22">
        <f>'Model inputs'!R188+'Model inputs'!R196+'Model inputs'!R173</f>
        <v>6.884836554120148</v>
      </c>
      <c r="S81" s="22">
        <f>'Model inputs'!S188+'Model inputs'!S196+'Model inputs'!S173</f>
        <v>7.425379748567756</v>
      </c>
      <c r="T81" s="22">
        <f>'Model inputs'!T188+'Model inputs'!T196+'Model inputs'!T173</f>
        <v>7.982803896855035</v>
      </c>
      <c r="U81" s="22">
        <f>'Model inputs'!U188+'Model inputs'!U196+'Model inputs'!U173</f>
        <v>0</v>
      </c>
      <c r="V81" s="22">
        <f>'Model inputs'!V188+'Model inputs'!V196+'Model inputs'!V173</f>
        <v>0</v>
      </c>
      <c r="W81" s="22">
        <f>'Model inputs'!W188+'Model inputs'!W196+'Model inputs'!W173</f>
        <v>0</v>
      </c>
      <c r="X81" s="22">
        <f>'Model inputs'!X188+'Model inputs'!X196+'Model inputs'!X173</f>
        <v>0</v>
      </c>
      <c r="Y81" s="22">
        <f>'Model inputs'!Y188+'Model inputs'!Y196+'Model inputs'!Y173</f>
        <v>0</v>
      </c>
      <c r="Z81" s="22">
        <f>'Model inputs'!Z188+'Model inputs'!Z196+'Model inputs'!Z173</f>
        <v>0</v>
      </c>
      <c r="AA81" s="22">
        <f>'Model inputs'!AA188+'Model inputs'!AA196+'Model inputs'!AA173</f>
        <v>0</v>
      </c>
      <c r="AB81" s="22">
        <f>'Model inputs'!AB188+'Model inputs'!AB196+'Model inputs'!AB173</f>
        <v>0</v>
      </c>
      <c r="AC81" s="22">
        <f>'Model inputs'!AC188+'Model inputs'!AC196+'Model inputs'!AC173</f>
        <v>0</v>
      </c>
      <c r="AD81" s="22">
        <f>'Model inputs'!AD188+'Model inputs'!AD196+'Model inputs'!AD173</f>
        <v>0</v>
      </c>
      <c r="AE81" s="22">
        <f>'Model inputs'!AE188+'Model inputs'!AE196+'Model inputs'!AE173</f>
        <v>0</v>
      </c>
      <c r="AF81" s="22">
        <f>'Model inputs'!AF188+'Model inputs'!AF196+'Model inputs'!AF173</f>
        <v>0</v>
      </c>
      <c r="AG81" s="22">
        <f>'Model inputs'!AG188+'Model inputs'!AG196+'Model inputs'!AG173</f>
        <v>0</v>
      </c>
    </row>
    <row r="82" outlineLevel="1">
      <c r="A82" t="inlineStr" s="21">
        <is>
          <t xml:space="preserve">Card charges &gt; Team</t>
        </is>
      </c>
      <c r="C82" s="22">
        <f>'Model inputs'!C189+'Model inputs'!C197+'Model inputs'!C174</f>
        <v>6</v>
      </c>
      <c r="D82" s="22">
        <f>'Model inputs'!D189+'Model inputs'!D197+'Model inputs'!D174</f>
        <v>9.061666666666667</v>
      </c>
      <c r="E82" s="22">
        <f>'Model inputs'!E189+'Model inputs'!E197+'Model inputs'!E174</f>
        <v>12.034875972222222</v>
      </c>
      <c r="F82" s="22">
        <f>'Model inputs'!F189+'Model inputs'!F197+'Model inputs'!F174</f>
        <v>14.971451812037037</v>
      </c>
      <c r="G82" s="22">
        <f>'Model inputs'!G189+'Model inputs'!G197+'Model inputs'!G174</f>
        <v>17.836023094265144</v>
      </c>
      <c r="H82" s="22">
        <f>'Model inputs'!H189+'Model inputs'!H197+'Model inputs'!H174</f>
        <v>20.59075355318007</v>
      </c>
      <c r="I82" s="22">
        <f>'Model inputs'!I189+'Model inputs'!I197+'Model inputs'!I174</f>
        <v>23.194668111771485</v>
      </c>
      <c r="J82" s="22">
        <f>'Model inputs'!J189+'Model inputs'!J197+'Model inputs'!J174</f>
        <v>25.60292238862356</v>
      </c>
      <c r="K82" s="22">
        <f>'Model inputs'!K189+'Model inputs'!K197+'Model inputs'!K174</f>
        <v>29.797545479035175</v>
      </c>
      <c r="L82" s="22">
        <f>'Model inputs'!L189+'Model inputs'!L197+'Model inputs'!L174</f>
        <v>34.02960670510733</v>
      </c>
      <c r="M82" s="22">
        <f>'Model inputs'!M189+'Model inputs'!M197+'Model inputs'!M174</f>
        <v>38.40397631247539</v>
      </c>
      <c r="N82" s="22">
        <f>'Model inputs'!N189+'Model inputs'!N197+'Model inputs'!N174</f>
        <v>42.92214171401777</v>
      </c>
      <c r="O82" s="22">
        <f>'Model inputs'!O189+'Model inputs'!O197+'Model inputs'!O174</f>
        <v>47.58613525639933</v>
      </c>
      <c r="P82" s="22">
        <f>'Model inputs'!P189+'Model inputs'!P197+'Model inputs'!P174</f>
        <v>52.765279791725845</v>
      </c>
      <c r="Q82" s="22">
        <f>'Model inputs'!Q189+'Model inputs'!Q197+'Model inputs'!Q174</f>
        <v>58.022305109709365</v>
      </c>
      <c r="R82" s="22">
        <f>'Model inputs'!R189+'Model inputs'!R197+'Model inputs'!R174</f>
        <v>63.48627781080772</v>
      </c>
      <c r="S82" s="22">
        <f>'Model inputs'!S189+'Model inputs'!S197+'Model inputs'!S174</f>
        <v>69.1666670913932</v>
      </c>
      <c r="T82" s="22">
        <f>'Model inputs'!T189+'Model inputs'!T197+'Model inputs'!T174</f>
        <v>75.07420639850176</v>
      </c>
      <c r="U82" s="22">
        <f>'Model inputs'!U189+'Model inputs'!U197+'Model inputs'!U174</f>
        <v>0</v>
      </c>
      <c r="V82" s="22">
        <f>'Model inputs'!V189+'Model inputs'!V197+'Model inputs'!V174</f>
        <v>0</v>
      </c>
      <c r="W82" s="22">
        <f>'Model inputs'!W189+'Model inputs'!W197+'Model inputs'!W174</f>
        <v>0</v>
      </c>
      <c r="X82" s="22">
        <f>'Model inputs'!X189+'Model inputs'!X197+'Model inputs'!X174</f>
        <v>0</v>
      </c>
      <c r="Y82" s="22">
        <f>'Model inputs'!Y189+'Model inputs'!Y197+'Model inputs'!Y174</f>
        <v>0</v>
      </c>
      <c r="Z82" s="22">
        <f>'Model inputs'!Z189+'Model inputs'!Z197+'Model inputs'!Z174</f>
        <v>0</v>
      </c>
      <c r="AA82" s="22">
        <f>'Model inputs'!AA189+'Model inputs'!AA197+'Model inputs'!AA174</f>
        <v>0</v>
      </c>
      <c r="AB82" s="22">
        <f>'Model inputs'!AB189+'Model inputs'!AB197+'Model inputs'!AB174</f>
        <v>0</v>
      </c>
      <c r="AC82" s="22">
        <f>'Model inputs'!AC189+'Model inputs'!AC197+'Model inputs'!AC174</f>
        <v>0</v>
      </c>
      <c r="AD82" s="22">
        <f>'Model inputs'!AD189+'Model inputs'!AD197+'Model inputs'!AD174</f>
        <v>0</v>
      </c>
      <c r="AE82" s="22">
        <f>'Model inputs'!AE189+'Model inputs'!AE197+'Model inputs'!AE174</f>
        <v>0</v>
      </c>
      <c r="AF82" s="22">
        <f>'Model inputs'!AF189+'Model inputs'!AF197+'Model inputs'!AF174</f>
        <v>0</v>
      </c>
      <c r="AG82" s="22">
        <f>'Model inputs'!AG189+'Model inputs'!AG197+'Model inputs'!AG174</f>
        <v>0</v>
      </c>
    </row>
    <row r="83">
      <c r="A83" t="inlineStr" s="20">
        <is>
          <t xml:space="preserve">Card fee per charge · Payment fees</t>
        </is>
      </c>
      <c r="B83" s="11">
        <f>0.3</f>
        <v>0.3</v>
      </c>
    </row>
    <row r="84">
      <c r="A84" t="inlineStr" s="20">
        <is>
          <t xml:space="preserve">Card fee rate · Payment fees</t>
        </is>
      </c>
      <c r="B84" s="14">
        <f>0.029</f>
        <v>0.029</v>
      </c>
    </row>
    <row r="85">
      <c r="A85" t="inlineStr" s="20">
        <is>
          <t xml:space="preserve">Cash collected</t>
        </is>
      </c>
      <c r="C85" s="15">
        <f>SUM('Model inputs'!C86,'Model inputs'!C87,'Model inputs'!C88)</f>
        <v>2697.6800000000003</v>
      </c>
      <c r="D85" s="15">
        <f>SUM('Model inputs'!D86,'Model inputs'!D87,'Model inputs'!D88)</f>
        <v>5606.778625</v>
      </c>
      <c r="E85" s="15">
        <f>SUM('Model inputs'!E86,'Model inputs'!E87,'Model inputs'!E88)</f>
        <v>7825.437596222222</v>
      </c>
      <c r="F85" s="15">
        <f>SUM('Model inputs'!F86,'Model inputs'!F87,'Model inputs'!F88)</f>
        <v>10146.445979945347</v>
      </c>
      <c r="G85" s="15">
        <f>SUM('Model inputs'!G86,'Model inputs'!G87,'Model inputs'!G88)</f>
        <v>12580.773190708544</v>
      </c>
      <c r="H85" s="15">
        <f>SUM('Model inputs'!H86,'Model inputs'!H87,'Model inputs'!H88)</f>
        <v>15140.751003750247</v>
      </c>
      <c r="I85" s="15">
        <f>SUM('Model inputs'!I86,'Model inputs'!I87,'Model inputs'!I88)</f>
        <v>17840.17124589042</v>
      </c>
      <c r="J85" s="15">
        <f>SUM('Model inputs'!J86,'Model inputs'!J87,'Model inputs'!J88)</f>
        <v>16646.246766121458</v>
      </c>
      <c r="K85" s="15">
        <f>SUM('Model inputs'!K86,'Model inputs'!K87,'Model inputs'!K88)</f>
        <v>18752.950290076937</v>
      </c>
      <c r="L85" s="15">
        <f>SUM('Model inputs'!L86,'Model inputs'!L87,'Model inputs'!L88)</f>
        <v>20735.056775405457</v>
      </c>
      <c r="M85" s="15">
        <f>SUM('Model inputs'!M86,'Model inputs'!M87,'Model inputs'!M88)</f>
        <v>22748.46821725793</v>
      </c>
      <c r="N85" s="15">
        <f>SUM('Model inputs'!N86,'Model inputs'!N87,'Model inputs'!N88)</f>
        <v>24796.445311724372</v>
      </c>
      <c r="O85" s="15">
        <f>SUM('Model inputs'!O86,'Model inputs'!O87,'Model inputs'!O88)</f>
        <v>26882.269077899713</v>
      </c>
      <c r="P85" s="15">
        <f>SUM('Model inputs'!P86,'Model inputs'!P87,'Model inputs'!P88)</f>
        <v>29922.356426534036</v>
      </c>
      <c r="Q85" s="15">
        <f>SUM('Model inputs'!Q86,'Model inputs'!Q87,'Model inputs'!Q88)</f>
        <v>32786.31787579432</v>
      </c>
      <c r="R85" s="15">
        <f>SUM('Model inputs'!R86,'Model inputs'!R87,'Model inputs'!R88)</f>
        <v>35784.22746472322</v>
      </c>
      <c r="S85" s="15">
        <f>SUM('Model inputs'!S86,'Model inputs'!S87,'Model inputs'!S88)</f>
        <v>38929.0091771567</v>
      </c>
      <c r="T85" s="15">
        <f>SUM('Model inputs'!T86,'Model inputs'!T87,'Model inputs'!T88)</f>
        <v>42234.939596773154</v>
      </c>
      <c r="U85" s="15">
        <f>SUM('Model inputs'!U86,'Model inputs'!U87,'Model inputs'!U88)</f>
        <v>0</v>
      </c>
      <c r="V85" s="15">
        <f>SUM('Model inputs'!V86,'Model inputs'!V87,'Model inputs'!V88)</f>
        <v>0</v>
      </c>
      <c r="W85" s="15">
        <f>SUM('Model inputs'!W86,'Model inputs'!W87,'Model inputs'!W88)</f>
        <v>0</v>
      </c>
      <c r="X85" s="15">
        <f>SUM('Model inputs'!X86,'Model inputs'!X87,'Model inputs'!X88)</f>
        <v>0</v>
      </c>
      <c r="Y85" s="15">
        <f>SUM('Model inputs'!Y86,'Model inputs'!Y87,'Model inputs'!Y88)</f>
        <v>0</v>
      </c>
      <c r="Z85" s="15">
        <f>SUM('Model inputs'!Z86,'Model inputs'!Z87,'Model inputs'!Z88)</f>
        <v>0</v>
      </c>
      <c r="AA85" s="15">
        <f>SUM('Model inputs'!AA86,'Model inputs'!AA87,'Model inputs'!AA88)</f>
        <v>0</v>
      </c>
      <c r="AB85" s="15">
        <f>SUM('Model inputs'!AB86,'Model inputs'!AB87,'Model inputs'!AB88)</f>
        <v>0</v>
      </c>
      <c r="AC85" s="15">
        <f>SUM('Model inputs'!AC86,'Model inputs'!AC87,'Model inputs'!AC88)</f>
        <v>0</v>
      </c>
      <c r="AD85" s="15">
        <f>SUM('Model inputs'!AD86,'Model inputs'!AD87,'Model inputs'!AD88)</f>
        <v>0</v>
      </c>
      <c r="AE85" s="15">
        <f>SUM('Model inputs'!AE86,'Model inputs'!AE87,'Model inputs'!AE88)</f>
        <v>0</v>
      </c>
      <c r="AF85" s="15">
        <f>SUM('Model inputs'!AF86,'Model inputs'!AF87,'Model inputs'!AF88)</f>
        <v>0</v>
      </c>
      <c r="AG85" s="15">
        <f>SUM('Model inputs'!AG86,'Model inputs'!AG87,'Model inputs'!AG88)</f>
        <v>0</v>
      </c>
    </row>
    <row r="86" outlineLevel="1">
      <c r="A86" t="inlineStr" s="21">
        <is>
          <t xml:space="preserve">Cash collected &gt; Indie</t>
        </is>
      </c>
      <c r="C86" s="16">
        <f>'Model inputs'!C187*'Model inputs'!B191+('Model inputs'!C195+'Model inputs'!C172)*'Model inputs'!B168+'Model inputs'!C135+'Model inputs'!C113</f>
        <v>1230.4</v>
      </c>
      <c r="D86" s="16">
        <f>'Model inputs'!D187*'Model inputs'!B191+('Model inputs'!D195+'Model inputs'!D172)*'Model inputs'!B168+'Model inputs'!D135+'Model inputs'!D113</f>
        <v>2286.4933333333333</v>
      </c>
      <c r="E86" s="16">
        <f>'Model inputs'!E187*'Model inputs'!B191+('Model inputs'!E195+'Model inputs'!E172)*'Model inputs'!B168+'Model inputs'!E135+'Model inputs'!E113</f>
        <v>2964.5804444444448</v>
      </c>
      <c r="F86" s="16">
        <f>'Model inputs'!F187*'Model inputs'!B191+('Model inputs'!F195+'Model inputs'!F172)*'Model inputs'!B168+'Model inputs'!F135+'Model inputs'!F113</f>
        <v>3663.903348148149</v>
      </c>
      <c r="G86" s="16">
        <f>'Model inputs'!G187*'Model inputs'!B191+('Model inputs'!G195+'Model inputs'!G172)*'Model inputs'!B168+'Model inputs'!G135+'Model inputs'!G113</f>
        <v>4388.3616529382725</v>
      </c>
      <c r="H86" s="16">
        <f>'Model inputs'!H187*'Model inputs'!B191+('Model inputs'!H195+'Model inputs'!H172)*'Model inputs'!B168+'Model inputs'!H135+'Model inputs'!H113</f>
        <v>5142.0202196490545</v>
      </c>
      <c r="I86" s="16">
        <f>'Model inputs'!I187*'Model inputs'!B191+('Model inputs'!I195+'Model inputs'!I172)*'Model inputs'!B168+'Model inputs'!I135+'Model inputs'!I113</f>
        <v>5929.13216273165</v>
      </c>
      <c r="J86" s="16">
        <f>'Model inputs'!J187*'Model inputs'!B191+('Model inputs'!J195+'Model inputs'!J172)*'Model inputs'!B168+'Model inputs'!J135+'Model inputs'!J113</f>
        <v>6754.163039560144</v>
      </c>
      <c r="K86" s="16">
        <f>'Model inputs'!K187*'Model inputs'!B191+('Model inputs'!K195+'Model inputs'!K172)*'Model inputs'!B168+'Model inputs'!K135+'Model inputs'!K113</f>
        <v>7621.816366280919</v>
      </c>
      <c r="L86" s="16">
        <f>'Model inputs'!L187*'Model inputs'!B191+('Model inputs'!L195+'Model inputs'!L172)*'Model inputs'!B168+'Model inputs'!L135+'Model inputs'!L113</f>
        <v>8484.343372394635</v>
      </c>
      <c r="M86" s="16">
        <f>'Model inputs'!M187*'Model inputs'!B191+('Model inputs'!M195+'Model inputs'!M172)*'Model inputs'!B168+'Model inputs'!M135+'Model inputs'!M113</f>
        <v>9344.194501988735</v>
      </c>
      <c r="N86" s="16">
        <f>'Model inputs'!N187*'Model inputs'!B191+('Model inputs'!N195+'Model inputs'!N172)*'Model inputs'!B168+'Model inputs'!N135+'Model inputs'!N113</f>
        <v>10203.74118378671</v>
      </c>
      <c r="O86" s="16">
        <f>'Model inputs'!O187*'Model inputs'!B191+('Model inputs'!O195+'Model inputs'!O172)*'Model inputs'!B168+'Model inputs'!O135+'Model inputs'!O113</f>
        <v>11065.284472742042</v>
      </c>
      <c r="P86" s="16">
        <f>'Model inputs'!P187*'Model inputs'!B191+('Model inputs'!P195+'Model inputs'!P172)*'Model inputs'!B168+'Model inputs'!P135+'Model inputs'!P113</f>
        <v>11931.063250481995</v>
      </c>
      <c r="Q86" s="16">
        <f>'Model inputs'!Q187*'Model inputs'!B191+('Model inputs'!Q195+'Model inputs'!Q172)*'Model inputs'!B168+'Model inputs'!Q135+'Model inputs'!Q113</f>
        <v>12803.262019409533</v>
      </c>
      <c r="R86" s="16">
        <f>'Model inputs'!R187*'Model inputs'!B191+('Model inputs'!R195+'Model inputs'!R172)*'Model inputs'!B168+'Model inputs'!R135+'Model inputs'!R113</f>
        <v>13684.01832316695</v>
      </c>
      <c r="S86" s="16">
        <f>'Model inputs'!S187*'Model inputs'!B191+('Model inputs'!S195+'Model inputs'!S172)*'Model inputs'!B168+'Model inputs'!S135+'Model inputs'!S113</f>
        <v>14575.429824209265</v>
      </c>
      <c r="T86" s="16">
        <f>'Model inputs'!T187*'Model inputs'!B191+('Model inputs'!T195+'Model inputs'!T172)*'Model inputs'!B168+'Model inputs'!T135+'Model inputs'!T113</f>
        <v>15479.561067418897</v>
      </c>
      <c r="U86" s="16">
        <f>'Model inputs'!U187*'Model inputs'!B191+('Model inputs'!U195+'Model inputs'!U172)*'Model inputs'!B168+'Model inputs'!U135+'Model inputs'!U113</f>
        <v>0</v>
      </c>
      <c r="V86" s="16">
        <f>'Model inputs'!V187*'Model inputs'!B191+('Model inputs'!V195+'Model inputs'!V172)*'Model inputs'!B168+'Model inputs'!V135+'Model inputs'!V113</f>
        <v>0</v>
      </c>
      <c r="W86" s="16">
        <f>'Model inputs'!W187*'Model inputs'!B191+('Model inputs'!W195+'Model inputs'!W172)*'Model inputs'!B168+'Model inputs'!W135+'Model inputs'!W113</f>
        <v>0</v>
      </c>
      <c r="X86" s="16">
        <f>'Model inputs'!X187*'Model inputs'!B191+('Model inputs'!X195+'Model inputs'!X172)*'Model inputs'!B168+'Model inputs'!X135+'Model inputs'!X113</f>
        <v>0</v>
      </c>
      <c r="Y86" s="16">
        <f>'Model inputs'!Y187*'Model inputs'!B191+('Model inputs'!Y195+'Model inputs'!Y172)*'Model inputs'!B168+'Model inputs'!Y135+'Model inputs'!Y113</f>
        <v>0</v>
      </c>
      <c r="Z86" s="16">
        <f>'Model inputs'!Z187*'Model inputs'!B191+('Model inputs'!Z195+'Model inputs'!Z172)*'Model inputs'!B168+'Model inputs'!Z135+'Model inputs'!Z113</f>
        <v>0</v>
      </c>
      <c r="AA86" s="16">
        <f>'Model inputs'!AA187*'Model inputs'!B191+('Model inputs'!AA195+'Model inputs'!AA172)*'Model inputs'!B168+'Model inputs'!AA135+'Model inputs'!AA113</f>
        <v>0</v>
      </c>
      <c r="AB86" s="16">
        <f>'Model inputs'!AB187*'Model inputs'!B191+('Model inputs'!AB195+'Model inputs'!AB172)*'Model inputs'!B168+'Model inputs'!AB135+'Model inputs'!AB113</f>
        <v>0</v>
      </c>
      <c r="AC86" s="16">
        <f>'Model inputs'!AC187*'Model inputs'!B191+('Model inputs'!AC195+'Model inputs'!AC172)*'Model inputs'!B168+'Model inputs'!AC135+'Model inputs'!AC113</f>
        <v>0</v>
      </c>
      <c r="AD86" s="16">
        <f>'Model inputs'!AD187*'Model inputs'!B191+('Model inputs'!AD195+'Model inputs'!AD172)*'Model inputs'!B168+'Model inputs'!AD135+'Model inputs'!AD113</f>
        <v>0</v>
      </c>
      <c r="AE86" s="16">
        <f>'Model inputs'!AE187*'Model inputs'!B191+('Model inputs'!AE195+'Model inputs'!AE172)*'Model inputs'!B168+'Model inputs'!AE135+'Model inputs'!AE113</f>
        <v>0</v>
      </c>
      <c r="AF86" s="16">
        <f>'Model inputs'!AF187*'Model inputs'!B191+('Model inputs'!AF195+'Model inputs'!AF172)*'Model inputs'!B168+'Model inputs'!AF135+'Model inputs'!AF113</f>
        <v>0</v>
      </c>
      <c r="AG86" s="16">
        <f>'Model inputs'!AG187*'Model inputs'!B191+('Model inputs'!AG195+'Model inputs'!AG172)*'Model inputs'!B168+'Model inputs'!AG135+'Model inputs'!AG113</f>
        <v>0</v>
      </c>
    </row>
    <row r="87" outlineLevel="1">
      <c r="A87" t="inlineStr" s="21">
        <is>
          <t xml:space="preserve">Cash collected &gt; Launch</t>
        </is>
      </c>
      <c r="C87" s="16">
        <f>'Model inputs'!C188*'Model inputs'!B192+('Model inputs'!C196+'Model inputs'!C173)*'Model inputs'!B169+'Model inputs'!C136+'Model inputs'!C114</f>
        <v>526.36</v>
      </c>
      <c r="D87" s="16">
        <f>'Model inputs'!D188*'Model inputs'!B192+('Model inputs'!D196+'Model inputs'!D173)*'Model inputs'!B169+'Model inputs'!D136+'Model inputs'!D114</f>
        <v>1190.38585</v>
      </c>
      <c r="E87" s="16">
        <f>'Model inputs'!E188*'Model inputs'!B192+('Model inputs'!E196+'Model inputs'!E173)*'Model inputs'!B169+'Model inputs'!E136+'Model inputs'!E114</f>
        <v>1694.0472789861105</v>
      </c>
      <c r="F87" s="16">
        <f>'Model inputs'!F188*'Model inputs'!B192+('Model inputs'!F196+'Model inputs'!F173)*'Model inputs'!B169+'Model inputs'!F136+'Model inputs'!F114</f>
        <v>2181.1402219713705</v>
      </c>
      <c r="G87" s="16">
        <f>'Model inputs'!G188*'Model inputs'!B192+('Model inputs'!G196+'Model inputs'!G173)*'Model inputs'!B169+'Model inputs'!G136+'Model inputs'!G114</f>
        <v>2653.3468948407544</v>
      </c>
      <c r="H87" s="16">
        <f>'Model inputs'!H188*'Model inputs'!B192+('Model inputs'!H196+'Model inputs'!H173)*'Model inputs'!B169+'Model inputs'!H136+'Model inputs'!H114</f>
        <v>3112.3679228149263</v>
      </c>
      <c r="I87" s="16">
        <f>'Model inputs'!I188*'Model inputs'!B192+('Model inputs'!I196+'Model inputs'!I173)*'Model inputs'!B169+'Model inputs'!I136+'Model inputs'!I114</f>
        <v>3559.9378256713617</v>
      </c>
      <c r="J87" s="16">
        <f>'Model inputs'!J188*'Model inputs'!B192+('Model inputs'!J196+'Model inputs'!J173)*'Model inputs'!B169+'Model inputs'!J136+'Model inputs'!J114</f>
        <v>2758.24177524009</v>
      </c>
      <c r="K87" s="16">
        <f>'Model inputs'!K188*'Model inputs'!B192+('Model inputs'!K196+'Model inputs'!K173)*'Model inputs'!B169+'Model inputs'!K136+'Model inputs'!K114</f>
        <v>3002.2318336121766</v>
      </c>
      <c r="L87" s="16">
        <f>'Model inputs'!L188*'Model inputs'!B192+('Model inputs'!L196+'Model inputs'!L173)*'Model inputs'!B169+'Model inputs'!L136+'Model inputs'!L114</f>
        <v>3255.8696811536925</v>
      </c>
      <c r="M87" s="16">
        <f>'Model inputs'!M188*'Model inputs'!B192+('Model inputs'!M196+'Model inputs'!M173)*'Model inputs'!B169+'Model inputs'!M136+'Model inputs'!M114</f>
        <v>3517.153123928048</v>
      </c>
      <c r="N87" s="16">
        <f>'Model inputs'!N188*'Model inputs'!B192+('Model inputs'!N196+'Model inputs'!N173)*'Model inputs'!B169+'Model inputs'!N136+'Model inputs'!N114</f>
        <v>3786.3126476580737</v>
      </c>
      <c r="O87" s="16">
        <f>'Model inputs'!O188*'Model inputs'!B192+('Model inputs'!O196+'Model inputs'!O173)*'Model inputs'!B169+'Model inputs'!O136+'Model inputs'!O114</f>
        <v>4063.584380847636</v>
      </c>
      <c r="P87" s="16">
        <f>'Model inputs'!P188*'Model inputs'!B192+('Model inputs'!P196+'Model inputs'!P173)*'Model inputs'!B169+'Model inputs'!P136+'Model inputs'!P114</f>
        <v>4715.841995568784</v>
      </c>
      <c r="Q87" s="16">
        <f>'Model inputs'!Q188*'Model inputs'!B192+('Model inputs'!Q196+'Model inputs'!Q173)*'Model inputs'!B169+'Model inputs'!Q136+'Model inputs'!Q114</f>
        <v>5265.711491962355</v>
      </c>
      <c r="R87" s="16">
        <f>'Model inputs'!R188*'Model inputs'!B192+('Model inputs'!R196+'Model inputs'!R173)*'Model inputs'!B169+'Model inputs'!R136+'Model inputs'!R114</f>
        <v>5833.149285373777</v>
      </c>
      <c r="S87" s="16">
        <f>'Model inputs'!S188*'Model inputs'!B192+('Model inputs'!S196+'Model inputs'!S173)*'Model inputs'!B169+'Model inputs'!S136+'Model inputs'!S114</f>
        <v>6419.8472544429615</v>
      </c>
      <c r="T87" s="16">
        <f>'Model inputs'!T188*'Model inputs'!B192+('Model inputs'!T196+'Model inputs'!T173)*'Model inputs'!B169+'Model inputs'!T136+'Model inputs'!T114</f>
        <v>7027.630974811705</v>
      </c>
      <c r="U87" s="16">
        <f>'Model inputs'!U188*'Model inputs'!B192+('Model inputs'!U196+'Model inputs'!U173)*'Model inputs'!B169+'Model inputs'!U136+'Model inputs'!U114</f>
        <v>0</v>
      </c>
      <c r="V87" s="16">
        <f>'Model inputs'!V188*'Model inputs'!B192+('Model inputs'!V196+'Model inputs'!V173)*'Model inputs'!B169+'Model inputs'!V136+'Model inputs'!V114</f>
        <v>0</v>
      </c>
      <c r="W87" s="16">
        <f>'Model inputs'!W188*'Model inputs'!B192+('Model inputs'!W196+'Model inputs'!W173)*'Model inputs'!B169+'Model inputs'!W136+'Model inputs'!W114</f>
        <v>0</v>
      </c>
      <c r="X87" s="16">
        <f>'Model inputs'!X188*'Model inputs'!B192+('Model inputs'!X196+'Model inputs'!X173)*'Model inputs'!B169+'Model inputs'!X136+'Model inputs'!X114</f>
        <v>0</v>
      </c>
      <c r="Y87" s="16">
        <f>'Model inputs'!Y188*'Model inputs'!B192+('Model inputs'!Y196+'Model inputs'!Y173)*'Model inputs'!B169+'Model inputs'!Y136+'Model inputs'!Y114</f>
        <v>0</v>
      </c>
      <c r="Z87" s="16">
        <f>'Model inputs'!Z188*'Model inputs'!B192+('Model inputs'!Z196+'Model inputs'!Z173)*'Model inputs'!B169+'Model inputs'!Z136+'Model inputs'!Z114</f>
        <v>0</v>
      </c>
      <c r="AA87" s="16">
        <f>'Model inputs'!AA188*'Model inputs'!B192+('Model inputs'!AA196+'Model inputs'!AA173)*'Model inputs'!B169+'Model inputs'!AA136+'Model inputs'!AA114</f>
        <v>0</v>
      </c>
      <c r="AB87" s="16">
        <f>'Model inputs'!AB188*'Model inputs'!B192+('Model inputs'!AB196+'Model inputs'!AB173)*'Model inputs'!B169+'Model inputs'!AB136+'Model inputs'!AB114</f>
        <v>0</v>
      </c>
      <c r="AC87" s="16">
        <f>'Model inputs'!AC188*'Model inputs'!B192+('Model inputs'!AC196+'Model inputs'!AC173)*'Model inputs'!B169+'Model inputs'!AC136+'Model inputs'!AC114</f>
        <v>0</v>
      </c>
      <c r="AD87" s="16">
        <f>'Model inputs'!AD188*'Model inputs'!B192+('Model inputs'!AD196+'Model inputs'!AD173)*'Model inputs'!B169+'Model inputs'!AD136+'Model inputs'!AD114</f>
        <v>0</v>
      </c>
      <c r="AE87" s="16">
        <f>'Model inputs'!AE188*'Model inputs'!B192+('Model inputs'!AE196+'Model inputs'!AE173)*'Model inputs'!B169+'Model inputs'!AE136+'Model inputs'!AE114</f>
        <v>0</v>
      </c>
      <c r="AF87" s="16">
        <f>'Model inputs'!AF188*'Model inputs'!B192+('Model inputs'!AF196+'Model inputs'!AF173)*'Model inputs'!B169+'Model inputs'!AF136+'Model inputs'!AF114</f>
        <v>0</v>
      </c>
      <c r="AG87" s="16">
        <f>'Model inputs'!AG188*'Model inputs'!B192+('Model inputs'!AG196+'Model inputs'!AG173)*'Model inputs'!B169+'Model inputs'!AG136+'Model inputs'!AG114</f>
        <v>0</v>
      </c>
    </row>
    <row r="88" outlineLevel="1">
      <c r="A88" t="inlineStr" s="21">
        <is>
          <t xml:space="preserve">Cash collected &gt; Team</t>
        </is>
      </c>
      <c r="C88" s="16">
        <f>'Model inputs'!C189*'Model inputs'!B193+('Model inputs'!C197+'Model inputs'!C174)*'Model inputs'!B170+'Model inputs'!C137+'Model inputs'!C115</f>
        <v>940.92</v>
      </c>
      <c r="D88" s="16">
        <f>'Model inputs'!D189*'Model inputs'!B193+('Model inputs'!D197+'Model inputs'!D174)*'Model inputs'!B170+'Model inputs'!D137+'Model inputs'!D115</f>
        <v>2129.8994416666665</v>
      </c>
      <c r="E88" s="16">
        <f>'Model inputs'!E189*'Model inputs'!B193+('Model inputs'!E197+'Model inputs'!E174)*'Model inputs'!B170+'Model inputs'!E137+'Model inputs'!E115</f>
        <v>3166.8098727916667</v>
      </c>
      <c r="F88" s="16">
        <f>'Model inputs'!F189*'Model inputs'!B193+('Model inputs'!F197+'Model inputs'!F174)*'Model inputs'!B170+'Model inputs'!F137+'Model inputs'!F115</f>
        <v>4301.402409825828</v>
      </c>
      <c r="G88" s="16">
        <f>'Model inputs'!G189*'Model inputs'!B193+('Model inputs'!G197+'Model inputs'!G174)*'Model inputs'!B170+'Model inputs'!G137+'Model inputs'!G115</f>
        <v>5539.064642929517</v>
      </c>
      <c r="H88" s="16">
        <f>'Model inputs'!H189*'Model inputs'!B193+('Model inputs'!H197+'Model inputs'!H174)*'Model inputs'!B170+'Model inputs'!H137+'Model inputs'!H115</f>
        <v>6886.362861286267</v>
      </c>
      <c r="I88" s="16">
        <f>'Model inputs'!I189*'Model inputs'!B193+('Model inputs'!I197+'Model inputs'!I174)*'Model inputs'!B170+'Model inputs'!I137+'Model inputs'!I115</f>
        <v>8351.101257487406</v>
      </c>
      <c r="J88" s="16">
        <f>'Model inputs'!J189*'Model inputs'!B193+('Model inputs'!J197+'Model inputs'!J174)*'Model inputs'!B170+'Model inputs'!J137+'Model inputs'!J115</f>
        <v>7133.841951321224</v>
      </c>
      <c r="K88" s="16">
        <f>'Model inputs'!K189*'Model inputs'!B193+('Model inputs'!K197+'Model inputs'!K174)*'Model inputs'!B170+'Model inputs'!K137+'Model inputs'!K115</f>
        <v>8128.902090183842</v>
      </c>
      <c r="L88" s="16">
        <f>'Model inputs'!L189*'Model inputs'!B193+('Model inputs'!L197+'Model inputs'!L174)*'Model inputs'!B170+'Model inputs'!L137+'Model inputs'!L115</f>
        <v>8994.843721857133</v>
      </c>
      <c r="M88" s="16">
        <f>'Model inputs'!M189*'Model inputs'!B193+('Model inputs'!M197+'Model inputs'!M174)*'Model inputs'!B170+'Model inputs'!M137+'Model inputs'!M115</f>
        <v>9887.120591341147</v>
      </c>
      <c r="N88" s="16">
        <f>'Model inputs'!N189*'Model inputs'!B193+('Model inputs'!N197+'Model inputs'!N174)*'Model inputs'!B170+'Model inputs'!N137+'Model inputs'!N115</f>
        <v>10806.391480279588</v>
      </c>
      <c r="O88" s="16">
        <f>'Model inputs'!O189*'Model inputs'!B193+('Model inputs'!O197+'Model inputs'!O174)*'Model inputs'!B170+'Model inputs'!O137+'Model inputs'!O115</f>
        <v>11753.400224310035</v>
      </c>
      <c r="P88" s="16">
        <f>'Model inputs'!P189*'Model inputs'!B193+('Model inputs'!P197+'Model inputs'!P174)*'Model inputs'!B170+'Model inputs'!P137+'Model inputs'!P115</f>
        <v>13275.451180483256</v>
      </c>
      <c r="Q88" s="16">
        <f>'Model inputs'!Q189*'Model inputs'!B193+('Model inputs'!Q197+'Model inputs'!Q174)*'Model inputs'!B170+'Model inputs'!Q137+'Model inputs'!Q115</f>
        <v>14717.344364422432</v>
      </c>
      <c r="R88" s="16">
        <f>'Model inputs'!R189*'Model inputs'!B193+('Model inputs'!R197+'Model inputs'!R174)*'Model inputs'!B170+'Model inputs'!R137+'Model inputs'!R115</f>
        <v>16267.05985618249</v>
      </c>
      <c r="S88" s="16">
        <f>'Model inputs'!S189*'Model inputs'!B193+('Model inputs'!S197+'Model inputs'!S174)*'Model inputs'!B170+'Model inputs'!S137+'Model inputs'!S115</f>
        <v>17933.732098504475</v>
      </c>
      <c r="T88" s="16">
        <f>'Model inputs'!T189*'Model inputs'!B193+('Model inputs'!T197+'Model inputs'!T174)*'Model inputs'!B170+'Model inputs'!T137+'Model inputs'!T115</f>
        <v>19727.74755454255</v>
      </c>
      <c r="U88" s="16">
        <f>'Model inputs'!U189*'Model inputs'!B193+('Model inputs'!U197+'Model inputs'!U174)*'Model inputs'!B170+'Model inputs'!U137+'Model inputs'!U115</f>
        <v>0</v>
      </c>
      <c r="V88" s="16">
        <f>'Model inputs'!V189*'Model inputs'!B193+('Model inputs'!V197+'Model inputs'!V174)*'Model inputs'!B170+'Model inputs'!V137+'Model inputs'!V115</f>
        <v>0</v>
      </c>
      <c r="W88" s="16">
        <f>'Model inputs'!W189*'Model inputs'!B193+('Model inputs'!W197+'Model inputs'!W174)*'Model inputs'!B170+'Model inputs'!W137+'Model inputs'!W115</f>
        <v>0</v>
      </c>
      <c r="X88" s="16">
        <f>'Model inputs'!X189*'Model inputs'!B193+('Model inputs'!X197+'Model inputs'!X174)*'Model inputs'!B170+'Model inputs'!X137+'Model inputs'!X115</f>
        <v>0</v>
      </c>
      <c r="Y88" s="16">
        <f>'Model inputs'!Y189*'Model inputs'!B193+('Model inputs'!Y197+'Model inputs'!Y174)*'Model inputs'!B170+'Model inputs'!Y137+'Model inputs'!Y115</f>
        <v>0</v>
      </c>
      <c r="Z88" s="16">
        <f>'Model inputs'!Z189*'Model inputs'!B193+('Model inputs'!Z197+'Model inputs'!Z174)*'Model inputs'!B170+'Model inputs'!Z137+'Model inputs'!Z115</f>
        <v>0</v>
      </c>
      <c r="AA88" s="16">
        <f>'Model inputs'!AA189*'Model inputs'!B193+('Model inputs'!AA197+'Model inputs'!AA174)*'Model inputs'!B170+'Model inputs'!AA137+'Model inputs'!AA115</f>
        <v>0</v>
      </c>
      <c r="AB88" s="16">
        <f>'Model inputs'!AB189*'Model inputs'!B193+('Model inputs'!AB197+'Model inputs'!AB174)*'Model inputs'!B170+'Model inputs'!AB137+'Model inputs'!AB115</f>
        <v>0</v>
      </c>
      <c r="AC88" s="16">
        <f>'Model inputs'!AC189*'Model inputs'!B193+('Model inputs'!AC197+'Model inputs'!AC174)*'Model inputs'!B170+'Model inputs'!AC137+'Model inputs'!AC115</f>
        <v>0</v>
      </c>
      <c r="AD88" s="16">
        <f>'Model inputs'!AD189*'Model inputs'!B193+('Model inputs'!AD197+'Model inputs'!AD174)*'Model inputs'!B170+'Model inputs'!AD137+'Model inputs'!AD115</f>
        <v>0</v>
      </c>
      <c r="AE88" s="16">
        <f>'Model inputs'!AE189*'Model inputs'!B193+('Model inputs'!AE197+'Model inputs'!AE174)*'Model inputs'!B170+'Model inputs'!AE137+'Model inputs'!AE115</f>
        <v>0</v>
      </c>
      <c r="AF88" s="16">
        <f>'Model inputs'!AF189*'Model inputs'!B193+('Model inputs'!AF197+'Model inputs'!AF174)*'Model inputs'!B170+'Model inputs'!AF137+'Model inputs'!AF115</f>
        <v>0</v>
      </c>
      <c r="AG88" s="16">
        <f>'Model inputs'!AG189*'Model inputs'!B193+('Model inputs'!AG197+'Model inputs'!AG174)*'Model inputs'!B170+'Model inputs'!AG137+'Model inputs'!AG115</f>
        <v>0</v>
      </c>
    </row>
    <row r="89">
      <c r="A89" t="inlineStr" s="20">
        <is>
          <t xml:space="preserve">Ending customers</t>
        </is>
      </c>
      <c r="C89" s="7">
        <f>IF('Model inputs'!C71="","",'Model inputs'!C71)</f>
        <v>47</v>
      </c>
      <c r="D89" s="7">
        <f>IF('Model inputs'!D71="","",'Model inputs'!D71)</f>
        <v>84.905</v>
      </c>
      <c r="E89" s="7">
        <f>IF('Model inputs'!E71="","",'Model inputs'!E71)</f>
        <v>110.9505</v>
      </c>
      <c r="F89" s="7">
        <f>IF('Model inputs'!F71="","",'Model inputs'!F71)</f>
        <v>138.05102827083334</v>
      </c>
      <c r="G89" s="7">
        <f>IF('Model inputs'!G71="","",'Model inputs'!G71)</f>
        <v>166.3601248259896</v>
      </c>
      <c r="H89" s="7">
        <f>IF('Model inputs'!H71="","",'Model inputs'!H71)</f>
        <v>196.04006505593594</v>
      </c>
      <c r="I89" s="7">
        <f>IF('Model inputs'!I71="","",'Model inputs'!I71)</f>
        <v>227.2628736908502</v>
      </c>
      <c r="J89" s="7">
        <f>IF('Model inputs'!J71="","",'Model inputs'!J71)</f>
        <v>260.21140757088153</v>
      </c>
      <c r="K89" s="7">
        <f>IF('Model inputs'!K71="","",'Model inputs'!K71)</f>
        <v>295.08051439200136</v>
      </c>
      <c r="L89" s="7">
        <f>IF('Model inputs'!L71="","",'Model inputs'!L71)</f>
        <v>330.0136817964602</v>
      </c>
      <c r="M89" s="7">
        <f>IF('Model inputs'!M71="","",'Model inputs'!M71)</f>
        <v>365.0921444578123</v>
      </c>
      <c r="N89" s="7">
        <f>IF('Model inputs'!N71="","",'Model inputs'!N71)</f>
        <v>400.3954360097452</v>
      </c>
      <c r="O89" s="7">
        <f>IF('Model inputs'!O71="","",'Model inputs'!O71)</f>
        <v>436.0016417049511</v>
      </c>
      <c r="P89" s="7">
        <f>IF('Model inputs'!P71="","",'Model inputs'!P71)</f>
        <v>471.98764010807395</v>
      </c>
      <c r="Q89" s="7">
        <f>IF('Model inputs'!Q71="","",'Model inputs'!Q71)</f>
        <v>508.42933477856207</v>
      </c>
      <c r="R89" s="7">
        <f>IF('Model inputs'!R71="","",'Model inputs'!R71)</f>
        <v>545.4018768448782</v>
      </c>
      <c r="S89" s="7">
        <f>IF('Model inputs'!S71="","",'Model inputs'!S71)</f>
        <v>582.979879321125</v>
      </c>
      <c r="T89" s="7">
        <f>IF('Model inputs'!T71="","",'Model inputs'!T71)</f>
        <v>621.2376239704861</v>
      </c>
      <c r="U89" s="7">
        <f>SUM('Model inputs'!U90,'Model inputs'!U91,'Model inputs'!U92)</f>
        <v>0</v>
      </c>
      <c r="V89" s="7">
        <f>SUM('Model inputs'!V90,'Model inputs'!V91,'Model inputs'!V92)</f>
        <v>0</v>
      </c>
      <c r="W89" s="7">
        <f>SUM('Model inputs'!W90,'Model inputs'!W91,'Model inputs'!W92)</f>
        <v>0</v>
      </c>
      <c r="X89" s="7">
        <f>SUM('Model inputs'!X90,'Model inputs'!X91,'Model inputs'!X92)</f>
        <v>0</v>
      </c>
      <c r="Y89" s="7">
        <f>SUM('Model inputs'!Y90,'Model inputs'!Y91,'Model inputs'!Y92)</f>
        <v>0</v>
      </c>
      <c r="Z89" s="7">
        <f>SUM('Model inputs'!Z90,'Model inputs'!Z91,'Model inputs'!Z92)</f>
        <v>0</v>
      </c>
      <c r="AA89" s="7">
        <f>SUM('Model inputs'!AA90,'Model inputs'!AA91,'Model inputs'!AA92)</f>
        <v>0</v>
      </c>
      <c r="AB89" s="7">
        <f>SUM('Model inputs'!AB90,'Model inputs'!AB91,'Model inputs'!AB92)</f>
        <v>0</v>
      </c>
      <c r="AC89" s="7">
        <f>SUM('Model inputs'!AC90,'Model inputs'!AC91,'Model inputs'!AC92)</f>
        <v>0</v>
      </c>
      <c r="AD89" s="7">
        <f>SUM('Model inputs'!AD90,'Model inputs'!AD91,'Model inputs'!AD92)</f>
        <v>0</v>
      </c>
      <c r="AE89" s="7">
        <f>SUM('Model inputs'!AE90,'Model inputs'!AE91,'Model inputs'!AE92)</f>
        <v>0</v>
      </c>
      <c r="AF89" s="7">
        <f>SUM('Model inputs'!AF90,'Model inputs'!AF91,'Model inputs'!AF92)</f>
        <v>0</v>
      </c>
      <c r="AG89" s="7">
        <f>SUM('Model inputs'!AG90,'Model inputs'!AG91,'Model inputs'!AG92)</f>
        <v>0</v>
      </c>
    </row>
    <row r="90" outlineLevel="1">
      <c r="A90" t="inlineStr" s="21">
        <is>
          <t xml:space="preserve">Ending customers &gt; Indie</t>
        </is>
      </c>
      <c r="C90" s="9">
        <f>IF('Model inputs'!C72="","",'Model inputs'!C72)</f>
        <v>40</v>
      </c>
      <c r="D90" s="9">
        <f>IF('Model inputs'!D72="","",'Model inputs'!D72)</f>
        <v>74.33333333333333</v>
      </c>
      <c r="E90" s="9">
        <f>IF('Model inputs'!E72="","",'Model inputs'!E72)</f>
        <v>96.37777777777778</v>
      </c>
      <c r="F90" s="9">
        <f>IF('Model inputs'!F72="","",'Model inputs'!F72)</f>
        <v>119.1125925925926</v>
      </c>
      <c r="G90" s="9">
        <f>IF('Model inputs'!G72="","",'Model inputs'!G72)</f>
        <v>142.66455308641977</v>
      </c>
      <c r="H90" s="9">
        <f>IF('Model inputs'!H72="","",'Model inputs'!H72)</f>
        <v>167.16580688065847</v>
      </c>
      <c r="I90" s="9">
        <f>IF('Model inputs'!I72="","",'Model inputs'!I72)</f>
        <v>192.75462167528124</v>
      </c>
      <c r="J90" s="9">
        <f>IF('Model inputs'!J72="","",'Model inputs'!J72)</f>
        <v>219.57617163719584</v>
      </c>
      <c r="K90" s="9">
        <f>IF('Model inputs'!K72="","",'Model inputs'!K72)</f>
        <v>247.78336691420412</v>
      </c>
      <c r="L90" s="9">
        <f>IF('Model inputs'!L72="","",'Model inputs'!L72)</f>
        <v>275.8239067748581</v>
      </c>
      <c r="M90" s="9">
        <f>IF('Model inputs'!M72="","",'Model inputs'!M72)</f>
        <v>303.77745455099915</v>
      </c>
      <c r="N90" s="9">
        <f>IF('Model inputs'!N72="","",'Model inputs'!N72)</f>
        <v>331.7211048045094</v>
      </c>
      <c r="O90" s="9">
        <f>IF('Model inputs'!O72="","",'Model inputs'!O72)</f>
        <v>359.72966426339536</v>
      </c>
      <c r="P90" s="9">
        <f>IF('Model inputs'!P72="","",'Model inputs'!P72)</f>
        <v>387.87591841618973</v>
      </c>
      <c r="Q90" s="9">
        <f>IF('Model inputs'!Q72="","",'Model inputs'!Q72)</f>
        <v>416.23088489627867</v>
      </c>
      <c r="R90" s="9">
        <f>IF('Model inputs'!R72="","",'Model inputs'!R72)</f>
        <v>444.8640547193417</v>
      </c>
      <c r="S90" s="9">
        <f>IF('Model inputs'!S72="","",'Model inputs'!S72)</f>
        <v>473.8436223735132</v>
      </c>
      <c r="T90" s="9">
        <f>IF('Model inputs'!T72="","",'Model inputs'!T72)</f>
        <v>503.23670570282496</v>
      </c>
      <c r="U90" s="9">
        <f>IF('Model inputs'!U123="",0,'Model inputs'!U123)+'Model inputs'!U127+'Model inputs'!U160+'Model inputs'!U148-'Model inputs'!U176-'Model inputs'!U152</f>
        <v>0</v>
      </c>
      <c r="V90" s="9">
        <f>'Model inputs'!V123+'Model inputs'!V127+'Model inputs'!V160+'Model inputs'!V148-'Model inputs'!V176-'Model inputs'!V152</f>
        <v>0</v>
      </c>
      <c r="W90" s="9">
        <f>'Model inputs'!W123+'Model inputs'!W127+'Model inputs'!W160+'Model inputs'!W148-'Model inputs'!W176-'Model inputs'!W152</f>
        <v>0</v>
      </c>
      <c r="X90" s="9">
        <f>'Model inputs'!X123+'Model inputs'!X127+'Model inputs'!X160+'Model inputs'!X148-'Model inputs'!X176-'Model inputs'!X152</f>
        <v>0</v>
      </c>
      <c r="Y90" s="9">
        <f>'Model inputs'!Y123+'Model inputs'!Y127+'Model inputs'!Y160+'Model inputs'!Y148-'Model inputs'!Y176-'Model inputs'!Y152</f>
        <v>0</v>
      </c>
      <c r="Z90" s="9">
        <f>'Model inputs'!Z123+'Model inputs'!Z127+'Model inputs'!Z160+'Model inputs'!Z148-'Model inputs'!Z176-'Model inputs'!Z152</f>
        <v>0</v>
      </c>
      <c r="AA90" s="9">
        <f>'Model inputs'!AA123+'Model inputs'!AA127+'Model inputs'!AA160+'Model inputs'!AA148-'Model inputs'!AA176-'Model inputs'!AA152</f>
        <v>0</v>
      </c>
      <c r="AB90" s="9">
        <f>'Model inputs'!AB123+'Model inputs'!AB127+'Model inputs'!AB160+'Model inputs'!AB148-'Model inputs'!AB176-'Model inputs'!AB152</f>
        <v>0</v>
      </c>
      <c r="AC90" s="9">
        <f>'Model inputs'!AC123+'Model inputs'!AC127+'Model inputs'!AC160+'Model inputs'!AC148-'Model inputs'!AC176-'Model inputs'!AC152</f>
        <v>0</v>
      </c>
      <c r="AD90" s="9">
        <f>'Model inputs'!AD123+'Model inputs'!AD127+'Model inputs'!AD160+'Model inputs'!AD148-'Model inputs'!AD176-'Model inputs'!AD152</f>
        <v>0</v>
      </c>
      <c r="AE90" s="9">
        <f>'Model inputs'!AE123+'Model inputs'!AE127+'Model inputs'!AE160+'Model inputs'!AE148-'Model inputs'!AE176-'Model inputs'!AE152</f>
        <v>0</v>
      </c>
      <c r="AF90" s="9">
        <f>'Model inputs'!AF123+'Model inputs'!AF127+'Model inputs'!AF160+'Model inputs'!AF148-'Model inputs'!AF176-'Model inputs'!AF152</f>
        <v>0</v>
      </c>
      <c r="AG90" s="9">
        <f>'Model inputs'!AG123+'Model inputs'!AG127+'Model inputs'!AG160+'Model inputs'!AG148-'Model inputs'!AG176-'Model inputs'!AG152</f>
        <v>0</v>
      </c>
    </row>
    <row r="91" outlineLevel="1">
      <c r="A91" t="inlineStr" s="21">
        <is>
          <t xml:space="preserve">Ending customers &gt; Launch</t>
        </is>
      </c>
      <c r="C91" s="9">
        <f>IF('Model inputs'!C73="","",'Model inputs'!C73)</f>
        <v>1</v>
      </c>
      <c r="D91" s="9">
        <f>IF('Model inputs'!D73="","",'Model inputs'!D73)</f>
        <v>1.51</v>
      </c>
      <c r="E91" s="9">
        <f>IF('Model inputs'!E73="","",'Model inputs'!E73)</f>
        <v>2.025106944444444</v>
      </c>
      <c r="F91" s="9">
        <f>IF('Model inputs'!F73="","",'Model inputs'!F73)</f>
        <v>2.547012070601851</v>
      </c>
      <c r="G91" s="9">
        <f>IF('Model inputs'!G73="","",'Model inputs'!G73)</f>
        <v>3.0771044879079854</v>
      </c>
      <c r="H91" s="9">
        <f>IF('Model inputs'!H73="","",'Model inputs'!H73)</f>
        <v>3.6168582008046233</v>
      </c>
      <c r="I91" s="9">
        <f>IF('Model inputs'!I73="","",'Model inputs'!I73)</f>
        <v>4.167844494352857</v>
      </c>
      <c r="J91" s="9">
        <f>IF('Model inputs'!J73="","",'Model inputs'!J73)</f>
        <v>4.731745191609298</v>
      </c>
      <c r="K91" s="9">
        <f>IF('Model inputs'!K73="","",'Model inputs'!K73)</f>
        <v>5.310366891827144</v>
      </c>
      <c r="L91" s="9">
        <f>IF('Model inputs'!L73="","",'Model inputs'!L73)</f>
        <v>5.905656307557946</v>
      </c>
      <c r="M91" s="9">
        <f>IF('Model inputs'!M73="","",'Model inputs'!M73)</f>
        <v>6.51825529091976</v>
      </c>
      <c r="N91" s="9">
        <f>IF('Model inputs'!N73="","",'Model inputs'!N73)</f>
        <v>7.148799939122187</v>
      </c>
      <c r="O91" s="9">
        <f>IF('Model inputs'!O73="","",'Model inputs'!O73)</f>
        <v>7.797924320310828</v>
      </c>
      <c r="P91" s="9">
        <f>IF('Model inputs'!P73="","",'Model inputs'!P73)</f>
        <v>8.466264010178019</v>
      </c>
      <c r="Q91" s="9">
        <f>IF('Model inputs'!Q73="","",'Model inputs'!Q73)</f>
        <v>9.154459457032457</v>
      </c>
      <c r="R91" s="9">
        <f>IF('Model inputs'!R73="","",'Model inputs'!R73)</f>
        <v>9.86315919194885</v>
      </c>
      <c r="S91" s="9">
        <f>IF('Model inputs'!S73="","",'Model inputs'!S73)</f>
        <v>10.59302289962623</v>
      </c>
      <c r="T91" s="9">
        <f>IF('Model inputs'!T73="","",'Model inputs'!T73)</f>
        <v>11.344724364665112</v>
      </c>
      <c r="U91" s="9">
        <f>IF('Model inputs'!U124="",0,'Model inputs'!U124)+'Model inputs'!U128+'Model inputs'!U161+'Model inputs'!U149-'Model inputs'!U177-'Model inputs'!U153</f>
        <v>0</v>
      </c>
      <c r="V91" s="9">
        <f>'Model inputs'!V124+'Model inputs'!V128+'Model inputs'!V161+'Model inputs'!V149-'Model inputs'!V177-'Model inputs'!V153</f>
        <v>0</v>
      </c>
      <c r="W91" s="9">
        <f>'Model inputs'!W124+'Model inputs'!W128+'Model inputs'!W161+'Model inputs'!W149-'Model inputs'!W177-'Model inputs'!W153</f>
        <v>0</v>
      </c>
      <c r="X91" s="9">
        <f>'Model inputs'!X124+'Model inputs'!X128+'Model inputs'!X161+'Model inputs'!X149-'Model inputs'!X177-'Model inputs'!X153</f>
        <v>0</v>
      </c>
      <c r="Y91" s="9">
        <f>'Model inputs'!Y124+'Model inputs'!Y128+'Model inputs'!Y161+'Model inputs'!Y149-'Model inputs'!Y177-'Model inputs'!Y153</f>
        <v>0</v>
      </c>
      <c r="Z91" s="9">
        <f>'Model inputs'!Z124+'Model inputs'!Z128+'Model inputs'!Z161+'Model inputs'!Z149-'Model inputs'!Z177-'Model inputs'!Z153</f>
        <v>0</v>
      </c>
      <c r="AA91" s="9">
        <f>'Model inputs'!AA124+'Model inputs'!AA128+'Model inputs'!AA161+'Model inputs'!AA149-'Model inputs'!AA177-'Model inputs'!AA153</f>
        <v>0</v>
      </c>
      <c r="AB91" s="9">
        <f>'Model inputs'!AB124+'Model inputs'!AB128+'Model inputs'!AB161+'Model inputs'!AB149-'Model inputs'!AB177-'Model inputs'!AB153</f>
        <v>0</v>
      </c>
      <c r="AC91" s="9">
        <f>'Model inputs'!AC124+'Model inputs'!AC128+'Model inputs'!AC161+'Model inputs'!AC149-'Model inputs'!AC177-'Model inputs'!AC153</f>
        <v>0</v>
      </c>
      <c r="AD91" s="9">
        <f>'Model inputs'!AD124+'Model inputs'!AD128+'Model inputs'!AD161+'Model inputs'!AD149-'Model inputs'!AD177-'Model inputs'!AD153</f>
        <v>0</v>
      </c>
      <c r="AE91" s="9">
        <f>'Model inputs'!AE124+'Model inputs'!AE128+'Model inputs'!AE161+'Model inputs'!AE149-'Model inputs'!AE177-'Model inputs'!AE153</f>
        <v>0</v>
      </c>
      <c r="AF91" s="9">
        <f>'Model inputs'!AF124+'Model inputs'!AF128+'Model inputs'!AF161+'Model inputs'!AF149-'Model inputs'!AF177-'Model inputs'!AF153</f>
        <v>0</v>
      </c>
      <c r="AG91" s="9">
        <f>'Model inputs'!AG124+'Model inputs'!AG128+'Model inputs'!AG161+'Model inputs'!AG149-'Model inputs'!AG177-'Model inputs'!AG153</f>
        <v>0</v>
      </c>
    </row>
    <row r="92" outlineLevel="1">
      <c r="A92" t="inlineStr" s="21">
        <is>
          <t xml:space="preserve">Ending customers &gt; Team</t>
        </is>
      </c>
      <c r="C92" s="9">
        <f>IF('Model inputs'!C74="","",'Model inputs'!C74)</f>
        <v>6</v>
      </c>
      <c r="D92" s="9">
        <f>IF('Model inputs'!D74="","",'Model inputs'!D74)</f>
        <v>9.061666666666667</v>
      </c>
      <c r="E92" s="9">
        <f>IF('Model inputs'!E74="","",'Model inputs'!E74)</f>
        <v>12.547615277777778</v>
      </c>
      <c r="F92" s="9">
        <f>IF('Model inputs'!F74="","",'Model inputs'!F74)</f>
        <v>16.391423607638888</v>
      </c>
      <c r="G92" s="9">
        <f>IF('Model inputs'!G74="","",'Model inputs'!G74)</f>
        <v>20.618467251661844</v>
      </c>
      <c r="H92" s="9">
        <f>IF('Model inputs'!H74="","",'Model inputs'!H74)</f>
        <v>25.257399974472865</v>
      </c>
      <c r="I92" s="9">
        <f>IF('Model inputs'!I74="","",'Model inputs'!I74)</f>
        <v>30.3404075212161</v>
      </c>
      <c r="J92" s="9">
        <f>IF('Model inputs'!J74="","",'Model inputs'!J74)</f>
        <v>35.90349074207642</v>
      </c>
      <c r="K92" s="9">
        <f>IF('Model inputs'!K74="","",'Model inputs'!K74)</f>
        <v>41.986780585970116</v>
      </c>
      <c r="L92" s="9">
        <f>IF('Model inputs'!L74="","",'Model inputs'!L74)</f>
        <v>48.284118714044176</v>
      </c>
      <c r="M92" s="9">
        <f>IF('Model inputs'!M74="","",'Model inputs'!M74)</f>
        <v>54.79643461589339</v>
      </c>
      <c r="N92" s="9">
        <f>IF('Model inputs'!N74="","",'Model inputs'!N74)</f>
        <v>61.52553126611357</v>
      </c>
      <c r="O92" s="9">
        <f>IF('Model inputs'!O74="","",'Model inputs'!O74)</f>
        <v>68.47405312124489</v>
      </c>
      <c r="P92" s="9">
        <f>IF('Model inputs'!P74="","",'Model inputs'!P74)</f>
        <v>75.64545768170619</v>
      </c>
      <c r="Q92" s="9">
        <f>IF('Model inputs'!Q74="","",'Model inputs'!Q74)</f>
        <v>83.04399042525094</v>
      </c>
      <c r="R92" s="9">
        <f>IF('Model inputs'!R74="","",'Model inputs'!R74)</f>
        <v>90.67466293358764</v>
      </c>
      <c r="S92" s="9">
        <f>IF('Model inputs'!S74="","",'Model inputs'!S74)</f>
        <v>98.54323404798558</v>
      </c>
      <c r="T92" s="9">
        <f>IF('Model inputs'!T74="","",'Model inputs'!T74)</f>
        <v>106.65619390299605</v>
      </c>
      <c r="U92" s="9">
        <f>IF('Model inputs'!U125="",0,'Model inputs'!U125)+'Model inputs'!U129+'Model inputs'!U162+'Model inputs'!U150-'Model inputs'!U178-'Model inputs'!U154</f>
        <v>0</v>
      </c>
      <c r="V92" s="9">
        <f>'Model inputs'!V125+'Model inputs'!V129+'Model inputs'!V162+'Model inputs'!V150-'Model inputs'!V178-'Model inputs'!V154</f>
        <v>0</v>
      </c>
      <c r="W92" s="9">
        <f>'Model inputs'!W125+'Model inputs'!W129+'Model inputs'!W162+'Model inputs'!W150-'Model inputs'!W178-'Model inputs'!W154</f>
        <v>0</v>
      </c>
      <c r="X92" s="9">
        <f>'Model inputs'!X125+'Model inputs'!X129+'Model inputs'!X162+'Model inputs'!X150-'Model inputs'!X178-'Model inputs'!X154</f>
        <v>0</v>
      </c>
      <c r="Y92" s="9">
        <f>'Model inputs'!Y125+'Model inputs'!Y129+'Model inputs'!Y162+'Model inputs'!Y150-'Model inputs'!Y178-'Model inputs'!Y154</f>
        <v>0</v>
      </c>
      <c r="Z92" s="9">
        <f>'Model inputs'!Z125+'Model inputs'!Z129+'Model inputs'!Z162+'Model inputs'!Z150-'Model inputs'!Z178-'Model inputs'!Z154</f>
        <v>0</v>
      </c>
      <c r="AA92" s="9">
        <f>'Model inputs'!AA125+'Model inputs'!AA129+'Model inputs'!AA162+'Model inputs'!AA150-'Model inputs'!AA178-'Model inputs'!AA154</f>
        <v>0</v>
      </c>
      <c r="AB92" s="9">
        <f>'Model inputs'!AB125+'Model inputs'!AB129+'Model inputs'!AB162+'Model inputs'!AB150-'Model inputs'!AB178-'Model inputs'!AB154</f>
        <v>0</v>
      </c>
      <c r="AC92" s="9">
        <f>'Model inputs'!AC125+'Model inputs'!AC129+'Model inputs'!AC162+'Model inputs'!AC150-'Model inputs'!AC178-'Model inputs'!AC154</f>
        <v>0</v>
      </c>
      <c r="AD92" s="9">
        <f>'Model inputs'!AD125+'Model inputs'!AD129+'Model inputs'!AD162+'Model inputs'!AD150-'Model inputs'!AD178-'Model inputs'!AD154</f>
        <v>0</v>
      </c>
      <c r="AE92" s="9">
        <f>'Model inputs'!AE125+'Model inputs'!AE129+'Model inputs'!AE162+'Model inputs'!AE150-'Model inputs'!AE178-'Model inputs'!AE154</f>
        <v>0</v>
      </c>
      <c r="AF92" s="9">
        <f>'Model inputs'!AF125+'Model inputs'!AF129+'Model inputs'!AF162+'Model inputs'!AF150-'Model inputs'!AF178-'Model inputs'!AF154</f>
        <v>0</v>
      </c>
      <c r="AG92" s="9">
        <f>'Model inputs'!AG125+'Model inputs'!AG129+'Model inputs'!AG162+'Model inputs'!AG150-'Model inputs'!AG178-'Model inputs'!AG154</f>
        <v>0</v>
      </c>
    </row>
    <row r="93">
      <c r="A93" t="inlineStr" s="20">
        <is>
          <t xml:space="preserve">GitHub API per kit · Loaded COGS per kit</t>
        </is>
      </c>
      <c r="B93" s="11">
        <f>0</f>
        <v>0</v>
      </c>
    </row>
    <row r="94">
      <c r="A94" t="inlineStr" s="20">
        <is>
          <t xml:space="preserve">Kit COGS</t>
        </is>
      </c>
      <c r="C94" s="15">
        <f>SUM('Model inputs'!C95,'Model inputs'!C96,'Model inputs'!C97)</f>
        <v>198.71999999999997</v>
      </c>
      <c r="D94" s="15">
        <f>SUM('Model inputs'!D95,'Model inputs'!D96,'Model inputs'!D97)</f>
        <v>328.51</v>
      </c>
      <c r="E94" s="15">
        <f>SUM('Model inputs'!E95,'Model inputs'!E96,'Model inputs'!E97)</f>
        <v>438.2690543333333</v>
      </c>
      <c r="F94" s="15">
        <f>SUM('Model inputs'!F95,'Model inputs'!F96,'Model inputs'!F97)</f>
        <v>553.8092239536111</v>
      </c>
      <c r="G94" s="15">
        <f>SUM('Model inputs'!G95,'Model inputs'!G96,'Model inputs'!G97)</f>
        <v>675.7440447772127</v>
      </c>
      <c r="H94" s="15">
        <f>SUM('Model inputs'!H95,'Model inputs'!H96,'Model inputs'!H97)</f>
        <v>804.7391871963778</v>
      </c>
      <c r="I94" s="15">
        <f>SUM('Model inputs'!I95,'Model inputs'!I96,'Model inputs'!I97)</f>
        <v>941.5174568576965</v>
      </c>
      <c r="J94" s="15">
        <f>SUM('Model inputs'!J95,'Model inputs'!J96,'Model inputs'!J97)</f>
        <v>1086.8642479836653</v>
      </c>
      <c r="K94" s="15">
        <f>SUM('Model inputs'!K95,'Model inputs'!K96,'Model inputs'!K97)</f>
        <v>1241.6334926466532</v>
      </c>
      <c r="L94" s="15">
        <f>SUM('Model inputs'!L95,'Model inputs'!L96,'Model inputs'!L97)</f>
        <v>1399.3012767607936</v>
      </c>
      <c r="M94" s="15">
        <f>SUM('Model inputs'!M95,'Model inputs'!M96,'Model inputs'!M97)</f>
        <v>1560.0723313343888</v>
      </c>
      <c r="N94" s="15">
        <f>SUM('Model inputs'!N95,'Model inputs'!N96,'Model inputs'!N97)</f>
        <v>1724.155715473161</v>
      </c>
      <c r="O94" s="15">
        <f>SUM('Model inputs'!O95,'Model inputs'!O96,'Model inputs'!O97)</f>
        <v>1891.765212701136</v>
      </c>
      <c r="P94" s="15">
        <f>SUM('Model inputs'!P95,'Model inputs'!P96,'Model inputs'!P97)</f>
        <v>2063.119728881874</v>
      </c>
      <c r="Q94" s="15">
        <f>SUM('Model inputs'!Q95,'Model inputs'!Q96,'Model inputs'!Q97)</f>
        <v>2238.443692740924</v>
      </c>
      <c r="R94" s="15">
        <f>SUM('Model inputs'!R95,'Model inputs'!R96,'Model inputs'!R97)</f>
        <v>2417.9674599682767</v>
      </c>
      <c r="S94" s="15">
        <f>SUM('Model inputs'!S95,'Model inputs'!S96,'Model inputs'!S97)</f>
        <v>2601.927721860765</v>
      </c>
      <c r="T94" s="15">
        <f>SUM('Model inputs'!T95,'Model inputs'!T96,'Model inputs'!T97)</f>
        <v>2790.5679194486015</v>
      </c>
      <c r="U94" s="15">
        <f>SUM('Model inputs'!U95,'Model inputs'!U96,'Model inputs'!U97)</f>
        <v>0</v>
      </c>
      <c r="V94" s="15">
        <f>SUM('Model inputs'!V95,'Model inputs'!V96,'Model inputs'!V97)</f>
        <v>0</v>
      </c>
      <c r="W94" s="15">
        <f>SUM('Model inputs'!W95,'Model inputs'!W96,'Model inputs'!W97)</f>
        <v>0</v>
      </c>
      <c r="X94" s="15">
        <f>SUM('Model inputs'!X95,'Model inputs'!X96,'Model inputs'!X97)</f>
        <v>0</v>
      </c>
      <c r="Y94" s="15">
        <f>SUM('Model inputs'!Y95,'Model inputs'!Y96,'Model inputs'!Y97)</f>
        <v>0</v>
      </c>
      <c r="Z94" s="15">
        <f>SUM('Model inputs'!Z95,'Model inputs'!Z96,'Model inputs'!Z97)</f>
        <v>0</v>
      </c>
      <c r="AA94" s="15">
        <f>SUM('Model inputs'!AA95,'Model inputs'!AA96,'Model inputs'!AA97)</f>
        <v>0</v>
      </c>
      <c r="AB94" s="15">
        <f>SUM('Model inputs'!AB95,'Model inputs'!AB96,'Model inputs'!AB97)</f>
        <v>0</v>
      </c>
      <c r="AC94" s="15">
        <f>SUM('Model inputs'!AC95,'Model inputs'!AC96,'Model inputs'!AC97)</f>
        <v>0</v>
      </c>
      <c r="AD94" s="15">
        <f>SUM('Model inputs'!AD95,'Model inputs'!AD96,'Model inputs'!AD97)</f>
        <v>0</v>
      </c>
      <c r="AE94" s="15">
        <f>SUM('Model inputs'!AE95,'Model inputs'!AE96,'Model inputs'!AE97)</f>
        <v>0</v>
      </c>
      <c r="AF94" s="15">
        <f>SUM('Model inputs'!AF95,'Model inputs'!AF96,'Model inputs'!AF97)</f>
        <v>0</v>
      </c>
      <c r="AG94" s="15">
        <f>SUM('Model inputs'!AG95,'Model inputs'!AG96,'Model inputs'!AG97)</f>
        <v>0</v>
      </c>
    </row>
    <row r="95" outlineLevel="1">
      <c r="A95" t="inlineStr" s="21">
        <is>
          <t xml:space="preserve">Kit COGS &gt; Indie</t>
        </is>
      </c>
      <c r="C95" s="16">
        <f>'Model inputs'!C21*'Model inputs'!C179</f>
        <v>81.6</v>
      </c>
      <c r="D95" s="16">
        <f>'Model inputs'!D21*'Model inputs'!D179</f>
        <v>151.64</v>
      </c>
      <c r="E95" s="16">
        <f>'Model inputs'!E21*'Model inputs'!E179</f>
        <v>196.61066666666665</v>
      </c>
      <c r="F95" s="16">
        <f>'Model inputs'!F21*'Model inputs'!F179</f>
        <v>242.9896888888889</v>
      </c>
      <c r="G95" s="16">
        <f>'Model inputs'!G21*'Model inputs'!G179</f>
        <v>291.0356882962963</v>
      </c>
      <c r="H95" s="16">
        <f>'Model inputs'!H21*'Model inputs'!H179</f>
        <v>341.01824603654325</v>
      </c>
      <c r="I95" s="16">
        <f>'Model inputs'!I21*'Model inputs'!I179</f>
        <v>393.2194282175737</v>
      </c>
      <c r="J95" s="16">
        <f>'Model inputs'!J21*'Model inputs'!J179</f>
        <v>447.9353901398795</v>
      </c>
      <c r="K95" s="16">
        <f>'Model inputs'!K21*'Model inputs'!K179</f>
        <v>505.47806850497636</v>
      </c>
      <c r="L95" s="16">
        <f>'Model inputs'!L21*'Model inputs'!L179</f>
        <v>562.6807698207105</v>
      </c>
      <c r="M95" s="16">
        <f>'Model inputs'!M21*'Model inputs'!M179</f>
        <v>619.7060072840383</v>
      </c>
      <c r="N95" s="16">
        <f>'Model inputs'!N21*'Model inputs'!N179</f>
        <v>676.7110538011991</v>
      </c>
      <c r="O95" s="16">
        <f>'Model inputs'!O21*'Model inputs'!O179</f>
        <v>733.8485150973265</v>
      </c>
      <c r="P95" s="16">
        <f>'Model inputs'!P21*'Model inputs'!P179</f>
        <v>791.2668735690271</v>
      </c>
      <c r="Q95" s="16">
        <f>'Model inputs'!Q21*'Model inputs'!Q179</f>
        <v>849.1110051884084</v>
      </c>
      <c r="R95" s="16">
        <f>'Model inputs'!R21*'Model inputs'!R179</f>
        <v>907.522671627457</v>
      </c>
      <c r="S95" s="16">
        <f>'Model inputs'!S21*'Model inputs'!S179</f>
        <v>966.6409896419669</v>
      </c>
      <c r="T95" s="16">
        <f>'Model inputs'!T21*'Model inputs'!T179</f>
        <v>1026.602879633763</v>
      </c>
      <c r="U95" s="16">
        <f>'Model inputs'!U181*'Model inputs'!U179</f>
        <v>0</v>
      </c>
      <c r="V95" s="16">
        <f>'Model inputs'!V181*'Model inputs'!V179</f>
        <v>0</v>
      </c>
      <c r="W95" s="16">
        <f>'Model inputs'!W181*'Model inputs'!W179</f>
        <v>0</v>
      </c>
      <c r="X95" s="16">
        <f>'Model inputs'!X181*'Model inputs'!X179</f>
        <v>0</v>
      </c>
      <c r="Y95" s="16">
        <f>'Model inputs'!Y181*'Model inputs'!Y179</f>
        <v>0</v>
      </c>
      <c r="Z95" s="16">
        <f>'Model inputs'!Z181*'Model inputs'!Z179</f>
        <v>0</v>
      </c>
      <c r="AA95" s="16">
        <f>'Model inputs'!AA181*'Model inputs'!AA179</f>
        <v>0</v>
      </c>
      <c r="AB95" s="16">
        <f>'Model inputs'!AB181*'Model inputs'!AB179</f>
        <v>0</v>
      </c>
      <c r="AC95" s="16">
        <f>'Model inputs'!AC181*'Model inputs'!AC179</f>
        <v>0</v>
      </c>
      <c r="AD95" s="16">
        <f>'Model inputs'!AD181*'Model inputs'!AD179</f>
        <v>0</v>
      </c>
      <c r="AE95" s="16">
        <f>'Model inputs'!AE181*'Model inputs'!AE179</f>
        <v>0</v>
      </c>
      <c r="AF95" s="16">
        <f>'Model inputs'!AF181*'Model inputs'!AF179</f>
        <v>0</v>
      </c>
      <c r="AG95" s="16">
        <f>'Model inputs'!AG181*'Model inputs'!AG179</f>
        <v>0</v>
      </c>
    </row>
    <row r="96" outlineLevel="1">
      <c r="A96" t="inlineStr" s="21">
        <is>
          <t xml:space="preserve">Kit COGS &gt; Launch</t>
        </is>
      </c>
      <c r="C96" s="16">
        <f>'Model inputs'!C22*'Model inputs'!C179</f>
        <v>49.44</v>
      </c>
      <c r="D96" s="16">
        <f>'Model inputs'!D22*'Model inputs'!D179</f>
        <v>74.6544</v>
      </c>
      <c r="E96" s="16">
        <f>'Model inputs'!E22*'Model inputs'!E179</f>
        <v>100.12128733333331</v>
      </c>
      <c r="F96" s="16">
        <f>'Model inputs'!F22*'Model inputs'!F179</f>
        <v>125.92427677055551</v>
      </c>
      <c r="G96" s="16">
        <f>'Model inputs'!G22*'Model inputs'!G179</f>
        <v>152.1320458821708</v>
      </c>
      <c r="H96" s="16">
        <f>'Model inputs'!H22*'Model inputs'!H179</f>
        <v>178.81746944778058</v>
      </c>
      <c r="I96" s="16">
        <f>'Model inputs'!I22*'Model inputs'!I179</f>
        <v>206.05823180080523</v>
      </c>
      <c r="J96" s="16">
        <f>'Model inputs'!J22*'Model inputs'!J179</f>
        <v>233.9374822731637</v>
      </c>
      <c r="K96" s="16">
        <f>'Model inputs'!K22*'Model inputs'!K179</f>
        <v>262.544539131934</v>
      </c>
      <c r="L96" s="16">
        <f>'Model inputs'!L22*'Model inputs'!L179</f>
        <v>291.9756478456648</v>
      </c>
      <c r="M96" s="16">
        <f>'Model inputs'!M22*'Model inputs'!M179</f>
        <v>322.26254158307296</v>
      </c>
      <c r="N96" s="16">
        <f>'Model inputs'!N22*'Model inputs'!N179</f>
        <v>353.43666899020087</v>
      </c>
      <c r="O96" s="16">
        <f>'Model inputs'!O22*'Model inputs'!O179</f>
        <v>385.5293783961673</v>
      </c>
      <c r="P96" s="16">
        <f>'Model inputs'!P22*'Model inputs'!P179</f>
        <v>418.57209266320126</v>
      </c>
      <c r="Q96" s="16">
        <f>'Model inputs'!Q22*'Model inputs'!Q179</f>
        <v>452.59647555568466</v>
      </c>
      <c r="R96" s="16">
        <f>'Model inputs'!R22*'Model inputs'!R179</f>
        <v>487.6345904499511</v>
      </c>
      <c r="S96" s="16">
        <f>'Model inputs'!S22*'Model inputs'!S179</f>
        <v>523.7190521575209</v>
      </c>
      <c r="T96" s="16">
        <f>'Model inputs'!T22*'Model inputs'!T179</f>
        <v>560.8831725890432</v>
      </c>
      <c r="U96" s="16">
        <f>'Model inputs'!U182*'Model inputs'!U179</f>
        <v>0</v>
      </c>
      <c r="V96" s="16">
        <f>'Model inputs'!V182*'Model inputs'!V179</f>
        <v>0</v>
      </c>
      <c r="W96" s="16">
        <f>'Model inputs'!W182*'Model inputs'!W179</f>
        <v>0</v>
      </c>
      <c r="X96" s="16">
        <f>'Model inputs'!X182*'Model inputs'!X179</f>
        <v>0</v>
      </c>
      <c r="Y96" s="16">
        <f>'Model inputs'!Y182*'Model inputs'!Y179</f>
        <v>0</v>
      </c>
      <c r="Z96" s="16">
        <f>'Model inputs'!Z182*'Model inputs'!Z179</f>
        <v>0</v>
      </c>
      <c r="AA96" s="16">
        <f>'Model inputs'!AA182*'Model inputs'!AA179</f>
        <v>0</v>
      </c>
      <c r="AB96" s="16">
        <f>'Model inputs'!AB182*'Model inputs'!AB179</f>
        <v>0</v>
      </c>
      <c r="AC96" s="16">
        <f>'Model inputs'!AC182*'Model inputs'!AC179</f>
        <v>0</v>
      </c>
      <c r="AD96" s="16">
        <f>'Model inputs'!AD182*'Model inputs'!AD179</f>
        <v>0</v>
      </c>
      <c r="AE96" s="16">
        <f>'Model inputs'!AE182*'Model inputs'!AE179</f>
        <v>0</v>
      </c>
      <c r="AF96" s="16">
        <f>'Model inputs'!AF182*'Model inputs'!AF179</f>
        <v>0</v>
      </c>
      <c r="AG96" s="16">
        <f>'Model inputs'!AG182*'Model inputs'!AG179</f>
        <v>0</v>
      </c>
    </row>
    <row r="97" outlineLevel="1">
      <c r="A97" t="inlineStr" s="21">
        <is>
          <t xml:space="preserve">Kit COGS &gt; Team</t>
        </is>
      </c>
      <c r="C97" s="16">
        <f>'Model inputs'!C23*'Model inputs'!C179</f>
        <v>67.67999999999999</v>
      </c>
      <c r="D97" s="16">
        <f>'Model inputs'!D23*'Model inputs'!D179</f>
        <v>102.21560000000001</v>
      </c>
      <c r="E97" s="16">
        <f>'Model inputs'!E23*'Model inputs'!E179</f>
        <v>141.53710033333334</v>
      </c>
      <c r="F97" s="16">
        <f>'Model inputs'!F23*'Model inputs'!F179</f>
        <v>184.89525829416667</v>
      </c>
      <c r="G97" s="16">
        <f>'Model inputs'!G23*'Model inputs'!G179</f>
        <v>232.5763105987456</v>
      </c>
      <c r="H97" s="16">
        <f>'Model inputs'!H23*'Model inputs'!H179</f>
        <v>284.9034717120539</v>
      </c>
      <c r="I97" s="16">
        <f>'Model inputs'!I23*'Model inputs'!I179</f>
        <v>342.2397968393176</v>
      </c>
      <c r="J97" s="16">
        <f>'Model inputs'!J23*'Model inputs'!J179</f>
        <v>404.99137557062204</v>
      </c>
      <c r="K97" s="16">
        <f>'Model inputs'!K23*'Model inputs'!K179</f>
        <v>473.61088500974284</v>
      </c>
      <c r="L97" s="16">
        <f>'Model inputs'!L23*'Model inputs'!L179</f>
        <v>544.6448590944183</v>
      </c>
      <c r="M97" s="16">
        <f>'Model inputs'!M23*'Model inputs'!M179</f>
        <v>618.1037824672775</v>
      </c>
      <c r="N97" s="16">
        <f>'Model inputs'!N23*'Model inputs'!N179</f>
        <v>694.007992681761</v>
      </c>
      <c r="O97" s="16">
        <f>'Model inputs'!O23*'Model inputs'!O179</f>
        <v>772.3873192076423</v>
      </c>
      <c r="P97" s="16">
        <f>'Model inputs'!P23*'Model inputs'!P179</f>
        <v>853.2807626496458</v>
      </c>
      <c r="Q97" s="16">
        <f>'Model inputs'!Q23*'Model inputs'!Q179</f>
        <v>936.7362119968307</v>
      </c>
      <c r="R97" s="16">
        <f>'Model inputs'!R23*'Model inputs'!R179</f>
        <v>1022.8101978908686</v>
      </c>
      <c r="S97" s="16">
        <f>'Model inputs'!S23*'Model inputs'!S179</f>
        <v>1111.5676800612773</v>
      </c>
      <c r="T97" s="16">
        <f>'Model inputs'!T23*'Model inputs'!T179</f>
        <v>1203.0818672257953</v>
      </c>
      <c r="U97" s="16">
        <f>'Model inputs'!U183*'Model inputs'!U179</f>
        <v>0</v>
      </c>
      <c r="V97" s="16">
        <f>'Model inputs'!V183*'Model inputs'!V179</f>
        <v>0</v>
      </c>
      <c r="W97" s="16">
        <f>'Model inputs'!W183*'Model inputs'!W179</f>
        <v>0</v>
      </c>
      <c r="X97" s="16">
        <f>'Model inputs'!X183*'Model inputs'!X179</f>
        <v>0</v>
      </c>
      <c r="Y97" s="16">
        <f>'Model inputs'!Y183*'Model inputs'!Y179</f>
        <v>0</v>
      </c>
      <c r="Z97" s="16">
        <f>'Model inputs'!Z183*'Model inputs'!Z179</f>
        <v>0</v>
      </c>
      <c r="AA97" s="16">
        <f>'Model inputs'!AA183*'Model inputs'!AA179</f>
        <v>0</v>
      </c>
      <c r="AB97" s="16">
        <f>'Model inputs'!AB183*'Model inputs'!AB179</f>
        <v>0</v>
      </c>
      <c r="AC97" s="16">
        <f>'Model inputs'!AC183*'Model inputs'!AC179</f>
        <v>0</v>
      </c>
      <c r="AD97" s="16">
        <f>'Model inputs'!AD183*'Model inputs'!AD179</f>
        <v>0</v>
      </c>
      <c r="AE97" s="16">
        <f>'Model inputs'!AE183*'Model inputs'!AE179</f>
        <v>0</v>
      </c>
      <c r="AF97" s="16">
        <f>'Model inputs'!AF183*'Model inputs'!AF179</f>
        <v>0</v>
      </c>
      <c r="AG97" s="16">
        <f>'Model inputs'!AG183*'Model inputs'!AG179</f>
        <v>0</v>
      </c>
    </row>
    <row r="98">
      <c r="A98" t="inlineStr" s="20">
        <is>
          <t xml:space="preserve">Kit storage per kit · Loaded COGS per kit</t>
        </is>
      </c>
      <c r="B98" s="11">
        <f>0.01</f>
        <v>0.01</v>
      </c>
    </row>
    <row r="99">
      <c r="A99" t="inlineStr" s="20">
        <is>
          <t xml:space="preserve">Kits used per customer</t>
        </is>
      </c>
      <c r="B99" s="7">
        <v>0</v>
      </c>
    </row>
    <row r="100" outlineLevel="1">
      <c r="A100" t="inlineStr" s="21">
        <is>
          <t xml:space="preserve">Kits used per customer &gt; Indie</t>
        </is>
      </c>
      <c r="B100" s="9">
        <f>8</f>
        <v>8</v>
      </c>
    </row>
    <row r="101" outlineLevel="1">
      <c r="A101" t="inlineStr" s="21">
        <is>
          <t xml:space="preserve">Kits used per customer &gt; Launch</t>
        </is>
      </c>
      <c r="B101" s="9">
        <f>200</f>
        <v>200</v>
      </c>
    </row>
    <row r="102" outlineLevel="1">
      <c r="A102" t="inlineStr" s="21">
        <is>
          <t xml:space="preserve">Kits used per customer &gt; Team</t>
        </is>
      </c>
      <c r="B102" s="9">
        <f>45</f>
        <v>45</v>
      </c>
    </row>
    <row r="103">
      <c r="A103" t="inlineStr" s="20">
        <is>
          <t xml:space="preserve">LLM tokens per kit · Loaded COGS per kit</t>
        </is>
      </c>
      <c r="B103" s="11">
        <f>0.18</f>
        <v>0.18</v>
      </c>
    </row>
    <row r="104">
      <c r="A104" t="inlineStr" s="20">
        <is>
          <t xml:space="preserve">Logo growth after month 8</t>
        </is>
      </c>
      <c r="B104" s="24">
        <v>0</v>
      </c>
    </row>
    <row r="105" outlineLevel="1">
      <c r="A105" t="inlineStr" s="21">
        <is>
          <t xml:space="preserve">Logo growth after month 8 &gt; Indie</t>
        </is>
      </c>
      <c r="B105" s="25">
        <f>0.04</f>
        <v>0.04</v>
      </c>
    </row>
    <row r="106" outlineLevel="1">
      <c r="A106" t="inlineStr" s="21">
        <is>
          <t xml:space="preserve">Logo growth after month 8 &gt; Launch</t>
        </is>
      </c>
      <c r="B106" s="25">
        <f>0</f>
        <v>0</v>
      </c>
    </row>
    <row r="107" outlineLevel="1">
      <c r="A107" t="inlineStr" s="21">
        <is>
          <t xml:space="preserve">Logo growth after month 8 &gt; Team</t>
        </is>
      </c>
      <c r="B107" s="25">
        <f>0.04</f>
        <v>0.04</v>
      </c>
    </row>
    <row r="108">
      <c r="A108" t="inlineStr" s="20">
        <is>
          <t xml:space="preserve">Logo growth through month 8</t>
        </is>
      </c>
      <c r="B108" s="24">
        <v>0</v>
      </c>
    </row>
    <row r="109" outlineLevel="1">
      <c r="A109" t="inlineStr" s="21">
        <is>
          <t xml:space="preserve">Logo growth through month 8 &gt; Indie</t>
        </is>
      </c>
      <c r="B109" s="25">
        <f>0.08</f>
        <v>0.08</v>
      </c>
    </row>
    <row r="110" outlineLevel="1">
      <c r="A110" t="inlineStr" s="21">
        <is>
          <t xml:space="preserve">Logo growth through month 8 &gt; Launch</t>
        </is>
      </c>
      <c r="B110" s="25">
        <f>0</f>
        <v>0</v>
      </c>
    </row>
    <row r="111" outlineLevel="1">
      <c r="A111" t="inlineStr" s="21">
        <is>
          <t xml:space="preserve">Logo growth through month 8 &gt; Team</t>
        </is>
      </c>
      <c r="B111" s="25">
        <f>0.1</f>
        <v>0.1</v>
      </c>
    </row>
    <row r="112">
      <c r="A112" t="inlineStr" s="20">
        <is>
          <t xml:space="preserve">Long-trailer revenue</t>
        </is>
      </c>
      <c r="C112" s="15">
        <f>SUM('Model inputs'!C113,'Model inputs'!C114,'Model inputs'!C115)</f>
        <v>49.68</v>
      </c>
      <c r="D112" s="15">
        <f>SUM('Model inputs'!D113,'Model inputs'!D114,'Model inputs'!D115)</f>
        <v>82.1275</v>
      </c>
      <c r="E112" s="15">
        <f>SUM('Model inputs'!E113,'Model inputs'!E114,'Model inputs'!E115)</f>
        <v>109.56726358333333</v>
      </c>
      <c r="F112" s="15">
        <f>SUM('Model inputs'!F113,'Model inputs'!F114,'Model inputs'!F115)</f>
        <v>138.45230598840277</v>
      </c>
      <c r="G112" s="15">
        <f>SUM('Model inputs'!G113,'Model inputs'!G114,'Model inputs'!G115)</f>
        <v>168.9360111943032</v>
      </c>
      <c r="H112" s="15">
        <f>SUM('Model inputs'!H113,'Model inputs'!H114,'Model inputs'!H115)</f>
        <v>201.18479679909444</v>
      </c>
      <c r="I112" s="15">
        <f>SUM('Model inputs'!I113,'Model inputs'!I114,'Model inputs'!I115)</f>
        <v>235.37936421442416</v>
      </c>
      <c r="J112" s="15">
        <f>SUM('Model inputs'!J113,'Model inputs'!J114,'Model inputs'!J115)</f>
        <v>271.71606199591633</v>
      </c>
      <c r="K112" s="15">
        <f>SUM('Model inputs'!K113,'Model inputs'!K114,'Model inputs'!K115)</f>
        <v>310.4083731616633</v>
      </c>
      <c r="L112" s="15">
        <f>SUM('Model inputs'!L113,'Model inputs'!L114,'Model inputs'!L115)</f>
        <v>349.8253191901984</v>
      </c>
      <c r="M112" s="15">
        <f>SUM('Model inputs'!M113,'Model inputs'!M114,'Model inputs'!M115)</f>
        <v>390.0180828335972</v>
      </c>
      <c r="N112" s="15">
        <f>SUM('Model inputs'!N113,'Model inputs'!N114,'Model inputs'!N115)</f>
        <v>431.0389288682903</v>
      </c>
      <c r="O112" s="15">
        <f>SUM('Model inputs'!O113,'Model inputs'!O114,'Model inputs'!O115)</f>
        <v>472.9413031752841</v>
      </c>
      <c r="P112" s="15">
        <f>SUM('Model inputs'!P113,'Model inputs'!P114,'Model inputs'!P115)</f>
        <v>515.7799322204686</v>
      </c>
      <c r="Q112" s="15">
        <f>SUM('Model inputs'!Q113,'Model inputs'!Q114,'Model inputs'!Q115)</f>
        <v>559.610923185231</v>
      </c>
      <c r="R112" s="15">
        <f>SUM('Model inputs'!R113,'Model inputs'!R114,'Model inputs'!R115)</f>
        <v>604.4918649920692</v>
      </c>
      <c r="S112" s="15">
        <f>SUM('Model inputs'!S113,'Model inputs'!S114,'Model inputs'!S115)</f>
        <v>650.4819304651912</v>
      </c>
      <c r="T112" s="15">
        <f>SUM('Model inputs'!T113,'Model inputs'!T114,'Model inputs'!T115)</f>
        <v>697.6419798621504</v>
      </c>
      <c r="U112" s="15">
        <f>SUM('Model inputs'!U113,'Model inputs'!U114,'Model inputs'!U115)</f>
        <v>0</v>
      </c>
      <c r="V112" s="15">
        <f>SUM('Model inputs'!V113,'Model inputs'!V114,'Model inputs'!V115)</f>
        <v>0</v>
      </c>
      <c r="W112" s="15">
        <f>SUM('Model inputs'!W113,'Model inputs'!W114,'Model inputs'!W115)</f>
        <v>0</v>
      </c>
      <c r="X112" s="15">
        <f>SUM('Model inputs'!X113,'Model inputs'!X114,'Model inputs'!X115)</f>
        <v>0</v>
      </c>
      <c r="Y112" s="15">
        <f>SUM('Model inputs'!Y113,'Model inputs'!Y114,'Model inputs'!Y115)</f>
        <v>0</v>
      </c>
      <c r="Z112" s="15">
        <f>SUM('Model inputs'!Z113,'Model inputs'!Z114,'Model inputs'!Z115)</f>
        <v>0</v>
      </c>
      <c r="AA112" s="15">
        <f>SUM('Model inputs'!AA113,'Model inputs'!AA114,'Model inputs'!AA115)</f>
        <v>0</v>
      </c>
      <c r="AB112" s="15">
        <f>SUM('Model inputs'!AB113,'Model inputs'!AB114,'Model inputs'!AB115)</f>
        <v>0</v>
      </c>
      <c r="AC112" s="15">
        <f>SUM('Model inputs'!AC113,'Model inputs'!AC114,'Model inputs'!AC115)</f>
        <v>0</v>
      </c>
      <c r="AD112" s="15">
        <f>SUM('Model inputs'!AD113,'Model inputs'!AD114,'Model inputs'!AD115)</f>
        <v>0</v>
      </c>
      <c r="AE112" s="15">
        <f>SUM('Model inputs'!AE113,'Model inputs'!AE114,'Model inputs'!AE115)</f>
        <v>0</v>
      </c>
      <c r="AF112" s="15">
        <f>SUM('Model inputs'!AF113,'Model inputs'!AF114,'Model inputs'!AF115)</f>
        <v>0</v>
      </c>
      <c r="AG112" s="15">
        <f>SUM('Model inputs'!AG113,'Model inputs'!AG114,'Model inputs'!AG115)</f>
        <v>0</v>
      </c>
    </row>
    <row r="113" outlineLevel="1">
      <c r="A113" t="inlineStr" s="21">
        <is>
          <t xml:space="preserve">Long-trailer revenue &gt; Indie</t>
        </is>
      </c>
      <c r="C113" s="16">
        <f>'Model inputs'!C21*'Model inputs'!B185*'Model inputs'!B184</f>
        <v>20.400000000000002</v>
      </c>
      <c r="D113" s="16">
        <f>'Model inputs'!D21*'Model inputs'!B185*'Model inputs'!B184</f>
        <v>37.91</v>
      </c>
      <c r="E113" s="16">
        <f>'Model inputs'!E21*'Model inputs'!B185*'Model inputs'!B184</f>
        <v>49.15266666666667</v>
      </c>
      <c r="F113" s="16">
        <f>'Model inputs'!F21*'Model inputs'!B185*'Model inputs'!B184</f>
        <v>60.74742222222223</v>
      </c>
      <c r="G113" s="16">
        <f>'Model inputs'!G21*'Model inputs'!B185*'Model inputs'!B184</f>
        <v>72.75892207407409</v>
      </c>
      <c r="H113" s="16">
        <f>'Model inputs'!H21*'Model inputs'!B185*'Model inputs'!B184</f>
        <v>85.25456150913581</v>
      </c>
      <c r="I113" s="16">
        <f>'Model inputs'!I21*'Model inputs'!B185*'Model inputs'!B184</f>
        <v>98.30485705439344</v>
      </c>
      <c r="J113" s="16">
        <f>'Model inputs'!J21*'Model inputs'!B185*'Model inputs'!B184</f>
        <v>111.98384753496987</v>
      </c>
      <c r="K113" s="16">
        <f>'Model inputs'!K21*'Model inputs'!B185*'Model inputs'!B184</f>
        <v>126.36951712624409</v>
      </c>
      <c r="L113" s="16">
        <f>'Model inputs'!L21*'Model inputs'!B185*'Model inputs'!B184</f>
        <v>140.6701924551776</v>
      </c>
      <c r="M113" s="16">
        <f>'Model inputs'!M21*'Model inputs'!B185*'Model inputs'!B184</f>
        <v>154.92650182100957</v>
      </c>
      <c r="N113" s="16">
        <f>'Model inputs'!N21*'Model inputs'!B185*'Model inputs'!B184</f>
        <v>169.1777634502998</v>
      </c>
      <c r="O113" s="16">
        <f>'Model inputs'!O21*'Model inputs'!B185*'Model inputs'!B184</f>
        <v>183.46212877433163</v>
      </c>
      <c r="P113" s="16">
        <f>'Model inputs'!P21*'Model inputs'!B185*'Model inputs'!B184</f>
        <v>197.81671839225677</v>
      </c>
      <c r="Q113" s="16">
        <f>'Model inputs'!Q21*'Model inputs'!B185*'Model inputs'!B184</f>
        <v>212.27775129710213</v>
      </c>
      <c r="R113" s="16">
        <f>'Model inputs'!R21*'Model inputs'!B185*'Model inputs'!B184</f>
        <v>226.88066790686426</v>
      </c>
      <c r="S113" s="16">
        <f>'Model inputs'!S21*'Model inputs'!B185*'Model inputs'!B184</f>
        <v>241.66024741049173</v>
      </c>
      <c r="T113" s="16">
        <f>'Model inputs'!T21*'Model inputs'!B185*'Model inputs'!B184</f>
        <v>256.65071990844075</v>
      </c>
      <c r="U113" s="16">
        <f>'Model inputs'!U181*'Model inputs'!B185*'Model inputs'!B184</f>
        <v>0</v>
      </c>
      <c r="V113" s="16">
        <f>'Model inputs'!V181*'Model inputs'!B185*'Model inputs'!B184</f>
        <v>0</v>
      </c>
      <c r="W113" s="16">
        <f>'Model inputs'!W181*'Model inputs'!B185*'Model inputs'!B184</f>
        <v>0</v>
      </c>
      <c r="X113" s="16">
        <f>'Model inputs'!X181*'Model inputs'!B185*'Model inputs'!B184</f>
        <v>0</v>
      </c>
      <c r="Y113" s="16">
        <f>'Model inputs'!Y181*'Model inputs'!B185*'Model inputs'!B184</f>
        <v>0</v>
      </c>
      <c r="Z113" s="16">
        <f>'Model inputs'!Z181*'Model inputs'!B185*'Model inputs'!B184</f>
        <v>0</v>
      </c>
      <c r="AA113" s="16">
        <f>'Model inputs'!AA181*'Model inputs'!B185*'Model inputs'!B184</f>
        <v>0</v>
      </c>
      <c r="AB113" s="16">
        <f>'Model inputs'!AB181*'Model inputs'!B185*'Model inputs'!B184</f>
        <v>0</v>
      </c>
      <c r="AC113" s="16">
        <f>'Model inputs'!AC181*'Model inputs'!B185*'Model inputs'!B184</f>
        <v>0</v>
      </c>
      <c r="AD113" s="16">
        <f>'Model inputs'!AD181*'Model inputs'!B185*'Model inputs'!B184</f>
        <v>0</v>
      </c>
      <c r="AE113" s="16">
        <f>'Model inputs'!AE181*'Model inputs'!B185*'Model inputs'!B184</f>
        <v>0</v>
      </c>
      <c r="AF113" s="16">
        <f>'Model inputs'!AF181*'Model inputs'!B185*'Model inputs'!B184</f>
        <v>0</v>
      </c>
      <c r="AG113" s="16">
        <f>'Model inputs'!AG181*'Model inputs'!B185*'Model inputs'!B184</f>
        <v>0</v>
      </c>
    </row>
    <row r="114" outlineLevel="1">
      <c r="A114" t="inlineStr" s="21">
        <is>
          <t xml:space="preserve">Long-trailer revenue &gt; Launch</t>
        </is>
      </c>
      <c r="C114" s="16">
        <f>'Model inputs'!C22*'Model inputs'!B185*'Model inputs'!B184</f>
        <v>12.36</v>
      </c>
      <c r="D114" s="16">
        <f>'Model inputs'!D22*'Model inputs'!B185*'Model inputs'!B184</f>
        <v>18.6636</v>
      </c>
      <c r="E114" s="16">
        <f>'Model inputs'!E22*'Model inputs'!B185*'Model inputs'!B184</f>
        <v>25.03032183333333</v>
      </c>
      <c r="F114" s="16">
        <f>'Model inputs'!F22*'Model inputs'!B185*'Model inputs'!B184</f>
        <v>31.481069192638877</v>
      </c>
      <c r="G114" s="16">
        <f>'Model inputs'!G22*'Model inputs'!B185*'Model inputs'!B184</f>
        <v>38.0330114705427</v>
      </c>
      <c r="H114" s="16">
        <f>'Model inputs'!H22*'Model inputs'!B185*'Model inputs'!B184</f>
        <v>44.704367361945145</v>
      </c>
      <c r="I114" s="16">
        <f>'Model inputs'!I22*'Model inputs'!B185*'Model inputs'!B184</f>
        <v>51.514557950201315</v>
      </c>
      <c r="J114" s="16">
        <f>'Model inputs'!J22*'Model inputs'!B185*'Model inputs'!B184</f>
        <v>58.48437056829093</v>
      </c>
      <c r="K114" s="16">
        <f>'Model inputs'!K22*'Model inputs'!B185*'Model inputs'!B184</f>
        <v>65.63613478298349</v>
      </c>
      <c r="L114" s="16">
        <f>'Model inputs'!L22*'Model inputs'!B185*'Model inputs'!B184</f>
        <v>72.9939119614162</v>
      </c>
      <c r="M114" s="16">
        <f>'Model inputs'!M22*'Model inputs'!B185*'Model inputs'!B184</f>
        <v>80.56563539576824</v>
      </c>
      <c r="N114" s="16">
        <f>'Model inputs'!N22*'Model inputs'!B185*'Model inputs'!B184</f>
        <v>88.35916724755023</v>
      </c>
      <c r="O114" s="16">
        <f>'Model inputs'!O22*'Model inputs'!B185*'Model inputs'!B184</f>
        <v>96.38234459904184</v>
      </c>
      <c r="P114" s="16">
        <f>'Model inputs'!P22*'Model inputs'!B185*'Model inputs'!B184</f>
        <v>104.64302316580032</v>
      </c>
      <c r="Q114" s="16">
        <f>'Model inputs'!Q22*'Model inputs'!B185*'Model inputs'!B184</f>
        <v>113.14911888892117</v>
      </c>
      <c r="R114" s="16">
        <f>'Model inputs'!R22*'Model inputs'!B185*'Model inputs'!B184</f>
        <v>121.90864761248777</v>
      </c>
      <c r="S114" s="16">
        <f>'Model inputs'!S22*'Model inputs'!B185*'Model inputs'!B184</f>
        <v>130.92976303938022</v>
      </c>
      <c r="T114" s="16">
        <f>'Model inputs'!T22*'Model inputs'!B185*'Model inputs'!B184</f>
        <v>140.2207931472608</v>
      </c>
      <c r="U114" s="16">
        <f>'Model inputs'!U182*'Model inputs'!B185*'Model inputs'!B184</f>
        <v>0</v>
      </c>
      <c r="V114" s="16">
        <f>'Model inputs'!V182*'Model inputs'!B185*'Model inputs'!B184</f>
        <v>0</v>
      </c>
      <c r="W114" s="16">
        <f>'Model inputs'!W182*'Model inputs'!B185*'Model inputs'!B184</f>
        <v>0</v>
      </c>
      <c r="X114" s="16">
        <f>'Model inputs'!X182*'Model inputs'!B185*'Model inputs'!B184</f>
        <v>0</v>
      </c>
      <c r="Y114" s="16">
        <f>'Model inputs'!Y182*'Model inputs'!B185*'Model inputs'!B184</f>
        <v>0</v>
      </c>
      <c r="Z114" s="16">
        <f>'Model inputs'!Z182*'Model inputs'!B185*'Model inputs'!B184</f>
        <v>0</v>
      </c>
      <c r="AA114" s="16">
        <f>'Model inputs'!AA182*'Model inputs'!B185*'Model inputs'!B184</f>
        <v>0</v>
      </c>
      <c r="AB114" s="16">
        <f>'Model inputs'!AB182*'Model inputs'!B185*'Model inputs'!B184</f>
        <v>0</v>
      </c>
      <c r="AC114" s="16">
        <f>'Model inputs'!AC182*'Model inputs'!B185*'Model inputs'!B184</f>
        <v>0</v>
      </c>
      <c r="AD114" s="16">
        <f>'Model inputs'!AD182*'Model inputs'!B185*'Model inputs'!B184</f>
        <v>0</v>
      </c>
      <c r="AE114" s="16">
        <f>'Model inputs'!AE182*'Model inputs'!B185*'Model inputs'!B184</f>
        <v>0</v>
      </c>
      <c r="AF114" s="16">
        <f>'Model inputs'!AF182*'Model inputs'!B185*'Model inputs'!B184</f>
        <v>0</v>
      </c>
      <c r="AG114" s="16">
        <f>'Model inputs'!AG182*'Model inputs'!B185*'Model inputs'!B184</f>
        <v>0</v>
      </c>
    </row>
    <row r="115" outlineLevel="1">
      <c r="A115" t="inlineStr" s="21">
        <is>
          <t xml:space="preserve">Long-trailer revenue &gt; Team</t>
        </is>
      </c>
      <c r="C115" s="16">
        <f>'Model inputs'!C23*'Model inputs'!B185*'Model inputs'!B184</f>
        <v>16.919999999999998</v>
      </c>
      <c r="D115" s="16">
        <f>'Model inputs'!D23*'Model inputs'!B185*'Model inputs'!B184</f>
        <v>25.553900000000002</v>
      </c>
      <c r="E115" s="16">
        <f>'Model inputs'!E23*'Model inputs'!B185*'Model inputs'!B184</f>
        <v>35.384275083333335</v>
      </c>
      <c r="F115" s="16">
        <f>'Model inputs'!F23*'Model inputs'!B185*'Model inputs'!B184</f>
        <v>46.22381457354167</v>
      </c>
      <c r="G115" s="16">
        <f>'Model inputs'!G23*'Model inputs'!B185*'Model inputs'!B184</f>
        <v>58.14407764968641</v>
      </c>
      <c r="H115" s="16">
        <f>'Model inputs'!H23*'Model inputs'!B185*'Model inputs'!B184</f>
        <v>71.22586792801347</v>
      </c>
      <c r="I115" s="16">
        <f>'Model inputs'!I23*'Model inputs'!B185*'Model inputs'!B184</f>
        <v>85.5599492098294</v>
      </c>
      <c r="J115" s="16">
        <f>'Model inputs'!J23*'Model inputs'!B185*'Model inputs'!B184</f>
        <v>101.24784389265551</v>
      </c>
      <c r="K115" s="16">
        <f>'Model inputs'!K23*'Model inputs'!B185*'Model inputs'!B184</f>
        <v>118.40272125243571</v>
      </c>
      <c r="L115" s="16">
        <f>'Model inputs'!L23*'Model inputs'!B185*'Model inputs'!B184</f>
        <v>136.1612147736046</v>
      </c>
      <c r="M115" s="16">
        <f>'Model inputs'!M23*'Model inputs'!B185*'Model inputs'!B184</f>
        <v>154.52594561681937</v>
      </c>
      <c r="N115" s="16">
        <f>'Model inputs'!N23*'Model inputs'!B185*'Model inputs'!B184</f>
        <v>173.5019981704403</v>
      </c>
      <c r="O115" s="16">
        <f>'Model inputs'!O23*'Model inputs'!B185*'Model inputs'!B184</f>
        <v>193.09682980191062</v>
      </c>
      <c r="P115" s="16">
        <f>'Model inputs'!P23*'Model inputs'!B185*'Model inputs'!B184</f>
        <v>213.32019066241148</v>
      </c>
      <c r="Q115" s="16">
        <f>'Model inputs'!Q23*'Model inputs'!B185*'Model inputs'!B184</f>
        <v>234.18405299920767</v>
      </c>
      <c r="R115" s="16">
        <f>'Model inputs'!R23*'Model inputs'!B185*'Model inputs'!B184</f>
        <v>255.70254947271715</v>
      </c>
      <c r="S115" s="16">
        <f>'Model inputs'!S23*'Model inputs'!B185*'Model inputs'!B184</f>
        <v>277.89192001531933</v>
      </c>
      <c r="T115" s="16">
        <f>'Model inputs'!T23*'Model inputs'!B185*'Model inputs'!B184</f>
        <v>300.77046680644884</v>
      </c>
      <c r="U115" s="16">
        <f>'Model inputs'!U183*'Model inputs'!B185*'Model inputs'!B184</f>
        <v>0</v>
      </c>
      <c r="V115" s="16">
        <f>'Model inputs'!V183*'Model inputs'!B185*'Model inputs'!B184</f>
        <v>0</v>
      </c>
      <c r="W115" s="16">
        <f>'Model inputs'!W183*'Model inputs'!B185*'Model inputs'!B184</f>
        <v>0</v>
      </c>
      <c r="X115" s="16">
        <f>'Model inputs'!X183*'Model inputs'!B185*'Model inputs'!B184</f>
        <v>0</v>
      </c>
      <c r="Y115" s="16">
        <f>'Model inputs'!Y183*'Model inputs'!B185*'Model inputs'!B184</f>
        <v>0</v>
      </c>
      <c r="Z115" s="16">
        <f>'Model inputs'!Z183*'Model inputs'!B185*'Model inputs'!B184</f>
        <v>0</v>
      </c>
      <c r="AA115" s="16">
        <f>'Model inputs'!AA183*'Model inputs'!B185*'Model inputs'!B184</f>
        <v>0</v>
      </c>
      <c r="AB115" s="16">
        <f>'Model inputs'!AB183*'Model inputs'!B185*'Model inputs'!B184</f>
        <v>0</v>
      </c>
      <c r="AC115" s="16">
        <f>'Model inputs'!AC183*'Model inputs'!B185*'Model inputs'!B184</f>
        <v>0</v>
      </c>
      <c r="AD115" s="16">
        <f>'Model inputs'!AD183*'Model inputs'!B185*'Model inputs'!B184</f>
        <v>0</v>
      </c>
      <c r="AE115" s="16">
        <f>'Model inputs'!AE183*'Model inputs'!B185*'Model inputs'!B184</f>
        <v>0</v>
      </c>
      <c r="AF115" s="16">
        <f>'Model inputs'!AF183*'Model inputs'!B185*'Model inputs'!B184</f>
        <v>0</v>
      </c>
      <c r="AG115" s="16">
        <f>'Model inputs'!AG183*'Model inputs'!B185*'Model inputs'!B184</f>
        <v>0</v>
      </c>
    </row>
    <row r="116">
      <c r="A116" t="inlineStr" s="20">
        <is>
          <t xml:space="preserve">Model month · RC Unit economics</t>
        </is>
      </c>
      <c r="C116" s="22">
        <f>IF('Model inputs'!C37="","",'Model inputs'!C37)</f>
        <v>0</v>
      </c>
      <c r="D116" s="22">
        <f>IF('Model inputs'!D37="","",'Model inputs'!D37)</f>
        <v>1</v>
      </c>
      <c r="E116" s="22">
        <f>IF('Model inputs'!E37="","",'Model inputs'!E37)</f>
        <v>2</v>
      </c>
      <c r="F116" s="22">
        <f>IF('Model inputs'!F37="","",'Model inputs'!F37)</f>
        <v>3</v>
      </c>
      <c r="G116" s="22">
        <f>IF('Model inputs'!G37="","",'Model inputs'!G37)</f>
        <v>4</v>
      </c>
      <c r="H116" s="22">
        <f>IF('Model inputs'!H37="","",'Model inputs'!H37)</f>
        <v>5</v>
      </c>
      <c r="I116" s="22">
        <f>IF('Model inputs'!I37="","",'Model inputs'!I37)</f>
        <v>6</v>
      </c>
      <c r="J116" s="22">
        <f>IF('Model inputs'!J37="","",'Model inputs'!J37)</f>
        <v>7</v>
      </c>
      <c r="K116" s="22">
        <f>IF('Model inputs'!K37="","",'Model inputs'!K37)</f>
        <v>8</v>
      </c>
      <c r="L116" s="22">
        <f>IF('Model inputs'!L37="","",'Model inputs'!L37)</f>
        <v>9</v>
      </c>
      <c r="M116" s="22">
        <f>IF('Model inputs'!M37="","",'Model inputs'!M37)</f>
        <v>10</v>
      </c>
      <c r="N116" s="22">
        <f>IF('Model inputs'!N37="","",'Model inputs'!N37)</f>
        <v>11</v>
      </c>
      <c r="O116" s="22">
        <f>IF('Model inputs'!O37="","",'Model inputs'!O37)</f>
        <v>12</v>
      </c>
      <c r="P116" s="22">
        <f>IF('Model inputs'!P37="","",'Model inputs'!P37)</f>
        <v>13</v>
      </c>
      <c r="Q116" s="22">
        <f>IF('Model inputs'!Q37="","",'Model inputs'!Q37)</f>
        <v>14</v>
      </c>
      <c r="R116" s="22">
        <f>IF('Model inputs'!R37="","",'Model inputs'!R37)</f>
        <v>15</v>
      </c>
      <c r="S116" s="22">
        <f>IF('Model inputs'!S37="","",'Model inputs'!S37)</f>
        <v>16</v>
      </c>
      <c r="T116" s="22">
        <f>IF('Model inputs'!T37="","",'Model inputs'!T37)</f>
        <v>17</v>
      </c>
      <c r="U116" s="22">
        <f>(YEAR(DATE(2025,10,1))-2026)*12+MONTH(DATE(2025,10,1))-11</f>
        <v>-13</v>
      </c>
      <c r="V116" s="22">
        <f>(YEAR(DATE(2025,11,1))-2026)*12+MONTH(DATE(2025,11,1))-11</f>
        <v>-12</v>
      </c>
      <c r="W116" s="22">
        <f>(YEAR(DATE(2025,12,1))-2026)*12+MONTH(DATE(2025,12,1))-11</f>
        <v>-11</v>
      </c>
      <c r="X116" s="22">
        <f>(YEAR(DATE(2026,1,1))-2026)*12+MONTH(DATE(2026,1,1))-11</f>
        <v>-10</v>
      </c>
      <c r="Y116" s="22">
        <f>(YEAR(DATE(2026,2,1))-2026)*12+MONTH(DATE(2026,2,1))-11</f>
        <v>-9</v>
      </c>
      <c r="Z116" s="22">
        <f>(YEAR(DATE(2026,3,1))-2026)*12+MONTH(DATE(2026,3,1))-11</f>
        <v>-8</v>
      </c>
      <c r="AA116" s="22">
        <f>(YEAR(DATE(2026,4,1))-2026)*12+MONTH(DATE(2026,4,1))-11</f>
        <v>-7</v>
      </c>
      <c r="AB116" s="22">
        <f>(YEAR(DATE(2026,5,1))-2026)*12+MONTH(DATE(2026,5,1))-11</f>
        <v>-6</v>
      </c>
      <c r="AC116" s="22">
        <f>(YEAR(DATE(2026,6,1))-2026)*12+MONTH(DATE(2026,6,1))-11</f>
        <v>-5</v>
      </c>
      <c r="AD116" s="22">
        <f>(YEAR(DATE(2026,7,1))-2026)*12+MONTH(DATE(2026,7,1))-11</f>
        <v>-4</v>
      </c>
      <c r="AE116" s="22">
        <f>(YEAR(DATE(2026,8,1))-2026)*12+MONTH(DATE(2026,8,1))-11</f>
        <v>-3</v>
      </c>
      <c r="AF116" s="22">
        <f>(YEAR(DATE(2026,9,1))-2026)*12+MONTH(DATE(2026,9,1))-11</f>
        <v>-2</v>
      </c>
      <c r="AG116" s="22">
        <f>(YEAR(DATE(2026,10,1))-2026)*12+MONTH(DATE(2026,10,1))-11</f>
        <v>-1</v>
      </c>
    </row>
    <row r="117">
      <c r="A117" t="inlineStr" s="20">
        <is>
          <t xml:space="preserve">neatlogs export per kit · Loaded COGS per kit</t>
        </is>
      </c>
      <c r="B117" s="11">
        <f>0.01</f>
        <v>0.01</v>
      </c>
    </row>
    <row r="118">
      <c r="A118" t="inlineStr" s="20">
        <is>
          <t xml:space="preserve">New logos in month 1</t>
        </is>
      </c>
      <c r="B118" s="7">
        <v>0</v>
      </c>
    </row>
    <row r="119" outlineLevel="1">
      <c r="A119" t="inlineStr" s="21">
        <is>
          <t xml:space="preserve">New logos in month 1 &gt; Indie</t>
        </is>
      </c>
      <c r="B119" s="9">
        <f>25</f>
        <v>25</v>
      </c>
    </row>
    <row r="120" outlineLevel="1">
      <c r="A120" t="inlineStr" s="21">
        <is>
          <t xml:space="preserve">New logos in month 1 &gt; Launch</t>
        </is>
      </c>
      <c r="B120" s="9">
        <f>0.5</f>
        <v>0.5</v>
      </c>
    </row>
    <row r="121" outlineLevel="1">
      <c r="A121" t="inlineStr" s="21">
        <is>
          <t xml:space="preserve">New logos in month 1 &gt; Team</t>
        </is>
      </c>
      <c r="B121" s="9">
        <f>3</f>
        <v>3</v>
      </c>
    </row>
    <row r="122">
      <c r="A122" t="inlineStr" s="20">
        <is>
          <t xml:space="preserve">Opening customers</t>
        </is>
      </c>
      <c r="C122" s="7">
        <f>IF('Model inputs'!C42="","",'Model inputs'!C42)</f>
        <v>47</v>
      </c>
      <c r="D122" s="7">
        <f>IF('Model inputs'!D42="","",'Model inputs'!D42)</f>
        <v>47</v>
      </c>
      <c r="E122" s="7">
        <f>IF('Model inputs'!E42="","",'Model inputs'!E42)</f>
        <v>84.905</v>
      </c>
      <c r="F122" s="7">
        <f>IF('Model inputs'!F42="","",'Model inputs'!F42)</f>
        <v>110.9505</v>
      </c>
      <c r="G122" s="7">
        <f>IF('Model inputs'!G42="","",'Model inputs'!G42)</f>
        <v>138.05102827083334</v>
      </c>
      <c r="H122" s="7">
        <f>IF('Model inputs'!H42="","",'Model inputs'!H42)</f>
        <v>166.3601248259896</v>
      </c>
      <c r="I122" s="7">
        <f>IF('Model inputs'!I42="","",'Model inputs'!I42)</f>
        <v>196.04006505593594</v>
      </c>
      <c r="J122" s="7">
        <f>IF('Model inputs'!J42="","",'Model inputs'!J42)</f>
        <v>227.2628736908502</v>
      </c>
      <c r="K122" s="7">
        <f>IF('Model inputs'!K42="","",'Model inputs'!K42)</f>
        <v>260.21140757088153</v>
      </c>
      <c r="L122" s="7">
        <f>IF('Model inputs'!L42="","",'Model inputs'!L42)</f>
        <v>295.08051439200136</v>
      </c>
      <c r="M122" s="7">
        <f>IF('Model inputs'!M42="","",'Model inputs'!M42)</f>
        <v>330.0136817964602</v>
      </c>
      <c r="N122" s="7">
        <f>IF('Model inputs'!N42="","",'Model inputs'!N42)</f>
        <v>365.0921444578123</v>
      </c>
      <c r="O122" s="7">
        <f>IF('Model inputs'!O42="","",'Model inputs'!O42)</f>
        <v>400.3954360097452</v>
      </c>
      <c r="P122" s="7">
        <f>IF('Model inputs'!P42="","",'Model inputs'!P42)</f>
        <v>436.0016417049511</v>
      </c>
      <c r="Q122" s="7">
        <f>IF('Model inputs'!Q42="","",'Model inputs'!Q42)</f>
        <v>471.98764010807395</v>
      </c>
      <c r="R122" s="7">
        <f>IF('Model inputs'!R42="","",'Model inputs'!R42)</f>
        <v>508.42933477856207</v>
      </c>
      <c r="S122" s="7">
        <f>IF('Model inputs'!S42="","",'Model inputs'!S42)</f>
        <v>545.4018768448782</v>
      </c>
      <c r="T122" s="7">
        <f>IF('Model inputs'!T42="","",'Model inputs'!T42)</f>
        <v>582.979879321125</v>
      </c>
      <c r="U122" s="7">
        <f>SUM('Model inputs'!U123,'Model inputs'!U124,'Model inputs'!U125)</f>
        <v>0</v>
      </c>
      <c r="V122" s="7">
        <f>SUM('Model inputs'!V123,'Model inputs'!V124,'Model inputs'!V125)</f>
        <v>0</v>
      </c>
      <c r="W122" s="7">
        <f>SUM('Model inputs'!W123,'Model inputs'!W124,'Model inputs'!W125)</f>
        <v>0</v>
      </c>
      <c r="X122" s="7">
        <f>SUM('Model inputs'!X123,'Model inputs'!X124,'Model inputs'!X125)</f>
        <v>0</v>
      </c>
      <c r="Y122" s="7">
        <f>SUM('Model inputs'!Y123,'Model inputs'!Y124,'Model inputs'!Y125)</f>
        <v>0</v>
      </c>
      <c r="Z122" s="7">
        <f>SUM('Model inputs'!Z123,'Model inputs'!Z124,'Model inputs'!Z125)</f>
        <v>0</v>
      </c>
      <c r="AA122" s="7">
        <f>SUM('Model inputs'!AA123,'Model inputs'!AA124,'Model inputs'!AA125)</f>
        <v>0</v>
      </c>
      <c r="AB122" s="7">
        <f>SUM('Model inputs'!AB123,'Model inputs'!AB124,'Model inputs'!AB125)</f>
        <v>0</v>
      </c>
      <c r="AC122" s="7">
        <f>SUM('Model inputs'!AC123,'Model inputs'!AC124,'Model inputs'!AC125)</f>
        <v>0</v>
      </c>
      <c r="AD122" s="7">
        <f>SUM('Model inputs'!AD123,'Model inputs'!AD124,'Model inputs'!AD125)</f>
        <v>0</v>
      </c>
      <c r="AE122" s="7">
        <f>SUM('Model inputs'!AE123,'Model inputs'!AE124,'Model inputs'!AE125)</f>
        <v>0</v>
      </c>
      <c r="AF122" s="7">
        <f>SUM('Model inputs'!AF123,'Model inputs'!AF124,'Model inputs'!AF125)</f>
        <v>0</v>
      </c>
      <c r="AG122" s="7">
        <f>SUM('Model inputs'!AG123,'Model inputs'!AG124,'Model inputs'!AG125)</f>
        <v>0</v>
      </c>
    </row>
    <row r="123" outlineLevel="1">
      <c r="A123" t="inlineStr" s="21">
        <is>
          <t xml:space="preserve">Opening customers &gt; Indie</t>
        </is>
      </c>
      <c r="C123" s="9">
        <f>IF('Model inputs'!C43="","",'Model inputs'!C43)</f>
        <v>40</v>
      </c>
      <c r="D123" s="9">
        <f>IF('Model inputs'!D43="","",'Model inputs'!D43)</f>
        <v>40</v>
      </c>
      <c r="E123" s="9">
        <f>IF('Model inputs'!E43="","",'Model inputs'!E43)</f>
        <v>74.33333333333333</v>
      </c>
      <c r="F123" s="9">
        <f>IF('Model inputs'!F43="","",'Model inputs'!F43)</f>
        <v>96.37777777777778</v>
      </c>
      <c r="G123" s="9">
        <f>IF('Model inputs'!G43="","",'Model inputs'!G43)</f>
        <v>119.1125925925926</v>
      </c>
      <c r="H123" s="9">
        <f>IF('Model inputs'!H43="","",'Model inputs'!H43)</f>
        <v>142.66455308641977</v>
      </c>
      <c r="I123" s="9">
        <f>IF('Model inputs'!I43="","",'Model inputs'!I43)</f>
        <v>167.16580688065847</v>
      </c>
      <c r="J123" s="9">
        <f>IF('Model inputs'!J43="","",'Model inputs'!J43)</f>
        <v>192.75462167528124</v>
      </c>
      <c r="K123" s="9">
        <f>IF('Model inputs'!K43="","",'Model inputs'!K43)</f>
        <v>219.57617163719584</v>
      </c>
      <c r="L123" s="9">
        <f>IF('Model inputs'!L43="","",'Model inputs'!L43)</f>
        <v>247.78336691420412</v>
      </c>
      <c r="M123" s="9">
        <f>IF('Model inputs'!M43="","",'Model inputs'!M43)</f>
        <v>275.8239067748581</v>
      </c>
      <c r="N123" s="9">
        <f>IF('Model inputs'!N43="","",'Model inputs'!N43)</f>
        <v>303.77745455099915</v>
      </c>
      <c r="O123" s="9">
        <f>IF('Model inputs'!O43="","",'Model inputs'!O43)</f>
        <v>331.7211048045094</v>
      </c>
      <c r="P123" s="9">
        <f>IF('Model inputs'!P43="","",'Model inputs'!P43)</f>
        <v>359.72966426339536</v>
      </c>
      <c r="Q123" s="9">
        <f>IF('Model inputs'!Q43="","",'Model inputs'!Q43)</f>
        <v>387.87591841618973</v>
      </c>
      <c r="R123" s="9">
        <f>IF('Model inputs'!R43="","",'Model inputs'!R43)</f>
        <v>416.23088489627867</v>
      </c>
      <c r="S123" s="9">
        <f>IF('Model inputs'!S43="","",'Model inputs'!S43)</f>
        <v>444.8640547193417</v>
      </c>
      <c r="T123" s="9">
        <f>IF('Model inputs'!T43="","",'Model inputs'!T43)</f>
        <v>473.8436223735132</v>
      </c>
      <c r="U123" t="str" s="9">
        <f>IF(IF(IF(ISERROR('Model inputs'!U116=0),'Model inputs'!U116=0,IF('Model inputs'!U116="","",'Model inputs'!U116=0))="",FALSE,IF(ISERROR('Model inputs'!U116=0),'Model inputs'!U116=0,IF('Model inputs'!U116="","",'Model inputs'!U116=0))),IF('Model inputs'!B140="","",'Model inputs'!B140),"")</f>
        <v/>
      </c>
      <c r="V123" s="9">
        <f>IF(IF(IF(ISERROR('Model inputs'!V116=0),'Model inputs'!V116=0,IF('Model inputs'!V116="","",'Model inputs'!V116=0))="",FALSE,IF(ISERROR('Model inputs'!V116=0),'Model inputs'!V116=0,IF('Model inputs'!V116="","",'Model inputs'!V116=0))),IF('Model inputs'!B140="","",'Model inputs'!B140),IF('Model inputs'!U90="","",'Model inputs'!U90))</f>
        <v>0</v>
      </c>
      <c r="W123" s="9">
        <f>IF(IF(IF(ISERROR('Model inputs'!W116=0),'Model inputs'!W116=0,IF('Model inputs'!W116="","",'Model inputs'!W116=0))="",FALSE,IF(ISERROR('Model inputs'!W116=0),'Model inputs'!W116=0,IF('Model inputs'!W116="","",'Model inputs'!W116=0))),IF('Model inputs'!B140="","",'Model inputs'!B140),IF('Model inputs'!V90="","",'Model inputs'!V90))</f>
        <v>0</v>
      </c>
      <c r="X123" s="9">
        <f>IF(IF(IF(ISERROR('Model inputs'!X116=0),'Model inputs'!X116=0,IF('Model inputs'!X116="","",'Model inputs'!X116=0))="",FALSE,IF(ISERROR('Model inputs'!X116=0),'Model inputs'!X116=0,IF('Model inputs'!X116="","",'Model inputs'!X116=0))),IF('Model inputs'!B140="","",'Model inputs'!B140),IF('Model inputs'!W90="","",'Model inputs'!W90))</f>
        <v>0</v>
      </c>
      <c r="Y123" s="9">
        <f>IF(IF(IF(ISERROR('Model inputs'!Y116=0),'Model inputs'!Y116=0,IF('Model inputs'!Y116="","",'Model inputs'!Y116=0))="",FALSE,IF(ISERROR('Model inputs'!Y116=0),'Model inputs'!Y116=0,IF('Model inputs'!Y116="","",'Model inputs'!Y116=0))),IF('Model inputs'!B140="","",'Model inputs'!B140),IF('Model inputs'!X90="","",'Model inputs'!X90))</f>
        <v>0</v>
      </c>
      <c r="Z123" s="9">
        <f>IF(IF(IF(ISERROR('Model inputs'!Z116=0),'Model inputs'!Z116=0,IF('Model inputs'!Z116="","",'Model inputs'!Z116=0))="",FALSE,IF(ISERROR('Model inputs'!Z116=0),'Model inputs'!Z116=0,IF('Model inputs'!Z116="","",'Model inputs'!Z116=0))),IF('Model inputs'!B140="","",'Model inputs'!B140),IF('Model inputs'!Y90="","",'Model inputs'!Y90))</f>
        <v>0</v>
      </c>
      <c r="AA123" s="9">
        <f>IF(IF(IF(ISERROR('Model inputs'!AA116=0),'Model inputs'!AA116=0,IF('Model inputs'!AA116="","",'Model inputs'!AA116=0))="",FALSE,IF(ISERROR('Model inputs'!AA116=0),'Model inputs'!AA116=0,IF('Model inputs'!AA116="","",'Model inputs'!AA116=0))),IF('Model inputs'!B140="","",'Model inputs'!B140),IF('Model inputs'!Z90="","",'Model inputs'!Z90))</f>
        <v>0</v>
      </c>
      <c r="AB123" s="9">
        <f>IF(IF(IF(ISERROR('Model inputs'!AB116=0),'Model inputs'!AB116=0,IF('Model inputs'!AB116="","",'Model inputs'!AB116=0))="",FALSE,IF(ISERROR('Model inputs'!AB116=0),'Model inputs'!AB116=0,IF('Model inputs'!AB116="","",'Model inputs'!AB116=0))),IF('Model inputs'!B140="","",'Model inputs'!B140),IF('Model inputs'!AA90="","",'Model inputs'!AA90))</f>
        <v>0</v>
      </c>
      <c r="AC123" s="9">
        <f>IF(IF(IF(ISERROR('Model inputs'!AC116=0),'Model inputs'!AC116=0,IF('Model inputs'!AC116="","",'Model inputs'!AC116=0))="",FALSE,IF(ISERROR('Model inputs'!AC116=0),'Model inputs'!AC116=0,IF('Model inputs'!AC116="","",'Model inputs'!AC116=0))),IF('Model inputs'!B140="","",'Model inputs'!B140),IF('Model inputs'!AB90="","",'Model inputs'!AB90))</f>
        <v>0</v>
      </c>
      <c r="AD123" s="9">
        <f>IF(IF(IF(ISERROR('Model inputs'!AD116=0),'Model inputs'!AD116=0,IF('Model inputs'!AD116="","",'Model inputs'!AD116=0))="",FALSE,IF(ISERROR('Model inputs'!AD116=0),'Model inputs'!AD116=0,IF('Model inputs'!AD116="","",'Model inputs'!AD116=0))),IF('Model inputs'!B140="","",'Model inputs'!B140),IF('Model inputs'!AC90="","",'Model inputs'!AC90))</f>
        <v>0</v>
      </c>
      <c r="AE123" s="9">
        <f>IF(IF(IF(ISERROR('Model inputs'!AE116=0),'Model inputs'!AE116=0,IF('Model inputs'!AE116="","",'Model inputs'!AE116=0))="",FALSE,IF(ISERROR('Model inputs'!AE116=0),'Model inputs'!AE116=0,IF('Model inputs'!AE116="","",'Model inputs'!AE116=0))),IF('Model inputs'!B140="","",'Model inputs'!B140),IF('Model inputs'!AD90="","",'Model inputs'!AD90))</f>
        <v>0</v>
      </c>
      <c r="AF123" s="9">
        <f>IF(IF(IF(ISERROR('Model inputs'!AF116=0),'Model inputs'!AF116=0,IF('Model inputs'!AF116="","",'Model inputs'!AF116=0))="",FALSE,IF(ISERROR('Model inputs'!AF116=0),'Model inputs'!AF116=0,IF('Model inputs'!AF116="","",'Model inputs'!AF116=0))),IF('Model inputs'!B140="","",'Model inputs'!B140),IF('Model inputs'!AE90="","",'Model inputs'!AE90))</f>
        <v>0</v>
      </c>
      <c r="AG123" s="9">
        <f>IF(IF(IF(ISERROR('Model inputs'!AG116=0),'Model inputs'!AG116=0,IF('Model inputs'!AG116="","",'Model inputs'!AG116=0))="",FALSE,IF(ISERROR('Model inputs'!AG116=0),'Model inputs'!AG116=0,IF('Model inputs'!AG116="","",'Model inputs'!AG116=0))),IF('Model inputs'!B140="","",'Model inputs'!B140),IF('Model inputs'!AF90="","",'Model inputs'!AF90))</f>
        <v>0</v>
      </c>
    </row>
    <row r="124" outlineLevel="1">
      <c r="A124" t="inlineStr" s="21">
        <is>
          <t xml:space="preserve">Opening customers &gt; Launch</t>
        </is>
      </c>
      <c r="C124" s="9">
        <f>IF('Model inputs'!C44="","",'Model inputs'!C44)</f>
        <v>1</v>
      </c>
      <c r="D124" s="9">
        <f>IF('Model inputs'!D44="","",'Model inputs'!D44)</f>
        <v>1</v>
      </c>
      <c r="E124" s="9">
        <f>IF('Model inputs'!E44="","",'Model inputs'!E44)</f>
        <v>1.51</v>
      </c>
      <c r="F124" s="9">
        <f>IF('Model inputs'!F44="","",'Model inputs'!F44)</f>
        <v>2.025106944444444</v>
      </c>
      <c r="G124" s="9">
        <f>IF('Model inputs'!G44="","",'Model inputs'!G44)</f>
        <v>2.547012070601851</v>
      </c>
      <c r="H124" s="9">
        <f>IF('Model inputs'!H44="","",'Model inputs'!H44)</f>
        <v>3.0771044879079854</v>
      </c>
      <c r="I124" s="9">
        <f>IF('Model inputs'!I44="","",'Model inputs'!I44)</f>
        <v>3.6168582008046233</v>
      </c>
      <c r="J124" s="9">
        <f>IF('Model inputs'!J44="","",'Model inputs'!J44)</f>
        <v>4.167844494352857</v>
      </c>
      <c r="K124" s="9">
        <f>IF('Model inputs'!K44="","",'Model inputs'!K44)</f>
        <v>4.731745191609298</v>
      </c>
      <c r="L124" s="9">
        <f>IF('Model inputs'!L44="","",'Model inputs'!L44)</f>
        <v>5.310366891827144</v>
      </c>
      <c r="M124" s="9">
        <f>IF('Model inputs'!M44="","",'Model inputs'!M44)</f>
        <v>5.905656307557946</v>
      </c>
      <c r="N124" s="9">
        <f>IF('Model inputs'!N44="","",'Model inputs'!N44)</f>
        <v>6.51825529091976</v>
      </c>
      <c r="O124" s="9">
        <f>IF('Model inputs'!O44="","",'Model inputs'!O44)</f>
        <v>7.148799939122187</v>
      </c>
      <c r="P124" s="9">
        <f>IF('Model inputs'!P44="","",'Model inputs'!P44)</f>
        <v>7.797924320310828</v>
      </c>
      <c r="Q124" s="9">
        <f>IF('Model inputs'!Q44="","",'Model inputs'!Q44)</f>
        <v>8.466264010178019</v>
      </c>
      <c r="R124" s="9">
        <f>IF('Model inputs'!R44="","",'Model inputs'!R44)</f>
        <v>9.154459457032457</v>
      </c>
      <c r="S124" s="9">
        <f>IF('Model inputs'!S44="","",'Model inputs'!S44)</f>
        <v>9.86315919194885</v>
      </c>
      <c r="T124" s="9">
        <f>IF('Model inputs'!T44="","",'Model inputs'!T44)</f>
        <v>10.59302289962623</v>
      </c>
      <c r="U124" t="str" s="9">
        <f>IF(IF(IF(ISERROR('Model inputs'!U116=0),'Model inputs'!U116=0,IF('Model inputs'!U116="","",'Model inputs'!U116=0))="",FALSE,IF(ISERROR('Model inputs'!U116=0),'Model inputs'!U116=0,IF('Model inputs'!U116="","",'Model inputs'!U116=0))),IF('Model inputs'!B141="","",'Model inputs'!B141),"")</f>
        <v/>
      </c>
      <c r="V124" s="9">
        <f>IF(IF(IF(ISERROR('Model inputs'!V116=0),'Model inputs'!V116=0,IF('Model inputs'!V116="","",'Model inputs'!V116=0))="",FALSE,IF(ISERROR('Model inputs'!V116=0),'Model inputs'!V116=0,IF('Model inputs'!V116="","",'Model inputs'!V116=0))),IF('Model inputs'!B141="","",'Model inputs'!B141),IF('Model inputs'!U91="","",'Model inputs'!U91))</f>
        <v>0</v>
      </c>
      <c r="W124" s="9">
        <f>IF(IF(IF(ISERROR('Model inputs'!W116=0),'Model inputs'!W116=0,IF('Model inputs'!W116="","",'Model inputs'!W116=0))="",FALSE,IF(ISERROR('Model inputs'!W116=0),'Model inputs'!W116=0,IF('Model inputs'!W116="","",'Model inputs'!W116=0))),IF('Model inputs'!B141="","",'Model inputs'!B141),IF('Model inputs'!V91="","",'Model inputs'!V91))</f>
        <v>0</v>
      </c>
      <c r="X124" s="9">
        <f>IF(IF(IF(ISERROR('Model inputs'!X116=0),'Model inputs'!X116=0,IF('Model inputs'!X116="","",'Model inputs'!X116=0))="",FALSE,IF(ISERROR('Model inputs'!X116=0),'Model inputs'!X116=0,IF('Model inputs'!X116="","",'Model inputs'!X116=0))),IF('Model inputs'!B141="","",'Model inputs'!B141),IF('Model inputs'!W91="","",'Model inputs'!W91))</f>
        <v>0</v>
      </c>
      <c r="Y124" s="9">
        <f>IF(IF(IF(ISERROR('Model inputs'!Y116=0),'Model inputs'!Y116=0,IF('Model inputs'!Y116="","",'Model inputs'!Y116=0))="",FALSE,IF(ISERROR('Model inputs'!Y116=0),'Model inputs'!Y116=0,IF('Model inputs'!Y116="","",'Model inputs'!Y116=0))),IF('Model inputs'!B141="","",'Model inputs'!B141),IF('Model inputs'!X91="","",'Model inputs'!X91))</f>
        <v>0</v>
      </c>
      <c r="Z124" s="9">
        <f>IF(IF(IF(ISERROR('Model inputs'!Z116=0),'Model inputs'!Z116=0,IF('Model inputs'!Z116="","",'Model inputs'!Z116=0))="",FALSE,IF(ISERROR('Model inputs'!Z116=0),'Model inputs'!Z116=0,IF('Model inputs'!Z116="","",'Model inputs'!Z116=0))),IF('Model inputs'!B141="","",'Model inputs'!B141),IF('Model inputs'!Y91="","",'Model inputs'!Y91))</f>
        <v>0</v>
      </c>
      <c r="AA124" s="9">
        <f>IF(IF(IF(ISERROR('Model inputs'!AA116=0),'Model inputs'!AA116=0,IF('Model inputs'!AA116="","",'Model inputs'!AA116=0))="",FALSE,IF(ISERROR('Model inputs'!AA116=0),'Model inputs'!AA116=0,IF('Model inputs'!AA116="","",'Model inputs'!AA116=0))),IF('Model inputs'!B141="","",'Model inputs'!B141),IF('Model inputs'!Z91="","",'Model inputs'!Z91))</f>
        <v>0</v>
      </c>
      <c r="AB124" s="9">
        <f>IF(IF(IF(ISERROR('Model inputs'!AB116=0),'Model inputs'!AB116=0,IF('Model inputs'!AB116="","",'Model inputs'!AB116=0))="",FALSE,IF(ISERROR('Model inputs'!AB116=0),'Model inputs'!AB116=0,IF('Model inputs'!AB116="","",'Model inputs'!AB116=0))),IF('Model inputs'!B141="","",'Model inputs'!B141),IF('Model inputs'!AA91="","",'Model inputs'!AA91))</f>
        <v>0</v>
      </c>
      <c r="AC124" s="9">
        <f>IF(IF(IF(ISERROR('Model inputs'!AC116=0),'Model inputs'!AC116=0,IF('Model inputs'!AC116="","",'Model inputs'!AC116=0))="",FALSE,IF(ISERROR('Model inputs'!AC116=0),'Model inputs'!AC116=0,IF('Model inputs'!AC116="","",'Model inputs'!AC116=0))),IF('Model inputs'!B141="","",'Model inputs'!B141),IF('Model inputs'!AB91="","",'Model inputs'!AB91))</f>
        <v>0</v>
      </c>
      <c r="AD124" s="9">
        <f>IF(IF(IF(ISERROR('Model inputs'!AD116=0),'Model inputs'!AD116=0,IF('Model inputs'!AD116="","",'Model inputs'!AD116=0))="",FALSE,IF(ISERROR('Model inputs'!AD116=0),'Model inputs'!AD116=0,IF('Model inputs'!AD116="","",'Model inputs'!AD116=0))),IF('Model inputs'!B141="","",'Model inputs'!B141),IF('Model inputs'!AC91="","",'Model inputs'!AC91))</f>
        <v>0</v>
      </c>
      <c r="AE124" s="9">
        <f>IF(IF(IF(ISERROR('Model inputs'!AE116=0),'Model inputs'!AE116=0,IF('Model inputs'!AE116="","",'Model inputs'!AE116=0))="",FALSE,IF(ISERROR('Model inputs'!AE116=0),'Model inputs'!AE116=0,IF('Model inputs'!AE116="","",'Model inputs'!AE116=0))),IF('Model inputs'!B141="","",'Model inputs'!B141),IF('Model inputs'!AD91="","",'Model inputs'!AD91))</f>
        <v>0</v>
      </c>
      <c r="AF124" s="9">
        <f>IF(IF(IF(ISERROR('Model inputs'!AF116=0),'Model inputs'!AF116=0,IF('Model inputs'!AF116="","",'Model inputs'!AF116=0))="",FALSE,IF(ISERROR('Model inputs'!AF116=0),'Model inputs'!AF116=0,IF('Model inputs'!AF116="","",'Model inputs'!AF116=0))),IF('Model inputs'!B141="","",'Model inputs'!B141),IF('Model inputs'!AE91="","",'Model inputs'!AE91))</f>
        <v>0</v>
      </c>
      <c r="AG124" s="9">
        <f>IF(IF(IF(ISERROR('Model inputs'!AG116=0),'Model inputs'!AG116=0,IF('Model inputs'!AG116="","",'Model inputs'!AG116=0))="",FALSE,IF(ISERROR('Model inputs'!AG116=0),'Model inputs'!AG116=0,IF('Model inputs'!AG116="","",'Model inputs'!AG116=0))),IF('Model inputs'!B141="","",'Model inputs'!B141),IF('Model inputs'!AF91="","",'Model inputs'!AF91))</f>
        <v>0</v>
      </c>
    </row>
    <row r="125" outlineLevel="1">
      <c r="A125" t="inlineStr" s="21">
        <is>
          <t xml:space="preserve">Opening customers &gt; Team</t>
        </is>
      </c>
      <c r="C125" s="9">
        <f>IF('Model inputs'!C45="","",'Model inputs'!C45)</f>
        <v>6</v>
      </c>
      <c r="D125" s="9">
        <f>IF('Model inputs'!D45="","",'Model inputs'!D45)</f>
        <v>6</v>
      </c>
      <c r="E125" s="9">
        <f>IF('Model inputs'!E45="","",'Model inputs'!E45)</f>
        <v>9.061666666666667</v>
      </c>
      <c r="F125" s="9">
        <f>IF('Model inputs'!F45="","",'Model inputs'!F45)</f>
        <v>12.547615277777778</v>
      </c>
      <c r="G125" s="9">
        <f>IF('Model inputs'!G45="","",'Model inputs'!G45)</f>
        <v>16.391423607638888</v>
      </c>
      <c r="H125" s="9">
        <f>IF('Model inputs'!H45="","",'Model inputs'!H45)</f>
        <v>20.618467251661844</v>
      </c>
      <c r="I125" s="9">
        <f>IF('Model inputs'!I45="","",'Model inputs'!I45)</f>
        <v>25.257399974472865</v>
      </c>
      <c r="J125" s="9">
        <f>IF('Model inputs'!J45="","",'Model inputs'!J45)</f>
        <v>30.3404075212161</v>
      </c>
      <c r="K125" s="9">
        <f>IF('Model inputs'!K45="","",'Model inputs'!K45)</f>
        <v>35.90349074207642</v>
      </c>
      <c r="L125" s="9">
        <f>IF('Model inputs'!L45="","",'Model inputs'!L45)</f>
        <v>41.986780585970116</v>
      </c>
      <c r="M125" s="9">
        <f>IF('Model inputs'!M45="","",'Model inputs'!M45)</f>
        <v>48.284118714044176</v>
      </c>
      <c r="N125" s="9">
        <f>IF('Model inputs'!N45="","",'Model inputs'!N45)</f>
        <v>54.79643461589339</v>
      </c>
      <c r="O125" s="9">
        <f>IF('Model inputs'!O45="","",'Model inputs'!O45)</f>
        <v>61.52553126611357</v>
      </c>
      <c r="P125" s="9">
        <f>IF('Model inputs'!P45="","",'Model inputs'!P45)</f>
        <v>68.47405312124489</v>
      </c>
      <c r="Q125" s="9">
        <f>IF('Model inputs'!Q45="","",'Model inputs'!Q45)</f>
        <v>75.64545768170619</v>
      </c>
      <c r="R125" s="9">
        <f>IF('Model inputs'!R45="","",'Model inputs'!R45)</f>
        <v>83.04399042525094</v>
      </c>
      <c r="S125" s="9">
        <f>IF('Model inputs'!S45="","",'Model inputs'!S45)</f>
        <v>90.67466293358764</v>
      </c>
      <c r="T125" s="9">
        <f>IF('Model inputs'!T45="","",'Model inputs'!T45)</f>
        <v>98.54323404798558</v>
      </c>
      <c r="U125" t="str" s="9">
        <f>IF(IF(IF(ISERROR('Model inputs'!U116=0),'Model inputs'!U116=0,IF('Model inputs'!U116="","",'Model inputs'!U116=0))="",FALSE,IF(ISERROR('Model inputs'!U116=0),'Model inputs'!U116=0,IF('Model inputs'!U116="","",'Model inputs'!U116=0))),IF('Model inputs'!B142="","",'Model inputs'!B142),"")</f>
        <v/>
      </c>
      <c r="V125" s="9">
        <f>IF(IF(IF(ISERROR('Model inputs'!V116=0),'Model inputs'!V116=0,IF('Model inputs'!V116="","",'Model inputs'!V116=0))="",FALSE,IF(ISERROR('Model inputs'!V116=0),'Model inputs'!V116=0,IF('Model inputs'!V116="","",'Model inputs'!V116=0))),IF('Model inputs'!B142="","",'Model inputs'!B142),IF('Model inputs'!U92="","",'Model inputs'!U92))</f>
        <v>0</v>
      </c>
      <c r="W125" s="9">
        <f>IF(IF(IF(ISERROR('Model inputs'!W116=0),'Model inputs'!W116=0,IF('Model inputs'!W116="","",'Model inputs'!W116=0))="",FALSE,IF(ISERROR('Model inputs'!W116=0),'Model inputs'!W116=0,IF('Model inputs'!W116="","",'Model inputs'!W116=0))),IF('Model inputs'!B142="","",'Model inputs'!B142),IF('Model inputs'!V92="","",'Model inputs'!V92))</f>
        <v>0</v>
      </c>
      <c r="X125" s="9">
        <f>IF(IF(IF(ISERROR('Model inputs'!X116=0),'Model inputs'!X116=0,IF('Model inputs'!X116="","",'Model inputs'!X116=0))="",FALSE,IF(ISERROR('Model inputs'!X116=0),'Model inputs'!X116=0,IF('Model inputs'!X116="","",'Model inputs'!X116=0))),IF('Model inputs'!B142="","",'Model inputs'!B142),IF('Model inputs'!W92="","",'Model inputs'!W92))</f>
        <v>0</v>
      </c>
      <c r="Y125" s="9">
        <f>IF(IF(IF(ISERROR('Model inputs'!Y116=0),'Model inputs'!Y116=0,IF('Model inputs'!Y116="","",'Model inputs'!Y116=0))="",FALSE,IF(ISERROR('Model inputs'!Y116=0),'Model inputs'!Y116=0,IF('Model inputs'!Y116="","",'Model inputs'!Y116=0))),IF('Model inputs'!B142="","",'Model inputs'!B142),IF('Model inputs'!X92="","",'Model inputs'!X92))</f>
        <v>0</v>
      </c>
      <c r="Z125" s="9">
        <f>IF(IF(IF(ISERROR('Model inputs'!Z116=0),'Model inputs'!Z116=0,IF('Model inputs'!Z116="","",'Model inputs'!Z116=0))="",FALSE,IF(ISERROR('Model inputs'!Z116=0),'Model inputs'!Z116=0,IF('Model inputs'!Z116="","",'Model inputs'!Z116=0))),IF('Model inputs'!B142="","",'Model inputs'!B142),IF('Model inputs'!Y92="","",'Model inputs'!Y92))</f>
        <v>0</v>
      </c>
      <c r="AA125" s="9">
        <f>IF(IF(IF(ISERROR('Model inputs'!AA116=0),'Model inputs'!AA116=0,IF('Model inputs'!AA116="","",'Model inputs'!AA116=0))="",FALSE,IF(ISERROR('Model inputs'!AA116=0),'Model inputs'!AA116=0,IF('Model inputs'!AA116="","",'Model inputs'!AA116=0))),IF('Model inputs'!B142="","",'Model inputs'!B142),IF('Model inputs'!Z92="","",'Model inputs'!Z92))</f>
        <v>0</v>
      </c>
      <c r="AB125" s="9">
        <f>IF(IF(IF(ISERROR('Model inputs'!AB116=0),'Model inputs'!AB116=0,IF('Model inputs'!AB116="","",'Model inputs'!AB116=0))="",FALSE,IF(ISERROR('Model inputs'!AB116=0),'Model inputs'!AB116=0,IF('Model inputs'!AB116="","",'Model inputs'!AB116=0))),IF('Model inputs'!B142="","",'Model inputs'!B142),IF('Model inputs'!AA92="","",'Model inputs'!AA92))</f>
        <v>0</v>
      </c>
      <c r="AC125" s="9">
        <f>IF(IF(IF(ISERROR('Model inputs'!AC116=0),'Model inputs'!AC116=0,IF('Model inputs'!AC116="","",'Model inputs'!AC116=0))="",FALSE,IF(ISERROR('Model inputs'!AC116=0),'Model inputs'!AC116=0,IF('Model inputs'!AC116="","",'Model inputs'!AC116=0))),IF('Model inputs'!B142="","",'Model inputs'!B142),IF('Model inputs'!AB92="","",'Model inputs'!AB92))</f>
        <v>0</v>
      </c>
      <c r="AD125" s="9">
        <f>IF(IF(IF(ISERROR('Model inputs'!AD116=0),'Model inputs'!AD116=0,IF('Model inputs'!AD116="","",'Model inputs'!AD116=0))="",FALSE,IF(ISERROR('Model inputs'!AD116=0),'Model inputs'!AD116=0,IF('Model inputs'!AD116="","",'Model inputs'!AD116=0))),IF('Model inputs'!B142="","",'Model inputs'!B142),IF('Model inputs'!AC92="","",'Model inputs'!AC92))</f>
        <v>0</v>
      </c>
      <c r="AE125" s="9">
        <f>IF(IF(IF(ISERROR('Model inputs'!AE116=0),'Model inputs'!AE116=0,IF('Model inputs'!AE116="","",'Model inputs'!AE116=0))="",FALSE,IF(ISERROR('Model inputs'!AE116=0),'Model inputs'!AE116=0,IF('Model inputs'!AE116="","",'Model inputs'!AE116=0))),IF('Model inputs'!B142="","",'Model inputs'!B142),IF('Model inputs'!AD92="","",'Model inputs'!AD92))</f>
        <v>0</v>
      </c>
      <c r="AF125" s="9">
        <f>IF(IF(IF(ISERROR('Model inputs'!AF116=0),'Model inputs'!AF116=0,IF('Model inputs'!AF116="","",'Model inputs'!AF116=0))="",FALSE,IF(ISERROR('Model inputs'!AF116=0),'Model inputs'!AF116=0,IF('Model inputs'!AF116="","",'Model inputs'!AF116=0))),IF('Model inputs'!B142="","",'Model inputs'!B142),IF('Model inputs'!AE92="","",'Model inputs'!AE92))</f>
        <v>0</v>
      </c>
      <c r="AG125" s="9">
        <f>IF(IF(IF(ISERROR('Model inputs'!AG116=0),'Model inputs'!AG116=0,IF('Model inputs'!AG116="","",'Model inputs'!AG116=0))="",FALSE,IF(ISERROR('Model inputs'!AG116=0),'Model inputs'!AG116=0,IF('Model inputs'!AG116="","",'Model inputs'!AG116=0))),IF('Model inputs'!B142="","",'Model inputs'!B142),IF('Model inputs'!AF92="","",'Model inputs'!AF92))</f>
        <v>0</v>
      </c>
    </row>
    <row r="126">
      <c r="A126" t="inlineStr" s="20">
        <is>
          <t xml:space="preserve">Organic new logos</t>
        </is>
      </c>
      <c r="C126" s="7">
        <f>IF('Model inputs'!C47="","",'Model inputs'!C47)</f>
        <v>0</v>
      </c>
      <c r="D126" s="7">
        <f>IF('Model inputs'!D47="","",'Model inputs'!D47)</f>
        <v>28.5</v>
      </c>
      <c r="E126" s="7">
        <f>IF('Model inputs'!E47="","",'Model inputs'!E47)</f>
        <v>30.8</v>
      </c>
      <c r="F126" s="7">
        <f>IF('Model inputs'!F47="","",'Model inputs'!F47)</f>
        <v>33.290000000000006</v>
      </c>
      <c r="G126" s="7">
        <f>IF('Model inputs'!G47="","",'Model inputs'!G47)</f>
        <v>35.985800000000005</v>
      </c>
      <c r="H126" s="7">
        <f>IF('Model inputs'!H47="","",'Model inputs'!H47)</f>
        <v>38.90452400000001</v>
      </c>
      <c r="I126" s="7">
        <f>IF('Model inputs'!I47="","",'Model inputs'!I47)</f>
        <v>42.064731920000014</v>
      </c>
      <c r="J126" s="7">
        <f>IF('Model inputs'!J47="","",'Model inputs'!J47)</f>
        <v>45.486541073600016</v>
      </c>
      <c r="K126" s="7">
        <f>IF('Model inputs'!K47="","",'Model inputs'!K47)</f>
        <v>49.19175801948802</v>
      </c>
      <c r="L126" s="7">
        <f>IF('Model inputs'!L47="","",'Model inputs'!L47)</f>
        <v>51.13942834026755</v>
      </c>
      <c r="M126" s="7">
        <f>IF('Model inputs'!M47="","",'Model inputs'!M47)</f>
        <v>53.16500547387825</v>
      </c>
      <c r="N126" s="7">
        <f>IF('Model inputs'!N47="","",'Model inputs'!N47)</f>
        <v>55.27160569283338</v>
      </c>
      <c r="O126" s="7">
        <f>IF('Model inputs'!O47="","",'Model inputs'!O47)</f>
        <v>57.462469920546724</v>
      </c>
      <c r="P126" s="7">
        <f>IF('Model inputs'!P47="","",'Model inputs'!P47)</f>
        <v>59.740968717368595</v>
      </c>
      <c r="Q126" s="7">
        <f>IF('Model inputs'!Q47="","",'Model inputs'!Q47)</f>
        <v>62.11060746606334</v>
      </c>
      <c r="R126" s="7">
        <f>IF('Model inputs'!R47="","",'Model inputs'!R47)</f>
        <v>64.57503176470587</v>
      </c>
      <c r="S126" s="7">
        <f>IF('Model inputs'!S47="","",'Model inputs'!S47)</f>
        <v>67.13803303529411</v>
      </c>
      <c r="T126" s="7">
        <f>IF('Model inputs'!T47="","",'Model inputs'!T47)</f>
        <v>69.80355435670587</v>
      </c>
      <c r="U126" s="7">
        <f>SUM('Model inputs'!U127,'Model inputs'!U128,'Model inputs'!U129)</f>
        <v>0</v>
      </c>
      <c r="V126" s="7">
        <f>SUM('Model inputs'!V127,'Model inputs'!V128,'Model inputs'!V129)</f>
        <v>0</v>
      </c>
      <c r="W126" s="7">
        <f>SUM('Model inputs'!W127,'Model inputs'!W128,'Model inputs'!W129)</f>
        <v>0</v>
      </c>
      <c r="X126" s="7">
        <f>SUM('Model inputs'!X127,'Model inputs'!X128,'Model inputs'!X129)</f>
        <v>0</v>
      </c>
      <c r="Y126" s="7">
        <f>SUM('Model inputs'!Y127,'Model inputs'!Y128,'Model inputs'!Y129)</f>
        <v>0</v>
      </c>
      <c r="Z126" s="7">
        <f>SUM('Model inputs'!Z127,'Model inputs'!Z128,'Model inputs'!Z129)</f>
        <v>0</v>
      </c>
      <c r="AA126" s="7">
        <f>SUM('Model inputs'!AA127,'Model inputs'!AA128,'Model inputs'!AA129)</f>
        <v>0</v>
      </c>
      <c r="AB126" s="7">
        <f>SUM('Model inputs'!AB127,'Model inputs'!AB128,'Model inputs'!AB129)</f>
        <v>0</v>
      </c>
      <c r="AC126" s="7">
        <f>SUM('Model inputs'!AC127,'Model inputs'!AC128,'Model inputs'!AC129)</f>
        <v>0</v>
      </c>
      <c r="AD126" s="7">
        <f>SUM('Model inputs'!AD127,'Model inputs'!AD128,'Model inputs'!AD129)</f>
        <v>0</v>
      </c>
      <c r="AE126" s="7">
        <f>SUM('Model inputs'!AE127,'Model inputs'!AE128,'Model inputs'!AE129)</f>
        <v>0</v>
      </c>
      <c r="AF126" s="7">
        <f>SUM('Model inputs'!AF127,'Model inputs'!AF128,'Model inputs'!AF129)</f>
        <v>0</v>
      </c>
      <c r="AG126" s="7">
        <f>SUM('Model inputs'!AG127,'Model inputs'!AG128,'Model inputs'!AG129)</f>
        <v>0</v>
      </c>
    </row>
    <row r="127" outlineLevel="1">
      <c r="A127" t="inlineStr" s="21">
        <is>
          <t xml:space="preserve">Organic new logos &gt; Indie</t>
        </is>
      </c>
      <c r="C127" s="9">
        <f>IF('Model inputs'!C48="","",'Model inputs'!C48)</f>
        <v>0</v>
      </c>
      <c r="D127" s="9">
        <f>IF('Model inputs'!D48="","",'Model inputs'!D48)</f>
        <v>25</v>
      </c>
      <c r="E127" s="9">
        <f>IF('Model inputs'!E48="","",'Model inputs'!E48)</f>
        <v>27</v>
      </c>
      <c r="F127" s="9">
        <f>IF('Model inputs'!F48="","",'Model inputs'!F48)</f>
        <v>29.160000000000004</v>
      </c>
      <c r="G127" s="9">
        <f>IF('Model inputs'!G48="","",'Model inputs'!G48)</f>
        <v>31.492800000000006</v>
      </c>
      <c r="H127" s="9">
        <f>IF('Model inputs'!H48="","",'Model inputs'!H48)</f>
        <v>34.01222400000001</v>
      </c>
      <c r="I127" s="9">
        <f>IF('Model inputs'!I48="","",'Model inputs'!I48)</f>
        <v>36.73320192000001</v>
      </c>
      <c r="J127" s="9">
        <f>IF('Model inputs'!J48="","",'Model inputs'!J48)</f>
        <v>39.67185807360001</v>
      </c>
      <c r="K127" s="9">
        <f>IF('Model inputs'!K48="","",'Model inputs'!K48)</f>
        <v>42.84560671948802</v>
      </c>
      <c r="L127" s="9">
        <f>IF('Model inputs'!L48="","",'Model inputs'!L48)</f>
        <v>44.55943098826754</v>
      </c>
      <c r="M127" s="9">
        <f>IF('Model inputs'!M48="","",'Model inputs'!M48)</f>
        <v>46.341808227798246</v>
      </c>
      <c r="N127" s="9">
        <f>IF('Model inputs'!N48="","",'Model inputs'!N48)</f>
        <v>48.19548055691018</v>
      </c>
      <c r="O127" s="9">
        <f>IF('Model inputs'!O48="","",'Model inputs'!O48)</f>
        <v>50.12329977918659</v>
      </c>
      <c r="P127" s="9">
        <f>IF('Model inputs'!P48="","",'Model inputs'!P48)</f>
        <v>52.128231770354056</v>
      </c>
      <c r="Q127" s="9">
        <f>IF('Model inputs'!Q48="","",'Model inputs'!Q48)</f>
        <v>54.21336104116822</v>
      </c>
      <c r="R127" s="9">
        <f>IF('Model inputs'!R48="","",'Model inputs'!R48)</f>
        <v>56.38189548281495</v>
      </c>
      <c r="S127" s="9">
        <f>IF('Model inputs'!S48="","",'Model inputs'!S48)</f>
        <v>58.63717130212755</v>
      </c>
      <c r="T127" s="9">
        <f>IF('Model inputs'!T48="","",'Model inputs'!T48)</f>
        <v>60.98265815421265</v>
      </c>
      <c r="U127" s="9">
        <f>IF(IF(IF(ISERROR('Model inputs'!U116&lt;1),'Model inputs'!U116&lt;1,IF('Model inputs'!U116="","",'Model inputs'!U116&lt;1))="",FALSE,IF(ISERROR('Model inputs'!U116&lt;1),'Model inputs'!U116&lt;1,IF('Model inputs'!U116="","",'Model inputs'!U116&lt;1))),0,IF(IF(IF(ISERROR('Model inputs'!U116=1),'Model inputs'!U116=1,IF('Model inputs'!U116="","",'Model inputs'!U116=1))="",FALSE,IF(ISERROR('Model inputs'!U116=1),'Model inputs'!U116=1,IF('Model inputs'!U116="","",'Model inputs'!U116=1))),IF('Model inputs'!B119="","",'Model inputs'!B119),0*(1+IF(IF(IF(IF(ISERROR('Model inputs'!U116&lt;=8),'Model inputs'!U116&lt;=8,IF('Model inputs'!U116="","",'Model inputs'!U116&lt;=8))="",FALSE,IF(ISERROR('Model inputs'!U116&lt;=8),'Model inputs'!U116&lt;=8,IF('Model inputs'!U116="","",'Model inputs'!U116&lt;=8))),IF('Model inputs'!B109="","",'Model inputs'!B109),IF('Model inputs'!B105="","",'Model inputs'!B105))="",0,IF(IF(IF(ISERROR('Model inputs'!U116&lt;=8),'Model inputs'!U116&lt;=8,IF('Model inputs'!U116="","",'Model inputs'!U116&lt;=8))="",FALSE,IF(ISERROR('Model inputs'!U116&lt;=8),'Model inputs'!U116&lt;=8,IF('Model inputs'!U116="","",'Model inputs'!U116&lt;=8))),IF('Model inputs'!B109="","",'Model inputs'!B109),IF('Model inputs'!B105="","",'Model inputs'!B105))))))</f>
        <v>0</v>
      </c>
      <c r="V127" s="9">
        <f>IF(IF(IF(ISERROR('Model inputs'!V116&lt;1),'Model inputs'!V116&lt;1,IF('Model inputs'!V116="","",'Model inputs'!V116&lt;1))="",FALSE,IF(ISERROR('Model inputs'!V116&lt;1),'Model inputs'!V116&lt;1,IF('Model inputs'!V116="","",'Model inputs'!V116&lt;1))),0,IF(IF(IF(ISERROR('Model inputs'!V116=1),'Model inputs'!V116=1,IF('Model inputs'!V116="","",'Model inputs'!V116=1))="",FALSE,IF(ISERROR('Model inputs'!V116=1),'Model inputs'!V116=1,IF('Model inputs'!V116="","",'Model inputs'!V116=1))),IF('Model inputs'!B119="","",'Model inputs'!B119),'Model inputs'!U127*(1+IF(IF(IF(IF(ISERROR('Model inputs'!V116&lt;=8),'Model inputs'!V116&lt;=8,IF('Model inputs'!V116="","",'Model inputs'!V116&lt;=8))="",FALSE,IF(ISERROR('Model inputs'!V116&lt;=8),'Model inputs'!V116&lt;=8,IF('Model inputs'!V116="","",'Model inputs'!V116&lt;=8))),IF('Model inputs'!B109="","",'Model inputs'!B109),IF('Model inputs'!B105="","",'Model inputs'!B105))="",0,IF(IF(IF(ISERROR('Model inputs'!V116&lt;=8),'Model inputs'!V116&lt;=8,IF('Model inputs'!V116="","",'Model inputs'!V116&lt;=8))="",FALSE,IF(ISERROR('Model inputs'!V116&lt;=8),'Model inputs'!V116&lt;=8,IF('Model inputs'!V116="","",'Model inputs'!V116&lt;=8))),IF('Model inputs'!B109="","",'Model inputs'!B109),IF('Model inputs'!B105="","",'Model inputs'!B105))))))</f>
        <v>0</v>
      </c>
      <c r="W127" s="9">
        <f>IF(IF(IF(ISERROR('Model inputs'!W116&lt;1),'Model inputs'!W116&lt;1,IF('Model inputs'!W116="","",'Model inputs'!W116&lt;1))="",FALSE,IF(ISERROR('Model inputs'!W116&lt;1),'Model inputs'!W116&lt;1,IF('Model inputs'!W116="","",'Model inputs'!W116&lt;1))),0,IF(IF(IF(ISERROR('Model inputs'!W116=1),'Model inputs'!W116=1,IF('Model inputs'!W116="","",'Model inputs'!W116=1))="",FALSE,IF(ISERROR('Model inputs'!W116=1),'Model inputs'!W116=1,IF('Model inputs'!W116="","",'Model inputs'!W116=1))),IF('Model inputs'!B119="","",'Model inputs'!B119),'Model inputs'!V127*(1+IF(IF(IF(IF(ISERROR('Model inputs'!W116&lt;=8),'Model inputs'!W116&lt;=8,IF('Model inputs'!W116="","",'Model inputs'!W116&lt;=8))="",FALSE,IF(ISERROR('Model inputs'!W116&lt;=8),'Model inputs'!W116&lt;=8,IF('Model inputs'!W116="","",'Model inputs'!W116&lt;=8))),IF('Model inputs'!B109="","",'Model inputs'!B109),IF('Model inputs'!B105="","",'Model inputs'!B105))="",0,IF(IF(IF(ISERROR('Model inputs'!W116&lt;=8),'Model inputs'!W116&lt;=8,IF('Model inputs'!W116="","",'Model inputs'!W116&lt;=8))="",FALSE,IF(ISERROR('Model inputs'!W116&lt;=8),'Model inputs'!W116&lt;=8,IF('Model inputs'!W116="","",'Model inputs'!W116&lt;=8))),IF('Model inputs'!B109="","",'Model inputs'!B109),IF('Model inputs'!B105="","",'Model inputs'!B105))))))</f>
        <v>0</v>
      </c>
      <c r="X127" s="9">
        <f>IF(IF(IF(ISERROR('Model inputs'!X116&lt;1),'Model inputs'!X116&lt;1,IF('Model inputs'!X116="","",'Model inputs'!X116&lt;1))="",FALSE,IF(ISERROR('Model inputs'!X116&lt;1),'Model inputs'!X116&lt;1,IF('Model inputs'!X116="","",'Model inputs'!X116&lt;1))),0,IF(IF(IF(ISERROR('Model inputs'!X116=1),'Model inputs'!X116=1,IF('Model inputs'!X116="","",'Model inputs'!X116=1))="",FALSE,IF(ISERROR('Model inputs'!X116=1),'Model inputs'!X116=1,IF('Model inputs'!X116="","",'Model inputs'!X116=1))),IF('Model inputs'!B119="","",'Model inputs'!B119),'Model inputs'!W127*(1+IF(IF(IF(IF(ISERROR('Model inputs'!X116&lt;=8),'Model inputs'!X116&lt;=8,IF('Model inputs'!X116="","",'Model inputs'!X116&lt;=8))="",FALSE,IF(ISERROR('Model inputs'!X116&lt;=8),'Model inputs'!X116&lt;=8,IF('Model inputs'!X116="","",'Model inputs'!X116&lt;=8))),IF('Model inputs'!B109="","",'Model inputs'!B109),IF('Model inputs'!B105="","",'Model inputs'!B105))="",0,IF(IF(IF(ISERROR('Model inputs'!X116&lt;=8),'Model inputs'!X116&lt;=8,IF('Model inputs'!X116="","",'Model inputs'!X116&lt;=8))="",FALSE,IF(ISERROR('Model inputs'!X116&lt;=8),'Model inputs'!X116&lt;=8,IF('Model inputs'!X116="","",'Model inputs'!X116&lt;=8))),IF('Model inputs'!B109="","",'Model inputs'!B109),IF('Model inputs'!B105="","",'Model inputs'!B105))))))</f>
        <v>0</v>
      </c>
      <c r="Y127" s="9">
        <f>IF(IF(IF(ISERROR('Model inputs'!Y116&lt;1),'Model inputs'!Y116&lt;1,IF('Model inputs'!Y116="","",'Model inputs'!Y116&lt;1))="",FALSE,IF(ISERROR('Model inputs'!Y116&lt;1),'Model inputs'!Y116&lt;1,IF('Model inputs'!Y116="","",'Model inputs'!Y116&lt;1))),0,IF(IF(IF(ISERROR('Model inputs'!Y116=1),'Model inputs'!Y116=1,IF('Model inputs'!Y116="","",'Model inputs'!Y116=1))="",FALSE,IF(ISERROR('Model inputs'!Y116=1),'Model inputs'!Y116=1,IF('Model inputs'!Y116="","",'Model inputs'!Y116=1))),IF('Model inputs'!B119="","",'Model inputs'!B119),'Model inputs'!X127*(1+IF(IF(IF(IF(ISERROR('Model inputs'!Y116&lt;=8),'Model inputs'!Y116&lt;=8,IF('Model inputs'!Y116="","",'Model inputs'!Y116&lt;=8))="",FALSE,IF(ISERROR('Model inputs'!Y116&lt;=8),'Model inputs'!Y116&lt;=8,IF('Model inputs'!Y116="","",'Model inputs'!Y116&lt;=8))),IF('Model inputs'!B109="","",'Model inputs'!B109),IF('Model inputs'!B105="","",'Model inputs'!B105))="",0,IF(IF(IF(ISERROR('Model inputs'!Y116&lt;=8),'Model inputs'!Y116&lt;=8,IF('Model inputs'!Y116="","",'Model inputs'!Y116&lt;=8))="",FALSE,IF(ISERROR('Model inputs'!Y116&lt;=8),'Model inputs'!Y116&lt;=8,IF('Model inputs'!Y116="","",'Model inputs'!Y116&lt;=8))),IF('Model inputs'!B109="","",'Model inputs'!B109),IF('Model inputs'!B105="","",'Model inputs'!B105))))))</f>
        <v>0</v>
      </c>
      <c r="Z127" s="9">
        <f>IF(IF(IF(ISERROR('Model inputs'!Z116&lt;1),'Model inputs'!Z116&lt;1,IF('Model inputs'!Z116="","",'Model inputs'!Z116&lt;1))="",FALSE,IF(ISERROR('Model inputs'!Z116&lt;1),'Model inputs'!Z116&lt;1,IF('Model inputs'!Z116="","",'Model inputs'!Z116&lt;1))),0,IF(IF(IF(ISERROR('Model inputs'!Z116=1),'Model inputs'!Z116=1,IF('Model inputs'!Z116="","",'Model inputs'!Z116=1))="",FALSE,IF(ISERROR('Model inputs'!Z116=1),'Model inputs'!Z116=1,IF('Model inputs'!Z116="","",'Model inputs'!Z116=1))),IF('Model inputs'!B119="","",'Model inputs'!B119),'Model inputs'!Y127*(1+IF(IF(IF(IF(ISERROR('Model inputs'!Z116&lt;=8),'Model inputs'!Z116&lt;=8,IF('Model inputs'!Z116="","",'Model inputs'!Z116&lt;=8))="",FALSE,IF(ISERROR('Model inputs'!Z116&lt;=8),'Model inputs'!Z116&lt;=8,IF('Model inputs'!Z116="","",'Model inputs'!Z116&lt;=8))),IF('Model inputs'!B109="","",'Model inputs'!B109),IF('Model inputs'!B105="","",'Model inputs'!B105))="",0,IF(IF(IF(ISERROR('Model inputs'!Z116&lt;=8),'Model inputs'!Z116&lt;=8,IF('Model inputs'!Z116="","",'Model inputs'!Z116&lt;=8))="",FALSE,IF(ISERROR('Model inputs'!Z116&lt;=8),'Model inputs'!Z116&lt;=8,IF('Model inputs'!Z116="","",'Model inputs'!Z116&lt;=8))),IF('Model inputs'!B109="","",'Model inputs'!B109),IF('Model inputs'!B105="","",'Model inputs'!B105))))))</f>
        <v>0</v>
      </c>
      <c r="AA127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inputs'!AA116&lt;1))),0,IF(IF(IF(ISERROR('Model inputs'!AA116=1),'Model inputs'!AA116=1,IF('Model inputs'!AA116="","",'Model inputs'!AA116=1))="",FALSE,IF(ISERROR('Model inputs'!AA116=1),'Model inputs'!AA116=1,IF('Model inputs'!AA116="","",'Model inputs'!AA116=1))),IF('Model inputs'!B119="","",'Model inputs'!B119),'Model inputs'!Z127*(1+IF(IF(IF(IF(ISERROR('Model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inputs'!B109="","",'Model inputs'!B109),IF('Model inputs'!B105="","",'Model inputs'!B105))="",0,IF(IF(IF(ISERROR('Model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inputs'!B109="","",'Model inputs'!B109),IF('Model inputs'!B105="","",'Model inputs'!B105))))))</f>
        <v>0</v>
      </c>
      <c r="AB127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inputs'!AB116&lt;1))),0,IF(IF(IF(ISERROR('Model inputs'!AB116=1),'Model inputs'!AB116=1,IF('Model inputs'!AB116="","",'Model inputs'!AB116=1))="",FALSE,IF(ISERROR('Model inputs'!AB116=1),'Model inputs'!AB116=1,IF('Model inputs'!AB116="","",'Model inputs'!AB116=1))),IF('Model inputs'!B119="","",'Model inputs'!B119),'Model inputs'!AA127*(1+IF(IF(IF(IF(ISERROR('Model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inputs'!B109="","",'Model inputs'!B109),IF('Model inputs'!B105="","",'Model inputs'!B105))="",0,IF(IF(IF(ISERROR('Model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inputs'!B109="","",'Model inputs'!B109),IF('Model inputs'!B105="","",'Model inputs'!B105))))))</f>
        <v>0</v>
      </c>
      <c r="AC127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inputs'!AC116&lt;1))),0,IF(IF(IF(ISERROR('Model inputs'!AC116=1),'Model inputs'!AC116=1,IF('Model inputs'!AC116="","",'Model inputs'!AC116=1))="",FALSE,IF(ISERROR('Model inputs'!AC116=1),'Model inputs'!AC116=1,IF('Model inputs'!AC116="","",'Model inputs'!AC116=1))),IF('Model inputs'!B119="","",'Model inputs'!B119),'Model inputs'!AB127*(1+IF(IF(IF(IF(ISERROR('Model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inputs'!B109="","",'Model inputs'!B109),IF('Model inputs'!B105="","",'Model inputs'!B105))="",0,IF(IF(IF(ISERROR('Model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inputs'!B109="","",'Model inputs'!B109),IF('Model inputs'!B105="","",'Model inputs'!B105))))))</f>
        <v>0</v>
      </c>
      <c r="AD127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inputs'!AD116&lt;1))),0,IF(IF(IF(ISERROR('Model inputs'!AD116=1),'Model inputs'!AD116=1,IF('Model inputs'!AD116="","",'Model inputs'!AD116=1))="",FALSE,IF(ISERROR('Model inputs'!AD116=1),'Model inputs'!AD116=1,IF('Model inputs'!AD116="","",'Model inputs'!AD116=1))),IF('Model inputs'!B119="","",'Model inputs'!B119),'Model inputs'!AC127*(1+IF(IF(IF(IF(ISERROR('Model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inputs'!B109="","",'Model inputs'!B109),IF('Model inputs'!B105="","",'Model inputs'!B105))="",0,IF(IF(IF(ISERROR('Model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inputs'!B109="","",'Model inputs'!B109),IF('Model inputs'!B105="","",'Model inputs'!B105))))))</f>
        <v>0</v>
      </c>
      <c r="AE127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inputs'!AE116&lt;1))),0,IF(IF(IF(ISERROR('Model inputs'!AE116=1),'Model inputs'!AE116=1,IF('Model inputs'!AE116="","",'Model inputs'!AE116=1))="",FALSE,IF(ISERROR('Model inputs'!AE116=1),'Model inputs'!AE116=1,IF('Model inputs'!AE116="","",'Model inputs'!AE116=1))),IF('Model inputs'!B119="","",'Model inputs'!B119),'Model inputs'!AD127*(1+IF(IF(IF(IF(ISERROR('Model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inputs'!B109="","",'Model inputs'!B109),IF('Model inputs'!B105="","",'Model inputs'!B105))="",0,IF(IF(IF(ISERROR('Model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inputs'!B109="","",'Model inputs'!B109),IF('Model inputs'!B105="","",'Model inputs'!B105))))))</f>
        <v>0</v>
      </c>
      <c r="AF127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inputs'!AF116&lt;1))),0,IF(IF(IF(ISERROR('Model inputs'!AF116=1),'Model inputs'!AF116=1,IF('Model inputs'!AF116="","",'Model inputs'!AF116=1))="",FALSE,IF(ISERROR('Model inputs'!AF116=1),'Model inputs'!AF116=1,IF('Model inputs'!AF116="","",'Model inputs'!AF116=1))),IF('Model inputs'!B119="","",'Model inputs'!B119),'Model inputs'!AE127*(1+IF(IF(IF(IF(ISERROR('Model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inputs'!B109="","",'Model inputs'!B109),IF('Model inputs'!B105="","",'Model inputs'!B105))="",0,IF(IF(IF(ISERROR('Model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inputs'!B109="","",'Model inputs'!B109),IF('Model inputs'!B105="","",'Model inputs'!B105))))))</f>
        <v>0</v>
      </c>
      <c r="AG127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inputs'!AG116&lt;1))),0,IF(IF(IF(ISERROR('Model inputs'!AG116=1),'Model inputs'!AG116=1,IF('Model inputs'!AG116="","",'Model inputs'!AG116=1))="",FALSE,IF(ISERROR('Model inputs'!AG116=1),'Model inputs'!AG116=1,IF('Model inputs'!AG116="","",'Model inputs'!AG116=1))),IF('Model inputs'!B119="","",'Model inputs'!B119),'Model inputs'!AF127*(1+IF(IF(IF(IF(ISERROR('Model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inputs'!B109="","",'Model inputs'!B109),IF('Model inputs'!B105="","",'Model inputs'!B105))="",0,IF(IF(IF(ISERROR('Model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inputs'!B109="","",'Model inputs'!B109),IF('Model inputs'!B105="","",'Model inputs'!B105))))))</f>
        <v>0</v>
      </c>
    </row>
    <row r="128" outlineLevel="1">
      <c r="A128" t="inlineStr" s="21">
        <is>
          <t xml:space="preserve">Organic new logos &gt; Launch</t>
        </is>
      </c>
      <c r="C128" s="9">
        <f>IF('Model inputs'!C49="","",'Model inputs'!C49)</f>
        <v>0</v>
      </c>
      <c r="D128" s="9">
        <f>IF('Model inputs'!D49="","",'Model inputs'!D49)</f>
        <v>0.5</v>
      </c>
      <c r="E128" s="9">
        <f>IF('Model inputs'!E49="","",'Model inputs'!E49)</f>
        <v>0.5</v>
      </c>
      <c r="F128" s="9">
        <f>IF('Model inputs'!F49="","",'Model inputs'!F49)</f>
        <v>0.5</v>
      </c>
      <c r="G128" s="9">
        <f>IF('Model inputs'!G49="","",'Model inputs'!G49)</f>
        <v>0.5</v>
      </c>
      <c r="H128" s="9">
        <f>IF('Model inputs'!H49="","",'Model inputs'!H49)</f>
        <v>0.5</v>
      </c>
      <c r="I128" s="9">
        <f>IF('Model inputs'!I49="","",'Model inputs'!I49)</f>
        <v>0.5</v>
      </c>
      <c r="J128" s="9">
        <f>IF('Model inputs'!J49="","",'Model inputs'!J49)</f>
        <v>0.5</v>
      </c>
      <c r="K128" s="9">
        <f>IF('Model inputs'!K49="","",'Model inputs'!K49)</f>
        <v>0.5</v>
      </c>
      <c r="L128" s="9">
        <f>IF('Model inputs'!L49="","",'Model inputs'!L49)</f>
        <v>0.5</v>
      </c>
      <c r="M128" s="9">
        <f>IF('Model inputs'!M49="","",'Model inputs'!M49)</f>
        <v>0.5</v>
      </c>
      <c r="N128" s="9">
        <f>IF('Model inputs'!N49="","",'Model inputs'!N49)</f>
        <v>0.5</v>
      </c>
      <c r="O128" s="9">
        <f>IF('Model inputs'!O49="","",'Model inputs'!O49)</f>
        <v>0.5</v>
      </c>
      <c r="P128" s="9">
        <f>IF('Model inputs'!P49="","",'Model inputs'!P49)</f>
        <v>0.5</v>
      </c>
      <c r="Q128" s="9">
        <f>IF('Model inputs'!Q49="","",'Model inputs'!Q49)</f>
        <v>0.5</v>
      </c>
      <c r="R128" s="9">
        <f>IF('Model inputs'!R49="","",'Model inputs'!R49)</f>
        <v>0.5</v>
      </c>
      <c r="S128" s="9">
        <f>IF('Model inputs'!S49="","",'Model inputs'!S49)</f>
        <v>0.5</v>
      </c>
      <c r="T128" s="9">
        <f>IF('Model inputs'!T49="","",'Model inputs'!T49)</f>
        <v>0.5</v>
      </c>
      <c r="U128" s="9">
        <f>IF(IF(IF(ISERROR('Model inputs'!U116&lt;1),'Model inputs'!U116&lt;1,IF('Model inputs'!U116="","",'Model inputs'!U116&lt;1))="",FALSE,IF(ISERROR('Model inputs'!U116&lt;1),'Model inputs'!U116&lt;1,IF('Model inputs'!U116="","",'Model inputs'!U116&lt;1))),0,IF(IF(IF(ISERROR('Model inputs'!U116=1),'Model inputs'!U116=1,IF('Model inputs'!U116="","",'Model inputs'!U116=1))="",FALSE,IF(ISERROR('Model inputs'!U116=1),'Model inputs'!U116=1,IF('Model inputs'!U116="","",'Model inputs'!U116=1))),IF('Model inputs'!B120="","",'Model inputs'!B120),0*(1+IF(IF(IF(IF(ISERROR('Model inputs'!U116&lt;=8),'Model inputs'!U116&lt;=8,IF('Model inputs'!U116="","",'Model inputs'!U116&lt;=8))="",FALSE,IF(ISERROR('Model inputs'!U116&lt;=8),'Model inputs'!U116&lt;=8,IF('Model inputs'!U116="","",'Model inputs'!U116&lt;=8))),IF('Model inputs'!B110="","",'Model inputs'!B110),IF('Model inputs'!B106="","",'Model inputs'!B106))="",0,IF(IF(IF(ISERROR('Model inputs'!U116&lt;=8),'Model inputs'!U116&lt;=8,IF('Model inputs'!U116="","",'Model inputs'!U116&lt;=8))="",FALSE,IF(ISERROR('Model inputs'!U116&lt;=8),'Model inputs'!U116&lt;=8,IF('Model inputs'!U116="","",'Model inputs'!U116&lt;=8))),IF('Model inputs'!B110="","",'Model inputs'!B110),IF('Model inputs'!B106="","",'Model inputs'!B106))))))</f>
        <v>0</v>
      </c>
      <c r="V128" s="9">
        <f>IF(IF(IF(ISERROR('Model inputs'!V116&lt;1),'Model inputs'!V116&lt;1,IF('Model inputs'!V116="","",'Model inputs'!V116&lt;1))="",FALSE,IF(ISERROR('Model inputs'!V116&lt;1),'Model inputs'!V116&lt;1,IF('Model inputs'!V116="","",'Model inputs'!V116&lt;1))),0,IF(IF(IF(ISERROR('Model inputs'!V116=1),'Model inputs'!V116=1,IF('Model inputs'!V116="","",'Model inputs'!V116=1))="",FALSE,IF(ISERROR('Model inputs'!V116=1),'Model inputs'!V116=1,IF('Model inputs'!V116="","",'Model inputs'!V116=1))),IF('Model inputs'!B120="","",'Model inputs'!B120),'Model inputs'!U128*(1+IF(IF(IF(IF(ISERROR('Model inputs'!V116&lt;=8),'Model inputs'!V116&lt;=8,IF('Model inputs'!V116="","",'Model inputs'!V116&lt;=8))="",FALSE,IF(ISERROR('Model inputs'!V116&lt;=8),'Model inputs'!V116&lt;=8,IF('Model inputs'!V116="","",'Model inputs'!V116&lt;=8))),IF('Model inputs'!B110="","",'Model inputs'!B110),IF('Model inputs'!B106="","",'Model inputs'!B106))="",0,IF(IF(IF(ISERROR('Model inputs'!V116&lt;=8),'Model inputs'!V116&lt;=8,IF('Model inputs'!V116="","",'Model inputs'!V116&lt;=8))="",FALSE,IF(ISERROR('Model inputs'!V116&lt;=8),'Model inputs'!V116&lt;=8,IF('Model inputs'!V116="","",'Model inputs'!V116&lt;=8))),IF('Model inputs'!B110="","",'Model inputs'!B110),IF('Model inputs'!B106="","",'Model inputs'!B106))))))</f>
        <v>0</v>
      </c>
      <c r="W128" s="9">
        <f>IF(IF(IF(ISERROR('Model inputs'!W116&lt;1),'Model inputs'!W116&lt;1,IF('Model inputs'!W116="","",'Model inputs'!W116&lt;1))="",FALSE,IF(ISERROR('Model inputs'!W116&lt;1),'Model inputs'!W116&lt;1,IF('Model inputs'!W116="","",'Model inputs'!W116&lt;1))),0,IF(IF(IF(ISERROR('Model inputs'!W116=1),'Model inputs'!W116=1,IF('Model inputs'!W116="","",'Model inputs'!W116=1))="",FALSE,IF(ISERROR('Model inputs'!W116=1),'Model inputs'!W116=1,IF('Model inputs'!W116="","",'Model inputs'!W116=1))),IF('Model inputs'!B120="","",'Model inputs'!B120),'Model inputs'!V128*(1+IF(IF(IF(IF(ISERROR('Model inputs'!W116&lt;=8),'Model inputs'!W116&lt;=8,IF('Model inputs'!W116="","",'Model inputs'!W116&lt;=8))="",FALSE,IF(ISERROR('Model inputs'!W116&lt;=8),'Model inputs'!W116&lt;=8,IF('Model inputs'!W116="","",'Model inputs'!W116&lt;=8))),IF('Model inputs'!B110="","",'Model inputs'!B110),IF('Model inputs'!B106="","",'Model inputs'!B106))="",0,IF(IF(IF(ISERROR('Model inputs'!W116&lt;=8),'Model inputs'!W116&lt;=8,IF('Model inputs'!W116="","",'Model inputs'!W116&lt;=8))="",FALSE,IF(ISERROR('Model inputs'!W116&lt;=8),'Model inputs'!W116&lt;=8,IF('Model inputs'!W116="","",'Model inputs'!W116&lt;=8))),IF('Model inputs'!B110="","",'Model inputs'!B110),IF('Model inputs'!B106="","",'Model inputs'!B106))))))</f>
        <v>0</v>
      </c>
      <c r="X128" s="9">
        <f>IF(IF(IF(ISERROR('Model inputs'!X116&lt;1),'Model inputs'!X116&lt;1,IF('Model inputs'!X116="","",'Model inputs'!X116&lt;1))="",FALSE,IF(ISERROR('Model inputs'!X116&lt;1),'Model inputs'!X116&lt;1,IF('Model inputs'!X116="","",'Model inputs'!X116&lt;1))),0,IF(IF(IF(ISERROR('Model inputs'!X116=1),'Model inputs'!X116=1,IF('Model inputs'!X116="","",'Model inputs'!X116=1))="",FALSE,IF(ISERROR('Model inputs'!X116=1),'Model inputs'!X116=1,IF('Model inputs'!X116="","",'Model inputs'!X116=1))),IF('Model inputs'!B120="","",'Model inputs'!B120),'Model inputs'!W128*(1+IF(IF(IF(IF(ISERROR('Model inputs'!X116&lt;=8),'Model inputs'!X116&lt;=8,IF('Model inputs'!X116="","",'Model inputs'!X116&lt;=8))="",FALSE,IF(ISERROR('Model inputs'!X116&lt;=8),'Model inputs'!X116&lt;=8,IF('Model inputs'!X116="","",'Model inputs'!X116&lt;=8))),IF('Model inputs'!B110="","",'Model inputs'!B110),IF('Model inputs'!B106="","",'Model inputs'!B106))="",0,IF(IF(IF(ISERROR('Model inputs'!X116&lt;=8),'Model inputs'!X116&lt;=8,IF('Model inputs'!X116="","",'Model inputs'!X116&lt;=8))="",FALSE,IF(ISERROR('Model inputs'!X116&lt;=8),'Model inputs'!X116&lt;=8,IF('Model inputs'!X116="","",'Model inputs'!X116&lt;=8))),IF('Model inputs'!B110="","",'Model inputs'!B110),IF('Model inputs'!B106="","",'Model inputs'!B106))))))</f>
        <v>0</v>
      </c>
      <c r="Y128" s="9">
        <f>IF(IF(IF(ISERROR('Model inputs'!Y116&lt;1),'Model inputs'!Y116&lt;1,IF('Model inputs'!Y116="","",'Model inputs'!Y116&lt;1))="",FALSE,IF(ISERROR('Model inputs'!Y116&lt;1),'Model inputs'!Y116&lt;1,IF('Model inputs'!Y116="","",'Model inputs'!Y116&lt;1))),0,IF(IF(IF(ISERROR('Model inputs'!Y116=1),'Model inputs'!Y116=1,IF('Model inputs'!Y116="","",'Model inputs'!Y116=1))="",FALSE,IF(ISERROR('Model inputs'!Y116=1),'Model inputs'!Y116=1,IF('Model inputs'!Y116="","",'Model inputs'!Y116=1))),IF('Model inputs'!B120="","",'Model inputs'!B120),'Model inputs'!X128*(1+IF(IF(IF(IF(ISERROR('Model inputs'!Y116&lt;=8),'Model inputs'!Y116&lt;=8,IF('Model inputs'!Y116="","",'Model inputs'!Y116&lt;=8))="",FALSE,IF(ISERROR('Model inputs'!Y116&lt;=8),'Model inputs'!Y116&lt;=8,IF('Model inputs'!Y116="","",'Model inputs'!Y116&lt;=8))),IF('Model inputs'!B110="","",'Model inputs'!B110),IF('Model inputs'!B106="","",'Model inputs'!B106))="",0,IF(IF(IF(ISERROR('Model inputs'!Y116&lt;=8),'Model inputs'!Y116&lt;=8,IF('Model inputs'!Y116="","",'Model inputs'!Y116&lt;=8))="",FALSE,IF(ISERROR('Model inputs'!Y116&lt;=8),'Model inputs'!Y116&lt;=8,IF('Model inputs'!Y116="","",'Model inputs'!Y116&lt;=8))),IF('Model inputs'!B110="","",'Model inputs'!B110),IF('Model inputs'!B106="","",'Model inputs'!B106))))))</f>
        <v>0</v>
      </c>
      <c r="Z128" s="9">
        <f>IF(IF(IF(ISERROR('Model inputs'!Z116&lt;1),'Model inputs'!Z116&lt;1,IF('Model inputs'!Z116="","",'Model inputs'!Z116&lt;1))="",FALSE,IF(ISERROR('Model inputs'!Z116&lt;1),'Model inputs'!Z116&lt;1,IF('Model inputs'!Z116="","",'Model inputs'!Z116&lt;1))),0,IF(IF(IF(ISERROR('Model inputs'!Z116=1),'Model inputs'!Z116=1,IF('Model inputs'!Z116="","",'Model inputs'!Z116=1))="",FALSE,IF(ISERROR('Model inputs'!Z116=1),'Model inputs'!Z116=1,IF('Model inputs'!Z116="","",'Model inputs'!Z116=1))),IF('Model inputs'!B120="","",'Model inputs'!B120),'Model inputs'!Y128*(1+IF(IF(IF(IF(ISERROR('Model inputs'!Z116&lt;=8),'Model inputs'!Z116&lt;=8,IF('Model inputs'!Z116="","",'Model inputs'!Z116&lt;=8))="",FALSE,IF(ISERROR('Model inputs'!Z116&lt;=8),'Model inputs'!Z116&lt;=8,IF('Model inputs'!Z116="","",'Model inputs'!Z116&lt;=8))),IF('Model inputs'!B110="","",'Model inputs'!B110),IF('Model inputs'!B106="","",'Model inputs'!B106))="",0,IF(IF(IF(ISERROR('Model inputs'!Z116&lt;=8),'Model inputs'!Z116&lt;=8,IF('Model inputs'!Z116="","",'Model inputs'!Z116&lt;=8))="",FALSE,IF(ISERROR('Model inputs'!Z116&lt;=8),'Model inputs'!Z116&lt;=8,IF('Model inputs'!Z116="","",'Model inputs'!Z116&lt;=8))),IF('Model inputs'!B110="","",'Model inputs'!B110),IF('Model inputs'!B106="","",'Model inputs'!B106))))))</f>
        <v>0</v>
      </c>
      <c r="AA128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inputs'!AA116&lt;1))),0,IF(IF(IF(ISERROR('Model inputs'!AA116=1),'Model inputs'!AA116=1,IF('Model inputs'!AA116="","",'Model inputs'!AA116=1))="",FALSE,IF(ISERROR('Model inputs'!AA116=1),'Model inputs'!AA116=1,IF('Model inputs'!AA116="","",'Model inputs'!AA116=1))),IF('Model inputs'!B120="","",'Model inputs'!B120),'Model inputs'!Z128*(1+IF(IF(IF(IF(ISERROR('Model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inputs'!B110="","",'Model inputs'!B110),IF('Model inputs'!B106="","",'Model inputs'!B106))="",0,IF(IF(IF(ISERROR('Model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inputs'!B110="","",'Model inputs'!B110),IF('Model inputs'!B106="","",'Model inputs'!B106))))))</f>
        <v>0</v>
      </c>
      <c r="AB128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inputs'!AB116&lt;1))),0,IF(IF(IF(ISERROR('Model inputs'!AB116=1),'Model inputs'!AB116=1,IF('Model inputs'!AB116="","",'Model inputs'!AB116=1))="",FALSE,IF(ISERROR('Model inputs'!AB116=1),'Model inputs'!AB116=1,IF('Model inputs'!AB116="","",'Model inputs'!AB116=1))),IF('Model inputs'!B120="","",'Model inputs'!B120),'Model inputs'!AA128*(1+IF(IF(IF(IF(ISERROR('Model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inputs'!B110="","",'Model inputs'!B110),IF('Model inputs'!B106="","",'Model inputs'!B106))="",0,IF(IF(IF(ISERROR('Model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inputs'!B110="","",'Model inputs'!B110),IF('Model inputs'!B106="","",'Model inputs'!B106))))))</f>
        <v>0</v>
      </c>
      <c r="AC128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inputs'!AC116&lt;1))),0,IF(IF(IF(ISERROR('Model inputs'!AC116=1),'Model inputs'!AC116=1,IF('Model inputs'!AC116="","",'Model inputs'!AC116=1))="",FALSE,IF(ISERROR('Model inputs'!AC116=1),'Model inputs'!AC116=1,IF('Model inputs'!AC116="","",'Model inputs'!AC116=1))),IF('Model inputs'!B120="","",'Model inputs'!B120),'Model inputs'!AB128*(1+IF(IF(IF(IF(ISERROR('Model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inputs'!B110="","",'Model inputs'!B110),IF('Model inputs'!B106="","",'Model inputs'!B106))="",0,IF(IF(IF(ISERROR('Model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inputs'!B110="","",'Model inputs'!B110),IF('Model inputs'!B106="","",'Model inputs'!B106))))))</f>
        <v>0</v>
      </c>
      <c r="AD128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inputs'!AD116&lt;1))),0,IF(IF(IF(ISERROR('Model inputs'!AD116=1),'Model inputs'!AD116=1,IF('Model inputs'!AD116="","",'Model inputs'!AD116=1))="",FALSE,IF(ISERROR('Model inputs'!AD116=1),'Model inputs'!AD116=1,IF('Model inputs'!AD116="","",'Model inputs'!AD116=1))),IF('Model inputs'!B120="","",'Model inputs'!B120),'Model inputs'!AC128*(1+IF(IF(IF(IF(ISERROR('Model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inputs'!B110="","",'Model inputs'!B110),IF('Model inputs'!B106="","",'Model inputs'!B106))="",0,IF(IF(IF(ISERROR('Model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inputs'!B110="","",'Model inputs'!B110),IF('Model inputs'!B106="","",'Model inputs'!B106))))))</f>
        <v>0</v>
      </c>
      <c r="AE128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inputs'!AE116&lt;1))),0,IF(IF(IF(ISERROR('Model inputs'!AE116=1),'Model inputs'!AE116=1,IF('Model inputs'!AE116="","",'Model inputs'!AE116=1))="",FALSE,IF(ISERROR('Model inputs'!AE116=1),'Model inputs'!AE116=1,IF('Model inputs'!AE116="","",'Model inputs'!AE116=1))),IF('Model inputs'!B120="","",'Model inputs'!B120),'Model inputs'!AD128*(1+IF(IF(IF(IF(ISERROR('Model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inputs'!B110="","",'Model inputs'!B110),IF('Model inputs'!B106="","",'Model inputs'!B106))="",0,IF(IF(IF(ISERROR('Model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inputs'!B110="","",'Model inputs'!B110),IF('Model inputs'!B106="","",'Model inputs'!B106))))))</f>
        <v>0</v>
      </c>
      <c r="AF128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inputs'!AF116&lt;1))),0,IF(IF(IF(ISERROR('Model inputs'!AF116=1),'Model inputs'!AF116=1,IF('Model inputs'!AF116="","",'Model inputs'!AF116=1))="",FALSE,IF(ISERROR('Model inputs'!AF116=1),'Model inputs'!AF116=1,IF('Model inputs'!AF116="","",'Model inputs'!AF116=1))),IF('Model inputs'!B120="","",'Model inputs'!B120),'Model inputs'!AE128*(1+IF(IF(IF(IF(ISERROR('Model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inputs'!B110="","",'Model inputs'!B110),IF('Model inputs'!B106="","",'Model inputs'!B106))="",0,IF(IF(IF(ISERROR('Model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inputs'!B110="","",'Model inputs'!B110),IF('Model inputs'!B106="","",'Model inputs'!B106))))))</f>
        <v>0</v>
      </c>
      <c r="AG128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inputs'!AG116&lt;1))),0,IF(IF(IF(ISERROR('Model inputs'!AG116=1),'Model inputs'!AG116=1,IF('Model inputs'!AG116="","",'Model inputs'!AG116=1))="",FALSE,IF(ISERROR('Model inputs'!AG116=1),'Model inputs'!AG116=1,IF('Model inputs'!AG116="","",'Model inputs'!AG116=1))),IF('Model inputs'!B120="","",'Model inputs'!B120),'Model inputs'!AF128*(1+IF(IF(IF(IF(ISERROR('Model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inputs'!B110="","",'Model inputs'!B110),IF('Model inputs'!B106="","",'Model inputs'!B106))="",0,IF(IF(IF(ISERROR('Model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inputs'!B110="","",'Model inputs'!B110),IF('Model inputs'!B106="","",'Model inputs'!B106))))))</f>
        <v>0</v>
      </c>
    </row>
    <row r="129" outlineLevel="1">
      <c r="A129" t="inlineStr" s="21">
        <is>
          <t xml:space="preserve">Organic new logos &gt; Team</t>
        </is>
      </c>
      <c r="C129" s="9">
        <f>IF('Model inputs'!C50="","",'Model inputs'!C50)</f>
        <v>0</v>
      </c>
      <c r="D129" s="9">
        <f>IF('Model inputs'!D50="","",'Model inputs'!D50)</f>
        <v>3</v>
      </c>
      <c r="E129" s="9">
        <f>IF('Model inputs'!E50="","",'Model inputs'!E50)</f>
        <v>3.3000000000000003</v>
      </c>
      <c r="F129" s="9">
        <f>IF('Model inputs'!F50="","",'Model inputs'!F50)</f>
        <v>3.630000000000001</v>
      </c>
      <c r="G129" s="9">
        <f>IF('Model inputs'!G50="","",'Model inputs'!G50)</f>
        <v>3.993000000000001</v>
      </c>
      <c r="H129" s="9">
        <f>IF('Model inputs'!H50="","",'Model inputs'!H50)</f>
        <v>4.392300000000001</v>
      </c>
      <c r="I129" s="9">
        <f>IF('Model inputs'!I50="","",'Model inputs'!I50)</f>
        <v>4.831530000000002</v>
      </c>
      <c r="J129" s="9">
        <f>IF('Model inputs'!J50="","",'Model inputs'!J50)</f>
        <v>5.314683000000002</v>
      </c>
      <c r="K129" s="9">
        <f>IF('Model inputs'!K50="","",'Model inputs'!K50)</f>
        <v>5.846151300000003</v>
      </c>
      <c r="L129" s="9">
        <f>IF('Model inputs'!L50="","",'Model inputs'!L50)</f>
        <v>6.079997352000004</v>
      </c>
      <c r="M129" s="9">
        <f>IF('Model inputs'!M50="","",'Model inputs'!M50)</f>
        <v>6.323197246080004</v>
      </c>
      <c r="N129" s="9">
        <f>IF('Model inputs'!N50="","",'Model inputs'!N50)</f>
        <v>6.5761251359232045</v>
      </c>
      <c r="O129" s="9">
        <f>IF('Model inputs'!O50="","",'Model inputs'!O50)</f>
        <v>6.839170141360133</v>
      </c>
      <c r="P129" s="9">
        <f>IF('Model inputs'!P50="","",'Model inputs'!P50)</f>
        <v>7.112736947014538</v>
      </c>
      <c r="Q129" s="9">
        <f>IF('Model inputs'!Q50="","",'Model inputs'!Q50)</f>
        <v>7.39724642489512</v>
      </c>
      <c r="R129" s="9">
        <f>IF('Model inputs'!R50="","",'Model inputs'!R50)</f>
        <v>7.693136281890925</v>
      </c>
      <c r="S129" s="9">
        <f>IF('Model inputs'!S50="","",'Model inputs'!S50)</f>
        <v>8.000861733166563</v>
      </c>
      <c r="T129" s="9">
        <f>IF('Model inputs'!T50="","",'Model inputs'!T50)</f>
        <v>8.320896202493225</v>
      </c>
      <c r="U129" s="9">
        <f>IF(IF(IF(ISERROR('Model inputs'!U116&lt;1),'Model inputs'!U116&lt;1,IF('Model inputs'!U116="","",'Model inputs'!U116&lt;1))="",FALSE,IF(ISERROR('Model inputs'!U116&lt;1),'Model inputs'!U116&lt;1,IF('Model inputs'!U116="","",'Model inputs'!U116&lt;1))),0,IF(IF(IF(ISERROR('Model inputs'!U116=1),'Model inputs'!U116=1,IF('Model inputs'!U116="","",'Model inputs'!U116=1))="",FALSE,IF(ISERROR('Model inputs'!U116=1),'Model inputs'!U116=1,IF('Model inputs'!U116="","",'Model inputs'!U116=1))),IF('Model inputs'!B121="","",'Model inputs'!B121),0*(1+IF(IF(IF(IF(ISERROR('Model inputs'!U116&lt;=8),'Model inputs'!U116&lt;=8,IF('Model inputs'!U116="","",'Model inputs'!U116&lt;=8))="",FALSE,IF(ISERROR('Model inputs'!U116&lt;=8),'Model inputs'!U116&lt;=8,IF('Model inputs'!U116="","",'Model inputs'!U116&lt;=8))),IF('Model inputs'!B111="","",'Model inputs'!B111),IF('Model inputs'!B107="","",'Model inputs'!B107))="",0,IF(IF(IF(ISERROR('Model inputs'!U116&lt;=8),'Model inputs'!U116&lt;=8,IF('Model inputs'!U116="","",'Model inputs'!U116&lt;=8))="",FALSE,IF(ISERROR('Model inputs'!U116&lt;=8),'Model inputs'!U116&lt;=8,IF('Model inputs'!U116="","",'Model inputs'!U116&lt;=8))),IF('Model inputs'!B111="","",'Model inputs'!B111),IF('Model inputs'!B107="","",'Model inputs'!B107))))))</f>
        <v>0</v>
      </c>
      <c r="V129" s="9">
        <f>IF(IF(IF(ISERROR('Model inputs'!V116&lt;1),'Model inputs'!V116&lt;1,IF('Model inputs'!V116="","",'Model inputs'!V116&lt;1))="",FALSE,IF(ISERROR('Model inputs'!V116&lt;1),'Model inputs'!V116&lt;1,IF('Model inputs'!V116="","",'Model inputs'!V116&lt;1))),0,IF(IF(IF(ISERROR('Model inputs'!V116=1),'Model inputs'!V116=1,IF('Model inputs'!V116="","",'Model inputs'!V116=1))="",FALSE,IF(ISERROR('Model inputs'!V116=1),'Model inputs'!V116=1,IF('Model inputs'!V116="","",'Model inputs'!V116=1))),IF('Model inputs'!B121="","",'Model inputs'!B121),'Model inputs'!U129*(1+IF(IF(IF(IF(ISERROR('Model inputs'!V116&lt;=8),'Model inputs'!V116&lt;=8,IF('Model inputs'!V116="","",'Model inputs'!V116&lt;=8))="",FALSE,IF(ISERROR('Model inputs'!V116&lt;=8),'Model inputs'!V116&lt;=8,IF('Model inputs'!V116="","",'Model inputs'!V116&lt;=8))),IF('Model inputs'!B111="","",'Model inputs'!B111),IF('Model inputs'!B107="","",'Model inputs'!B107))="",0,IF(IF(IF(ISERROR('Model inputs'!V116&lt;=8),'Model inputs'!V116&lt;=8,IF('Model inputs'!V116="","",'Model inputs'!V116&lt;=8))="",FALSE,IF(ISERROR('Model inputs'!V116&lt;=8),'Model inputs'!V116&lt;=8,IF('Model inputs'!V116="","",'Model inputs'!V116&lt;=8))),IF('Model inputs'!B111="","",'Model inputs'!B111),IF('Model inputs'!B107="","",'Model inputs'!B107))))))</f>
        <v>0</v>
      </c>
      <c r="W129" s="9">
        <f>IF(IF(IF(ISERROR('Model inputs'!W116&lt;1),'Model inputs'!W116&lt;1,IF('Model inputs'!W116="","",'Model inputs'!W116&lt;1))="",FALSE,IF(ISERROR('Model inputs'!W116&lt;1),'Model inputs'!W116&lt;1,IF('Model inputs'!W116="","",'Model inputs'!W116&lt;1))),0,IF(IF(IF(ISERROR('Model inputs'!W116=1),'Model inputs'!W116=1,IF('Model inputs'!W116="","",'Model inputs'!W116=1))="",FALSE,IF(ISERROR('Model inputs'!W116=1),'Model inputs'!W116=1,IF('Model inputs'!W116="","",'Model inputs'!W116=1))),IF('Model inputs'!B121="","",'Model inputs'!B121),'Model inputs'!V129*(1+IF(IF(IF(IF(ISERROR('Model inputs'!W116&lt;=8),'Model inputs'!W116&lt;=8,IF('Model inputs'!W116="","",'Model inputs'!W116&lt;=8))="",FALSE,IF(ISERROR('Model inputs'!W116&lt;=8),'Model inputs'!W116&lt;=8,IF('Model inputs'!W116="","",'Model inputs'!W116&lt;=8))),IF('Model inputs'!B111="","",'Model inputs'!B111),IF('Model inputs'!B107="","",'Model inputs'!B107))="",0,IF(IF(IF(ISERROR('Model inputs'!W116&lt;=8),'Model inputs'!W116&lt;=8,IF('Model inputs'!W116="","",'Model inputs'!W116&lt;=8))="",FALSE,IF(ISERROR('Model inputs'!W116&lt;=8),'Model inputs'!W116&lt;=8,IF('Model inputs'!W116="","",'Model inputs'!W116&lt;=8))),IF('Model inputs'!B111="","",'Model inputs'!B111),IF('Model inputs'!B107="","",'Model inputs'!B107))))))</f>
        <v>0</v>
      </c>
      <c r="X129" s="9">
        <f>IF(IF(IF(ISERROR('Model inputs'!X116&lt;1),'Model inputs'!X116&lt;1,IF('Model inputs'!X116="","",'Model inputs'!X116&lt;1))="",FALSE,IF(ISERROR('Model inputs'!X116&lt;1),'Model inputs'!X116&lt;1,IF('Model inputs'!X116="","",'Model inputs'!X116&lt;1))),0,IF(IF(IF(ISERROR('Model inputs'!X116=1),'Model inputs'!X116=1,IF('Model inputs'!X116="","",'Model inputs'!X116=1))="",FALSE,IF(ISERROR('Model inputs'!X116=1),'Model inputs'!X116=1,IF('Model inputs'!X116="","",'Model inputs'!X116=1))),IF('Model inputs'!B121="","",'Model inputs'!B121),'Model inputs'!W129*(1+IF(IF(IF(IF(ISERROR('Model inputs'!X116&lt;=8),'Model inputs'!X116&lt;=8,IF('Model inputs'!X116="","",'Model inputs'!X116&lt;=8))="",FALSE,IF(ISERROR('Model inputs'!X116&lt;=8),'Model inputs'!X116&lt;=8,IF('Model inputs'!X116="","",'Model inputs'!X116&lt;=8))),IF('Model inputs'!B111="","",'Model inputs'!B111),IF('Model inputs'!B107="","",'Model inputs'!B107))="",0,IF(IF(IF(ISERROR('Model inputs'!X116&lt;=8),'Model inputs'!X116&lt;=8,IF('Model inputs'!X116="","",'Model inputs'!X116&lt;=8))="",FALSE,IF(ISERROR('Model inputs'!X116&lt;=8),'Model inputs'!X116&lt;=8,IF('Model inputs'!X116="","",'Model inputs'!X116&lt;=8))),IF('Model inputs'!B111="","",'Model inputs'!B111),IF('Model inputs'!B107="","",'Model inputs'!B107))))))</f>
        <v>0</v>
      </c>
      <c r="Y129" s="9">
        <f>IF(IF(IF(ISERROR('Model inputs'!Y116&lt;1),'Model inputs'!Y116&lt;1,IF('Model inputs'!Y116="","",'Model inputs'!Y116&lt;1))="",FALSE,IF(ISERROR('Model inputs'!Y116&lt;1),'Model inputs'!Y116&lt;1,IF('Model inputs'!Y116="","",'Model inputs'!Y116&lt;1))),0,IF(IF(IF(ISERROR('Model inputs'!Y116=1),'Model inputs'!Y116=1,IF('Model inputs'!Y116="","",'Model inputs'!Y116=1))="",FALSE,IF(ISERROR('Model inputs'!Y116=1),'Model inputs'!Y116=1,IF('Model inputs'!Y116="","",'Model inputs'!Y116=1))),IF('Model inputs'!B121="","",'Model inputs'!B121),'Model inputs'!X129*(1+IF(IF(IF(IF(ISERROR('Model inputs'!Y116&lt;=8),'Model inputs'!Y116&lt;=8,IF('Model inputs'!Y116="","",'Model inputs'!Y116&lt;=8))="",FALSE,IF(ISERROR('Model inputs'!Y116&lt;=8),'Model inputs'!Y116&lt;=8,IF('Model inputs'!Y116="","",'Model inputs'!Y116&lt;=8))),IF('Model inputs'!B111="","",'Model inputs'!B111),IF('Model inputs'!B107="","",'Model inputs'!B107))="",0,IF(IF(IF(ISERROR('Model inputs'!Y116&lt;=8),'Model inputs'!Y116&lt;=8,IF('Model inputs'!Y116="","",'Model inputs'!Y116&lt;=8))="",FALSE,IF(ISERROR('Model inputs'!Y116&lt;=8),'Model inputs'!Y116&lt;=8,IF('Model inputs'!Y116="","",'Model inputs'!Y116&lt;=8))),IF('Model inputs'!B111="","",'Model inputs'!B111),IF('Model inputs'!B107="","",'Model inputs'!B107))))))</f>
        <v>0</v>
      </c>
      <c r="Z129" s="9">
        <f>IF(IF(IF(ISERROR('Model inputs'!Z116&lt;1),'Model inputs'!Z116&lt;1,IF('Model inputs'!Z116="","",'Model inputs'!Z116&lt;1))="",FALSE,IF(ISERROR('Model inputs'!Z116&lt;1),'Model inputs'!Z116&lt;1,IF('Model inputs'!Z116="","",'Model inputs'!Z116&lt;1))),0,IF(IF(IF(ISERROR('Model inputs'!Z116=1),'Model inputs'!Z116=1,IF('Model inputs'!Z116="","",'Model inputs'!Z116=1))="",FALSE,IF(ISERROR('Model inputs'!Z116=1),'Model inputs'!Z116=1,IF('Model inputs'!Z116="","",'Model inputs'!Z116=1))),IF('Model inputs'!B121="","",'Model inputs'!B121),'Model inputs'!Y129*(1+IF(IF(IF(IF(ISERROR('Model inputs'!Z116&lt;=8),'Model inputs'!Z116&lt;=8,IF('Model inputs'!Z116="","",'Model inputs'!Z116&lt;=8))="",FALSE,IF(ISERROR('Model inputs'!Z116&lt;=8),'Model inputs'!Z116&lt;=8,IF('Model inputs'!Z116="","",'Model inputs'!Z116&lt;=8))),IF('Model inputs'!B111="","",'Model inputs'!B111),IF('Model inputs'!B107="","",'Model inputs'!B107))="",0,IF(IF(IF(ISERROR('Model inputs'!Z116&lt;=8),'Model inputs'!Z116&lt;=8,IF('Model inputs'!Z116="","",'Model inputs'!Z116&lt;=8))="",FALSE,IF(ISERROR('Model inputs'!Z116&lt;=8),'Model inputs'!Z116&lt;=8,IF('Model inputs'!Z116="","",'Model inputs'!Z116&lt;=8))),IF('Model inputs'!B111="","",'Model inputs'!B111),IF('Model inputs'!B107="","",'Model inputs'!B107))))))</f>
        <v>0</v>
      </c>
      <c r="AA129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inputs'!AA116&lt;1))),0,IF(IF(IF(ISERROR('Model inputs'!AA116=1),'Model inputs'!AA116=1,IF('Model inputs'!AA116="","",'Model inputs'!AA116=1))="",FALSE,IF(ISERROR('Model inputs'!AA116=1),'Model inputs'!AA116=1,IF('Model inputs'!AA116="","",'Model inputs'!AA116=1))),IF('Model inputs'!B121="","",'Model inputs'!B121),'Model inputs'!Z129*(1+IF(IF(IF(IF(ISERROR('Model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inputs'!B111="","",'Model inputs'!B111),IF('Model inputs'!B107="","",'Model inputs'!B107))="",0,IF(IF(IF(ISERROR('Model inputs'!AA116&lt;=8),'Model inputs'!AA116&lt;=8,IF('Model inputs'!AA116="","",'Model inputs'!AA116&lt;=8))="",FALSE,IF(ISERROR('Model inputs'!AA116&lt;=8),'Model inputs'!AA116&lt;=8,IF('Model inputs'!AA116="","",'Model inputs'!AA116&lt;=8))),IF('Model inputs'!B111="","",'Model inputs'!B111),IF('Model inputs'!B107="","",'Model inputs'!B107))))))</f>
        <v>0</v>
      </c>
      <c r="AB129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inputs'!AB116&lt;1))),0,IF(IF(IF(ISERROR('Model inputs'!AB116=1),'Model inputs'!AB116=1,IF('Model inputs'!AB116="","",'Model inputs'!AB116=1))="",FALSE,IF(ISERROR('Model inputs'!AB116=1),'Model inputs'!AB116=1,IF('Model inputs'!AB116="","",'Model inputs'!AB116=1))),IF('Model inputs'!B121="","",'Model inputs'!B121),'Model inputs'!AA129*(1+IF(IF(IF(IF(ISERROR('Model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inputs'!B111="","",'Model inputs'!B111),IF('Model inputs'!B107="","",'Model inputs'!B107))="",0,IF(IF(IF(ISERROR('Model inputs'!AB116&lt;=8),'Model inputs'!AB116&lt;=8,IF('Model inputs'!AB116="","",'Model inputs'!AB116&lt;=8))="",FALSE,IF(ISERROR('Model inputs'!AB116&lt;=8),'Model inputs'!AB116&lt;=8,IF('Model inputs'!AB116="","",'Model inputs'!AB116&lt;=8))),IF('Model inputs'!B111="","",'Model inputs'!B111),IF('Model inputs'!B107="","",'Model inputs'!B107))))))</f>
        <v>0</v>
      </c>
      <c r="AC129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inputs'!AC116&lt;1))),0,IF(IF(IF(ISERROR('Model inputs'!AC116=1),'Model inputs'!AC116=1,IF('Model inputs'!AC116="","",'Model inputs'!AC116=1))="",FALSE,IF(ISERROR('Model inputs'!AC116=1),'Model inputs'!AC116=1,IF('Model inputs'!AC116="","",'Model inputs'!AC116=1))),IF('Model inputs'!B121="","",'Model inputs'!B121),'Model inputs'!AB129*(1+IF(IF(IF(IF(ISERROR('Model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inputs'!B111="","",'Model inputs'!B111),IF('Model inputs'!B107="","",'Model inputs'!B107))="",0,IF(IF(IF(ISERROR('Model inputs'!AC116&lt;=8),'Model inputs'!AC116&lt;=8,IF('Model inputs'!AC116="","",'Model inputs'!AC116&lt;=8))="",FALSE,IF(ISERROR('Model inputs'!AC116&lt;=8),'Model inputs'!AC116&lt;=8,IF('Model inputs'!AC116="","",'Model inputs'!AC116&lt;=8))),IF('Model inputs'!B111="","",'Model inputs'!B111),IF('Model inputs'!B107="","",'Model inputs'!B107))))))</f>
        <v>0</v>
      </c>
      <c r="AD129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inputs'!AD116&lt;1))),0,IF(IF(IF(ISERROR('Model inputs'!AD116=1),'Model inputs'!AD116=1,IF('Model inputs'!AD116="","",'Model inputs'!AD116=1))="",FALSE,IF(ISERROR('Model inputs'!AD116=1),'Model inputs'!AD116=1,IF('Model inputs'!AD116="","",'Model inputs'!AD116=1))),IF('Model inputs'!B121="","",'Model inputs'!B121),'Model inputs'!AC129*(1+IF(IF(IF(IF(ISERROR('Model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inputs'!B111="","",'Model inputs'!B111),IF('Model inputs'!B107="","",'Model inputs'!B107))="",0,IF(IF(IF(ISERROR('Model inputs'!AD116&lt;=8),'Model inputs'!AD116&lt;=8,IF('Model inputs'!AD116="","",'Model inputs'!AD116&lt;=8))="",FALSE,IF(ISERROR('Model inputs'!AD116&lt;=8),'Model inputs'!AD116&lt;=8,IF('Model inputs'!AD116="","",'Model inputs'!AD116&lt;=8))),IF('Model inputs'!B111="","",'Model inputs'!B111),IF('Model inputs'!B107="","",'Model inputs'!B107))))))</f>
        <v>0</v>
      </c>
      <c r="AE129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inputs'!AE116&lt;1))),0,IF(IF(IF(ISERROR('Model inputs'!AE116=1),'Model inputs'!AE116=1,IF('Model inputs'!AE116="","",'Model inputs'!AE116=1))="",FALSE,IF(ISERROR('Model inputs'!AE116=1),'Model inputs'!AE116=1,IF('Model inputs'!AE116="","",'Model inputs'!AE116=1))),IF('Model inputs'!B121="","",'Model inputs'!B121),'Model inputs'!AD129*(1+IF(IF(IF(IF(ISERROR('Model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inputs'!B111="","",'Model inputs'!B111),IF('Model inputs'!B107="","",'Model inputs'!B107))="",0,IF(IF(IF(ISERROR('Model inputs'!AE116&lt;=8),'Model inputs'!AE116&lt;=8,IF('Model inputs'!AE116="","",'Model inputs'!AE116&lt;=8))="",FALSE,IF(ISERROR('Model inputs'!AE116&lt;=8),'Model inputs'!AE116&lt;=8,IF('Model inputs'!AE116="","",'Model inputs'!AE116&lt;=8))),IF('Model inputs'!B111="","",'Model inputs'!B111),IF('Model inputs'!B107="","",'Model inputs'!B107))))))</f>
        <v>0</v>
      </c>
      <c r="AF129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inputs'!AF116&lt;1))),0,IF(IF(IF(ISERROR('Model inputs'!AF116=1),'Model inputs'!AF116=1,IF('Model inputs'!AF116="","",'Model inputs'!AF116=1))="",FALSE,IF(ISERROR('Model inputs'!AF116=1),'Model inputs'!AF116=1,IF('Model inputs'!AF116="","",'Model inputs'!AF116=1))),IF('Model inputs'!B121="","",'Model inputs'!B121),'Model inputs'!AE129*(1+IF(IF(IF(IF(ISERROR('Model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inputs'!B111="","",'Model inputs'!B111),IF('Model inputs'!B107="","",'Model inputs'!B107))="",0,IF(IF(IF(ISERROR('Model inputs'!AF116&lt;=8),'Model inputs'!AF116&lt;=8,IF('Model inputs'!AF116="","",'Model inputs'!AF116&lt;=8))="",FALSE,IF(ISERROR('Model inputs'!AF116&lt;=8),'Model inputs'!AF116&lt;=8,IF('Model inputs'!AF116="","",'Model inputs'!AF116&lt;=8))),IF('Model inputs'!B111="","",'Model inputs'!B111),IF('Model inputs'!B107="","",'Model inputs'!B107))))))</f>
        <v>0</v>
      </c>
      <c r="AG129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inputs'!AG116&lt;1))),0,IF(IF(IF(ISERROR('Model inputs'!AG116=1),'Model inputs'!AG116=1,IF('Model inputs'!AG116="","",'Model inputs'!AG116=1))="",FALSE,IF(ISERROR('Model inputs'!AG116=1),'Model inputs'!AG116=1,IF('Model inputs'!AG116="","",'Model inputs'!AG116=1))),IF('Model inputs'!B121="","",'Model inputs'!B121),'Model inputs'!AF129*(1+IF(IF(IF(IF(ISERROR('Model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inputs'!B111="","",'Model inputs'!B111),IF('Model inputs'!B107="","",'Model inputs'!B107))="",0,IF(IF(IF(ISERROR('Model inputs'!AG116&lt;=8),'Model inputs'!AG116&lt;=8,IF('Model inputs'!AG116="","",'Model inputs'!AG116&lt;=8))="",FALSE,IF(ISERROR('Model inputs'!AG116&lt;=8),'Model inputs'!AG116&lt;=8,IF('Model inputs'!AG116="","",'Model inputs'!AG116&lt;=8))),IF('Model inputs'!B111="","",'Model inputs'!B111),IF('Model inputs'!B107="","",'Model inputs'!B107))))))</f>
        <v>0</v>
      </c>
    </row>
    <row r="130">
      <c r="A130" t="inlineStr" s="20">
        <is>
          <t xml:space="preserve">Overage kits per customer</t>
        </is>
      </c>
      <c r="B130" s="7">
        <v>0</v>
      </c>
    </row>
    <row r="131" outlineLevel="1">
      <c r="A131" t="inlineStr" s="21">
        <is>
          <t xml:space="preserve">Overage kits per customer &gt; Indie</t>
        </is>
      </c>
      <c r="B131" s="9">
        <f>0.5</f>
        <v>0.5</v>
      </c>
    </row>
    <row r="132" outlineLevel="1">
      <c r="A132" t="inlineStr" s="21">
        <is>
          <t xml:space="preserve">Overage kits per customer &gt; Launch</t>
        </is>
      </c>
      <c r="B132" s="9">
        <f>6</f>
        <v>6</v>
      </c>
    </row>
    <row r="133" outlineLevel="1">
      <c r="A133" t="inlineStr" s="21">
        <is>
          <t xml:space="preserve">Overage kits per customer &gt; Team</t>
        </is>
      </c>
      <c r="B133" s="9">
        <f>2</f>
        <v>2</v>
      </c>
    </row>
    <row r="134">
      <c r="A134" t="inlineStr" s="20">
        <is>
          <t xml:space="preserve">Overage revenue</t>
        </is>
      </c>
      <c r="C134" s="15">
        <f>SUM('Model inputs'!C135,'Model inputs'!C136,'Model inputs'!C137)</f>
        <v>95</v>
      </c>
      <c r="D134" s="15">
        <f>SUM('Model inputs'!D135,'Model inputs'!D136,'Model inputs'!D137)</f>
        <v>160.875</v>
      </c>
      <c r="E134" s="15">
        <f>SUM('Model inputs'!E135,'Model inputs'!E136,'Model inputs'!E137)</f>
        <v>213.58690277777777</v>
      </c>
      <c r="F134" s="15">
        <f>SUM('Model inputs'!F135,'Model inputs'!F136,'Model inputs'!F137)</f>
        <v>269.05303983796296</v>
      </c>
      <c r="G134" s="15">
        <f>SUM('Model inputs'!G135,'Model inputs'!G136,'Model inputs'!G137)</f>
        <v>327.5795949349537</v>
      </c>
      <c r="H134" s="15">
        <f>SUM('Model inputs'!H135,'Model inputs'!H136,'Model inputs'!H137)</f>
        <v>389.4971314852568</v>
      </c>
      <c r="I134" s="15">
        <f>SUM('Model inputs'!I135,'Model inputs'!I136,'Model inputs'!I137)</f>
        <v>455.1629821154749</v>
      </c>
      <c r="J134" s="15">
        <f>SUM('Model inputs'!J135,'Model inputs'!J136,'Model inputs'!J137)</f>
        <v>524.9638461310163</v>
      </c>
      <c r="K134" s="15">
        <f>SUM('Model inputs'!K135,'Model inputs'!K136,'Model inputs'!K137)</f>
        <v>599.3186149500129</v>
      </c>
      <c r="L134" s="15">
        <f>SUM('Model inputs'!L135,'Model inputs'!L136,'Model inputs'!L137)</f>
        <v>674.7853216521627</v>
      </c>
      <c r="M134" s="15">
        <f>SUM('Model inputs'!M135,'Model inputs'!M136,'Model inputs'!M137)</f>
        <v>751.4778206320123</v>
      </c>
      <c r="N134" s="15">
        <f>SUM('Model inputs'!N135,'Model inputs'!N136,'Model inputs'!N137)</f>
        <v>829.5110364230375</v>
      </c>
      <c r="O134" s="15">
        <f>SUM('Model inputs'!O135,'Model inputs'!O136,'Model inputs'!O137)</f>
        <v>909.001210740131</v>
      </c>
      <c r="P134" s="15">
        <f>SUM('Model inputs'!P135,'Model inputs'!P136,'Model inputs'!P137)</f>
        <v>990.0661465814385</v>
      </c>
      <c r="Q134" s="15">
        <f>SUM('Model inputs'!Q135,'Model inputs'!Q136,'Model inputs'!Q137)</f>
        <v>1072.82545010209</v>
      </c>
      <c r="R134" s="15">
        <f>SUM('Model inputs'!R135,'Model inputs'!R136,'Model inputs'!R137)</f>
        <v>1157.400770946348</v>
      </c>
      <c r="S134" s="15">
        <f>SUM('Model inputs'!S135,'Model inputs'!S136,'Model inputs'!S137)</f>
        <v>1243.916041701213</v>
      </c>
      <c r="T134" s="15">
        <f>SUM('Model inputs'!T135,'Model inputs'!T136,'Model inputs'!T137)</f>
        <v>1332.497717113488</v>
      </c>
      <c r="U134" s="15">
        <f>SUM('Model inputs'!U135,'Model inputs'!U136,'Model inputs'!U137)</f>
        <v>0</v>
      </c>
      <c r="V134" s="15">
        <f>SUM('Model inputs'!V135,'Model inputs'!V136,'Model inputs'!V137)</f>
        <v>0</v>
      </c>
      <c r="W134" s="15">
        <f>SUM('Model inputs'!W135,'Model inputs'!W136,'Model inputs'!W137)</f>
        <v>0</v>
      </c>
      <c r="X134" s="15">
        <f>SUM('Model inputs'!X135,'Model inputs'!X136,'Model inputs'!X137)</f>
        <v>0</v>
      </c>
      <c r="Y134" s="15">
        <f>SUM('Model inputs'!Y135,'Model inputs'!Y136,'Model inputs'!Y137)</f>
        <v>0</v>
      </c>
      <c r="Z134" s="15">
        <f>SUM('Model inputs'!Z135,'Model inputs'!Z136,'Model inputs'!Z137)</f>
        <v>0</v>
      </c>
      <c r="AA134" s="15">
        <f>SUM('Model inputs'!AA135,'Model inputs'!AA136,'Model inputs'!AA137)</f>
        <v>0</v>
      </c>
      <c r="AB134" s="15">
        <f>SUM('Model inputs'!AB135,'Model inputs'!AB136,'Model inputs'!AB137)</f>
        <v>0</v>
      </c>
      <c r="AC134" s="15">
        <f>SUM('Model inputs'!AC135,'Model inputs'!AC136,'Model inputs'!AC137)</f>
        <v>0</v>
      </c>
      <c r="AD134" s="15">
        <f>SUM('Model inputs'!AD135,'Model inputs'!AD136,'Model inputs'!AD137)</f>
        <v>0</v>
      </c>
      <c r="AE134" s="15">
        <f>SUM('Model inputs'!AE135,'Model inputs'!AE136,'Model inputs'!AE137)</f>
        <v>0</v>
      </c>
      <c r="AF134" s="15">
        <f>SUM('Model inputs'!AF135,'Model inputs'!AF136,'Model inputs'!AF137)</f>
        <v>0</v>
      </c>
      <c r="AG134" s="15">
        <f>SUM('Model inputs'!AG135,'Model inputs'!AG136,'Model inputs'!AG137)</f>
        <v>0</v>
      </c>
    </row>
    <row r="135" outlineLevel="1">
      <c r="A135" t="inlineStr" s="21">
        <is>
          <t xml:space="preserve">Overage revenue &gt; Indie</t>
        </is>
      </c>
      <c r="C135" s="16">
        <f>'Model inputs'!C72*'Model inputs'!B131*'Model inputs'!B198</f>
        <v>50</v>
      </c>
      <c r="D135" s="16">
        <f>'Model inputs'!D72*'Model inputs'!B131*'Model inputs'!B198</f>
        <v>92.91666666666666</v>
      </c>
      <c r="E135" s="16">
        <f>'Model inputs'!E72*'Model inputs'!B131*'Model inputs'!B198</f>
        <v>120.47222222222223</v>
      </c>
      <c r="F135" s="16">
        <f>'Model inputs'!F72*'Model inputs'!B131*'Model inputs'!B198</f>
        <v>148.89074074074077</v>
      </c>
      <c r="G135" s="16">
        <f>'Model inputs'!G72*'Model inputs'!B131*'Model inputs'!B198</f>
        <v>178.33069135802472</v>
      </c>
      <c r="H135" s="16">
        <f>'Model inputs'!H72*'Model inputs'!B131*'Model inputs'!B198</f>
        <v>208.95725860082308</v>
      </c>
      <c r="I135" s="16">
        <f>'Model inputs'!I72*'Model inputs'!B131*'Model inputs'!B198</f>
        <v>240.94327709410155</v>
      </c>
      <c r="J135" s="16">
        <f>'Model inputs'!J72*'Model inputs'!B131*'Model inputs'!B198</f>
        <v>274.4702145464948</v>
      </c>
      <c r="K135" s="16">
        <f>'Model inputs'!K72*'Model inputs'!B131*'Model inputs'!B198</f>
        <v>309.72920864275517</v>
      </c>
      <c r="L135" s="16">
        <f>'Model inputs'!L72*'Model inputs'!B131*'Model inputs'!B198</f>
        <v>344.7798834685726</v>
      </c>
      <c r="M135" s="16">
        <f>'Model inputs'!M72*'Model inputs'!B131*'Model inputs'!B198</f>
        <v>379.72181818874895</v>
      </c>
      <c r="N135" s="16">
        <f>'Model inputs'!N72*'Model inputs'!B131*'Model inputs'!B198</f>
        <v>414.6513810056368</v>
      </c>
      <c r="O135" s="16">
        <f>'Model inputs'!O72*'Model inputs'!B131*'Model inputs'!B198</f>
        <v>449.6620803292442</v>
      </c>
      <c r="P135" s="16">
        <f>'Model inputs'!P72*'Model inputs'!B131*'Model inputs'!B198</f>
        <v>484.84489802023717</v>
      </c>
      <c r="Q135" s="16">
        <f>'Model inputs'!Q72*'Model inputs'!B131*'Model inputs'!B198</f>
        <v>520.2886061203483</v>
      </c>
      <c r="R135" s="16">
        <f>'Model inputs'!R72*'Model inputs'!B131*'Model inputs'!B198</f>
        <v>556.0800683991771</v>
      </c>
      <c r="S135" s="16">
        <f>'Model inputs'!S72*'Model inputs'!B131*'Model inputs'!B198</f>
        <v>592.3045279668916</v>
      </c>
      <c r="T135" s="16">
        <f>'Model inputs'!T72*'Model inputs'!B131*'Model inputs'!B198</f>
        <v>629.0458821285312</v>
      </c>
      <c r="U135" s="16">
        <f>'Model inputs'!U90*'Model inputs'!B131*'Model inputs'!B198</f>
        <v>0</v>
      </c>
      <c r="V135" s="16">
        <f>'Model inputs'!V90*'Model inputs'!B131*'Model inputs'!B198</f>
        <v>0</v>
      </c>
      <c r="W135" s="16">
        <f>'Model inputs'!W90*'Model inputs'!B131*'Model inputs'!B198</f>
        <v>0</v>
      </c>
      <c r="X135" s="16">
        <f>'Model inputs'!X90*'Model inputs'!B131*'Model inputs'!B198</f>
        <v>0</v>
      </c>
      <c r="Y135" s="16">
        <f>'Model inputs'!Y90*'Model inputs'!B131*'Model inputs'!B198</f>
        <v>0</v>
      </c>
      <c r="Z135" s="16">
        <f>'Model inputs'!Z90*'Model inputs'!B131*'Model inputs'!B198</f>
        <v>0</v>
      </c>
      <c r="AA135" s="16">
        <f>'Model inputs'!AA90*'Model inputs'!B131*'Model inputs'!B198</f>
        <v>0</v>
      </c>
      <c r="AB135" s="16">
        <f>'Model inputs'!AB90*'Model inputs'!B131*'Model inputs'!B198</f>
        <v>0</v>
      </c>
      <c r="AC135" s="16">
        <f>'Model inputs'!AC90*'Model inputs'!B131*'Model inputs'!B198</f>
        <v>0</v>
      </c>
      <c r="AD135" s="16">
        <f>'Model inputs'!AD90*'Model inputs'!B131*'Model inputs'!B198</f>
        <v>0</v>
      </c>
      <c r="AE135" s="16">
        <f>'Model inputs'!AE90*'Model inputs'!B131*'Model inputs'!B198</f>
        <v>0</v>
      </c>
      <c r="AF135" s="16">
        <f>'Model inputs'!AF90*'Model inputs'!B131*'Model inputs'!B198</f>
        <v>0</v>
      </c>
      <c r="AG135" s="16">
        <f>'Model inputs'!AG90*'Model inputs'!B131*'Model inputs'!B198</f>
        <v>0</v>
      </c>
    </row>
    <row r="136" outlineLevel="1">
      <c r="A136" t="inlineStr" s="21">
        <is>
          <t xml:space="preserve">Overage revenue &gt; Launch</t>
        </is>
      </c>
      <c r="C136" s="16">
        <f>'Model inputs'!C73*'Model inputs'!B132*'Model inputs'!B198</f>
        <v>15</v>
      </c>
      <c r="D136" s="16">
        <f>'Model inputs'!D73*'Model inputs'!B132*'Model inputs'!B198</f>
        <v>22.650000000000002</v>
      </c>
      <c r="E136" s="16">
        <f>'Model inputs'!E73*'Model inputs'!B132*'Model inputs'!B198</f>
        <v>30.376604166666663</v>
      </c>
      <c r="F136" s="16">
        <f>'Model inputs'!F73*'Model inputs'!B132*'Model inputs'!B198</f>
        <v>38.205181059027765</v>
      </c>
      <c r="G136" s="16">
        <f>'Model inputs'!G73*'Model inputs'!B132*'Model inputs'!B198</f>
        <v>46.156567318619786</v>
      </c>
      <c r="H136" s="16">
        <f>'Model inputs'!H73*'Model inputs'!B132*'Model inputs'!B198</f>
        <v>54.25287301206935</v>
      </c>
      <c r="I136" s="16">
        <f>'Model inputs'!I73*'Model inputs'!B132*'Model inputs'!B198</f>
        <v>62.51766741529286</v>
      </c>
      <c r="J136" s="16">
        <f>'Model inputs'!J73*'Model inputs'!B132*'Model inputs'!B198</f>
        <v>70.97617787413947</v>
      </c>
      <c r="K136" s="16">
        <f>'Model inputs'!K73*'Model inputs'!B132*'Model inputs'!B198</f>
        <v>79.65550337740716</v>
      </c>
      <c r="L136" s="16">
        <f>'Model inputs'!L73*'Model inputs'!B132*'Model inputs'!B198</f>
        <v>88.58484461336917</v>
      </c>
      <c r="M136" s="16">
        <f>'Model inputs'!M73*'Model inputs'!B132*'Model inputs'!B198</f>
        <v>97.7738293637964</v>
      </c>
      <c r="N136" s="16">
        <f>'Model inputs'!N73*'Model inputs'!B132*'Model inputs'!B198</f>
        <v>107.23199908683281</v>
      </c>
      <c r="O136" s="16">
        <f>'Model inputs'!O73*'Model inputs'!B132*'Model inputs'!B198</f>
        <v>116.96886480466242</v>
      </c>
      <c r="P136" s="16">
        <f>'Model inputs'!P73*'Model inputs'!B132*'Model inputs'!B198</f>
        <v>126.99396015267028</v>
      </c>
      <c r="Q136" s="16">
        <f>'Model inputs'!Q73*'Model inputs'!B132*'Model inputs'!B198</f>
        <v>137.31689185548686</v>
      </c>
      <c r="R136" s="16">
        <f>'Model inputs'!R73*'Model inputs'!B132*'Model inputs'!B198</f>
        <v>147.94738787923274</v>
      </c>
      <c r="S136" s="16">
        <f>'Model inputs'!S73*'Model inputs'!B132*'Model inputs'!B198</f>
        <v>158.89534349439347</v>
      </c>
      <c r="T136" s="16">
        <f>'Model inputs'!T73*'Model inputs'!B132*'Model inputs'!B198</f>
        <v>170.17086546997666</v>
      </c>
      <c r="U136" s="16">
        <f>'Model inputs'!U91*'Model inputs'!B132*'Model inputs'!B198</f>
        <v>0</v>
      </c>
      <c r="V136" s="16">
        <f>'Model inputs'!V91*'Model inputs'!B132*'Model inputs'!B198</f>
        <v>0</v>
      </c>
      <c r="W136" s="16">
        <f>'Model inputs'!W91*'Model inputs'!B132*'Model inputs'!B198</f>
        <v>0</v>
      </c>
      <c r="X136" s="16">
        <f>'Model inputs'!X91*'Model inputs'!B132*'Model inputs'!B198</f>
        <v>0</v>
      </c>
      <c r="Y136" s="16">
        <f>'Model inputs'!Y91*'Model inputs'!B132*'Model inputs'!B198</f>
        <v>0</v>
      </c>
      <c r="Z136" s="16">
        <f>'Model inputs'!Z91*'Model inputs'!B132*'Model inputs'!B198</f>
        <v>0</v>
      </c>
      <c r="AA136" s="16">
        <f>'Model inputs'!AA91*'Model inputs'!B132*'Model inputs'!B198</f>
        <v>0</v>
      </c>
      <c r="AB136" s="16">
        <f>'Model inputs'!AB91*'Model inputs'!B132*'Model inputs'!B198</f>
        <v>0</v>
      </c>
      <c r="AC136" s="16">
        <f>'Model inputs'!AC91*'Model inputs'!B132*'Model inputs'!B198</f>
        <v>0</v>
      </c>
      <c r="AD136" s="16">
        <f>'Model inputs'!AD91*'Model inputs'!B132*'Model inputs'!B198</f>
        <v>0</v>
      </c>
      <c r="AE136" s="16">
        <f>'Model inputs'!AE91*'Model inputs'!B132*'Model inputs'!B198</f>
        <v>0</v>
      </c>
      <c r="AF136" s="16">
        <f>'Model inputs'!AF91*'Model inputs'!B132*'Model inputs'!B198</f>
        <v>0</v>
      </c>
      <c r="AG136" s="16">
        <f>'Model inputs'!AG91*'Model inputs'!B132*'Model inputs'!B198</f>
        <v>0</v>
      </c>
    </row>
    <row r="137" outlineLevel="1">
      <c r="A137" t="inlineStr" s="21">
        <is>
          <t xml:space="preserve">Overage revenue &gt; Team</t>
        </is>
      </c>
      <c r="C137" s="16">
        <f>'Model inputs'!C74*'Model inputs'!B133*'Model inputs'!B198</f>
        <v>30</v>
      </c>
      <c r="D137" s="16">
        <f>'Model inputs'!D74*'Model inputs'!B133*'Model inputs'!B198</f>
        <v>45.30833333333334</v>
      </c>
      <c r="E137" s="16">
        <f>'Model inputs'!E74*'Model inputs'!B133*'Model inputs'!B198</f>
        <v>62.73807638888889</v>
      </c>
      <c r="F137" s="16">
        <f>'Model inputs'!F74*'Model inputs'!B133*'Model inputs'!B198</f>
        <v>81.95711803819444</v>
      </c>
      <c r="G137" s="16">
        <f>'Model inputs'!G74*'Model inputs'!B133*'Model inputs'!B198</f>
        <v>103.09233625830922</v>
      </c>
      <c r="H137" s="16">
        <f>'Model inputs'!H74*'Model inputs'!B133*'Model inputs'!B198</f>
        <v>126.28699987236432</v>
      </c>
      <c r="I137" s="16">
        <f>'Model inputs'!I74*'Model inputs'!B133*'Model inputs'!B198</f>
        <v>151.7020376060805</v>
      </c>
      <c r="J137" s="16">
        <f>'Model inputs'!J74*'Model inputs'!B133*'Model inputs'!B198</f>
        <v>179.5174537103821</v>
      </c>
      <c r="K137" s="16">
        <f>'Model inputs'!K74*'Model inputs'!B133*'Model inputs'!B198</f>
        <v>209.93390292985057</v>
      </c>
      <c r="L137" s="16">
        <f>'Model inputs'!L74*'Model inputs'!B133*'Model inputs'!B198</f>
        <v>241.4205935702209</v>
      </c>
      <c r="M137" s="16">
        <f>'Model inputs'!M74*'Model inputs'!B133*'Model inputs'!B198</f>
        <v>273.982173079467</v>
      </c>
      <c r="N137" s="16">
        <f>'Model inputs'!N74*'Model inputs'!B133*'Model inputs'!B198</f>
        <v>307.62765633056785</v>
      </c>
      <c r="O137" s="16">
        <f>'Model inputs'!O74*'Model inputs'!B133*'Model inputs'!B198</f>
        <v>342.37026560622445</v>
      </c>
      <c r="P137" s="16">
        <f>'Model inputs'!P74*'Model inputs'!B133*'Model inputs'!B198</f>
        <v>378.22728840853097</v>
      </c>
      <c r="Q137" s="16">
        <f>'Model inputs'!Q74*'Model inputs'!B133*'Model inputs'!B198</f>
        <v>415.2199521262547</v>
      </c>
      <c r="R137" s="16">
        <f>'Model inputs'!R74*'Model inputs'!B133*'Model inputs'!B198</f>
        <v>453.3733146679382</v>
      </c>
      <c r="S137" s="16">
        <f>'Model inputs'!S74*'Model inputs'!B133*'Model inputs'!B198</f>
        <v>492.7161702399279</v>
      </c>
      <c r="T137" s="16">
        <f>'Model inputs'!T74*'Model inputs'!B133*'Model inputs'!B198</f>
        <v>533.2809695149803</v>
      </c>
      <c r="U137" s="16">
        <f>'Model inputs'!U92*'Model inputs'!B133*'Model inputs'!B198</f>
        <v>0</v>
      </c>
      <c r="V137" s="16">
        <f>'Model inputs'!V92*'Model inputs'!B133*'Model inputs'!B198</f>
        <v>0</v>
      </c>
      <c r="W137" s="16">
        <f>'Model inputs'!W92*'Model inputs'!B133*'Model inputs'!B198</f>
        <v>0</v>
      </c>
      <c r="X137" s="16">
        <f>'Model inputs'!X92*'Model inputs'!B133*'Model inputs'!B198</f>
        <v>0</v>
      </c>
      <c r="Y137" s="16">
        <f>'Model inputs'!Y92*'Model inputs'!B133*'Model inputs'!B198</f>
        <v>0</v>
      </c>
      <c r="Z137" s="16">
        <f>'Model inputs'!Z92*'Model inputs'!B133*'Model inputs'!B198</f>
        <v>0</v>
      </c>
      <c r="AA137" s="16">
        <f>'Model inputs'!AA92*'Model inputs'!B133*'Model inputs'!B198</f>
        <v>0</v>
      </c>
      <c r="AB137" s="16">
        <f>'Model inputs'!AB92*'Model inputs'!B133*'Model inputs'!B198</f>
        <v>0</v>
      </c>
      <c r="AC137" s="16">
        <f>'Model inputs'!AC92*'Model inputs'!B133*'Model inputs'!B198</f>
        <v>0</v>
      </c>
      <c r="AD137" s="16">
        <f>'Model inputs'!AD92*'Model inputs'!B133*'Model inputs'!B198</f>
        <v>0</v>
      </c>
      <c r="AE137" s="16">
        <f>'Model inputs'!AE92*'Model inputs'!B133*'Model inputs'!B198</f>
        <v>0</v>
      </c>
      <c r="AF137" s="16">
        <f>'Model inputs'!AF92*'Model inputs'!B133*'Model inputs'!B198</f>
        <v>0</v>
      </c>
      <c r="AG137" s="16">
        <f>'Model inputs'!AG92*'Model inputs'!B133*'Model inputs'!B198</f>
        <v>0</v>
      </c>
    </row>
    <row r="138">
      <c r="A138" t="inlineStr" s="20">
        <is>
          <t xml:space="preserve">Render CPU per kit · Loaded COGS per kit</t>
        </is>
      </c>
      <c r="B138" s="11">
        <f>0.04</f>
        <v>0.04</v>
      </c>
    </row>
    <row r="139">
      <c r="A139" t="inlineStr" s="20">
        <is>
          <t xml:space="preserve">Starting customers</t>
        </is>
      </c>
      <c r="B139" s="23">
        <v>0</v>
      </c>
    </row>
    <row r="140" outlineLevel="1">
      <c r="A140" t="inlineStr" s="21">
        <is>
          <t xml:space="preserve">Starting customers &gt; Indie</t>
        </is>
      </c>
      <c r="B140" s="22">
        <f>40</f>
        <v>40</v>
      </c>
    </row>
    <row r="141" outlineLevel="1">
      <c r="A141" t="inlineStr" s="21">
        <is>
          <t xml:space="preserve">Starting customers &gt; Launch</t>
        </is>
      </c>
      <c r="B141" s="22">
        <f>1</f>
        <v>1</v>
      </c>
    </row>
    <row r="142" outlineLevel="1">
      <c r="A142" t="inlineStr" s="21">
        <is>
          <t xml:space="preserve">Starting customers &gt; Team</t>
        </is>
      </c>
      <c r="B142" s="22">
        <f>6</f>
        <v>6</v>
      </c>
    </row>
    <row r="143">
      <c r="A143" t="inlineStr" s="20">
        <is>
          <t xml:space="preserve">Subscription revenue</t>
        </is>
      </c>
      <c r="C143" s="15">
        <f>SUM('Model inputs'!C144,'Model inputs'!C145,'Model inputs'!C146)</f>
        <v>2553</v>
      </c>
      <c r="D143" s="15">
        <f>SUM('Model inputs'!D144,'Model inputs'!D145,'Model inputs'!D146)</f>
        <v>4238.892571759259</v>
      </c>
      <c r="E143" s="15">
        <f>SUM('Model inputs'!E144,'Model inputs'!E145,'Model inputs'!E146)</f>
        <v>5619.07620474537</v>
      </c>
      <c r="F143" s="15">
        <f>SUM('Model inputs'!F144,'Model inputs'!F145,'Model inputs'!F146)</f>
        <v>7059.242292681289</v>
      </c>
      <c r="G143" s="15">
        <f>SUM('Model inputs'!G144,'Model inputs'!G145,'Model inputs'!G146)</f>
        <v>8565.713314360173</v>
      </c>
      <c r="H143" s="15">
        <f>SUM('Model inputs'!H144,'Model inputs'!H145,'Model inputs'!H146)</f>
        <v>10145.298558292714</v>
      </c>
      <c r="I143" s="15">
        <f>SUM('Model inputs'!I144,'Model inputs'!I145,'Model inputs'!I146)</f>
        <v>11805.331436398072</v>
      </c>
      <c r="J143" s="15">
        <f>SUM('Model inputs'!J144,'Model inputs'!J145,'Model inputs'!J146)</f>
        <v>13628.675558675464</v>
      </c>
      <c r="K143" s="15">
        <f>SUM('Model inputs'!K144,'Model inputs'!K145,'Model inputs'!K146)</f>
        <v>15572.109995973886</v>
      </c>
      <c r="L143" s="15">
        <f>SUM('Model inputs'!L144,'Model inputs'!L145,'Model inputs'!L146)</f>
        <v>17548.576204826146</v>
      </c>
      <c r="M143" s="15">
        <f>SUM('Model inputs'!M144,'Model inputs'!M145,'Model inputs'!M146)</f>
        <v>19560.816437953057</v>
      </c>
      <c r="N143" s="15">
        <f>SUM('Model inputs'!N144,'Model inputs'!N145,'Model inputs'!N146)</f>
        <v>21611.61830678775</v>
      </c>
      <c r="O143" s="15">
        <f>SUM('Model inputs'!O144,'Model inputs'!O145,'Model inputs'!O146)</f>
        <v>23703.820189069855</v>
      </c>
      <c r="P143" s="15">
        <f>SUM('Model inputs'!P144,'Model inputs'!P145,'Model inputs'!P146)</f>
        <v>25840.31663180946</v>
      </c>
      <c r="Q143" s="15">
        <f>SUM('Model inputs'!Q144,'Model inputs'!Q145,'Model inputs'!Q146)</f>
        <v>28024.063763605744</v>
      </c>
      <c r="R143" s="15">
        <f>SUM('Model inputs'!R144,'Model inputs'!R145,'Model inputs'!R146)</f>
        <v>30258.08472993787</v>
      </c>
      <c r="S143" s="15">
        <f>SUM('Model inputs'!S144,'Model inputs'!S145,'Model inputs'!S146)</f>
        <v>32545.475164724863</v>
      </c>
      <c r="T143" s="15">
        <f>SUM('Model inputs'!T144,'Model inputs'!T145,'Model inputs'!T146)</f>
        <v>34889.40871117456</v>
      </c>
    </row>
    <row r="144" outlineLevel="1">
      <c r="A144" t="inlineStr" s="21">
        <is>
          <t xml:space="preserve">Subscription revenue &gt; Indie</t>
        </is>
      </c>
      <c r="C144" s="16">
        <f>'Model inputs'!C187*'Model inputs'!B191+'Model inputs'!C164*'Model inputs'!B168/12</f>
        <v>1160</v>
      </c>
      <c r="D144" s="16">
        <f>'Model inputs'!D187*'Model inputs'!B191+'Model inputs'!D164*'Model inputs'!B168/12</f>
        <v>2155.6666666666665</v>
      </c>
      <c r="E144" s="16">
        <f>'Model inputs'!E187*'Model inputs'!B191+'Model inputs'!E164*'Model inputs'!B168/12</f>
        <v>2794.9555555555557</v>
      </c>
      <c r="F144" s="16">
        <f>'Model inputs'!F187*'Model inputs'!B191+'Model inputs'!F164*'Model inputs'!B168/12</f>
        <v>3454.2651851851856</v>
      </c>
      <c r="G144" s="16">
        <f>'Model inputs'!G187*'Model inputs'!B191+'Model inputs'!G164*'Model inputs'!B168/12</f>
        <v>4137.272039506173</v>
      </c>
      <c r="H144" s="16">
        <f>'Model inputs'!H187*'Model inputs'!B191+'Model inputs'!H164*'Model inputs'!B168/12</f>
        <v>4847.808399539095</v>
      </c>
      <c r="I144" s="16">
        <f>'Model inputs'!I187*'Model inputs'!B191+'Model inputs'!I164*'Model inputs'!B168/12</f>
        <v>5589.884028583156</v>
      </c>
      <c r="J144" s="16">
        <f>'Model inputs'!J187*'Model inputs'!B191+'Model inputs'!J164*'Model inputs'!B168/12</f>
        <v>6367.708977478679</v>
      </c>
      <c r="K144" s="16">
        <f>'Model inputs'!K187*'Model inputs'!B191+'Model inputs'!K164*'Model inputs'!B168/12</f>
        <v>7185.71764051192</v>
      </c>
      <c r="L144" s="16">
        <f>'Model inputs'!L187*'Model inputs'!B191+'Model inputs'!L164*'Model inputs'!B168/12</f>
        <v>7998.893296470884</v>
      </c>
      <c r="M144" s="16">
        <f>'Model inputs'!M187*'Model inputs'!B191+'Model inputs'!M164*'Model inputs'!B168/12</f>
        <v>8809.546181978976</v>
      </c>
      <c r="N144" s="16">
        <f>'Model inputs'!N187*'Model inputs'!B191+'Model inputs'!N164*'Model inputs'!B168/12</f>
        <v>9619.912039330773</v>
      </c>
      <c r="O144" s="16">
        <f>'Model inputs'!O187*'Model inputs'!B191+'Model inputs'!O164*'Model inputs'!B168/12</f>
        <v>10432.160263638465</v>
      </c>
      <c r="P144" s="16">
        <f>'Model inputs'!P187*'Model inputs'!B191+'Model inputs'!P164*'Model inputs'!B168/12</f>
        <v>11248.401634069502</v>
      </c>
      <c r="Q144" s="16">
        <f>'Model inputs'!Q187*'Model inputs'!B191+'Model inputs'!Q164*'Model inputs'!B168/12</f>
        <v>12070.695661992082</v>
      </c>
      <c r="R144" s="16">
        <f>'Model inputs'!R187*'Model inputs'!B191+'Model inputs'!R164*'Model inputs'!B168/12</f>
        <v>12901.05758686091</v>
      </c>
      <c r="S144" s="16">
        <f>'Model inputs'!S187*'Model inputs'!B191+'Model inputs'!S164*'Model inputs'!B168/12</f>
        <v>13741.465048831882</v>
      </c>
      <c r="T144" s="16">
        <f>'Model inputs'!T187*'Model inputs'!B191+'Model inputs'!T164*'Model inputs'!B168/12</f>
        <v>14593.864465381925</v>
      </c>
    </row>
    <row r="145" outlineLevel="1">
      <c r="A145" t="inlineStr" s="21">
        <is>
          <t xml:space="preserve">Subscription revenue &gt; Launch</t>
        </is>
      </c>
      <c r="C145" s="16">
        <f>'Model inputs'!C188*'Model inputs'!B192+'Model inputs'!C165*'Model inputs'!B169/12</f>
        <v>499</v>
      </c>
      <c r="D145" s="16">
        <f>'Model inputs'!D188*'Model inputs'!B192+'Model inputs'!D165*'Model inputs'!B169/12</f>
        <v>746.1644027777778</v>
      </c>
      <c r="E145" s="16">
        <f>'Model inputs'!E188*'Model inputs'!B192+'Model inputs'!E165*'Model inputs'!B169/12</f>
        <v>990.8792026195986</v>
      </c>
      <c r="F145" s="16">
        <f>'Model inputs'!F188*'Model inputs'!B192+'Model inputs'!F165*'Model inputs'!B169/12</f>
        <v>1233.8893850527725</v>
      </c>
      <c r="G145" s="16">
        <f>'Model inputs'!G188*'Model inputs'!B192+'Model inputs'!G165*'Model inputs'!B169/12</f>
        <v>1475.7622173757368</v>
      </c>
      <c r="H145" s="16">
        <f>'Model inputs'!H188*'Model inputs'!B192+'Model inputs'!H165*'Model inputs'!B169/12</f>
        <v>1717.0783137611559</v>
      </c>
      <c r="I145" s="16">
        <f>'Model inputs'!I188*'Model inputs'!B192+'Model inputs'!I165*'Model inputs'!B169/12</f>
        <v>1958.4353958589545</v>
      </c>
      <c r="J145" s="16">
        <f>'Model inputs'!J188*'Model inputs'!B192+'Model inputs'!J165*'Model inputs'!B169/12</f>
        <v>2223.407634327279</v>
      </c>
      <c r="K145" s="16">
        <f>'Model inputs'!K188*'Model inputs'!B192+'Model inputs'!K165*'Model inputs'!B169/12</f>
        <v>2495.297149412143</v>
      </c>
      <c r="L145" s="16">
        <f>'Model inputs'!L188*'Model inputs'!B192+'Model inputs'!L165*'Model inputs'!B169/12</f>
        <v>2775.0186851189155</v>
      </c>
      <c r="M145" s="16">
        <f>'Model inputs'!M188*'Model inputs'!B192+'Model inputs'!M165*'Model inputs'!B169/12</f>
        <v>3062.873842409105</v>
      </c>
      <c r="N145" s="16">
        <f>'Model inputs'!N188*'Model inputs'!B192+'Model inputs'!N165*'Model inputs'!B169/12</f>
        <v>3359.1615180606896</v>
      </c>
      <c r="O145" s="16">
        <f>'Model inputs'!O188*'Model inputs'!B192+'Model inputs'!O165*'Model inputs'!B169/12</f>
        <v>3664.179655411389</v>
      </c>
      <c r="P145" s="16">
        <f>'Model inputs'!P188*'Model inputs'!B192+'Model inputs'!P165*'Model inputs'!B169/12</f>
        <v>3978.2269061825664</v>
      </c>
      <c r="Q145" s="16">
        <f>'Model inputs'!Q188*'Model inputs'!B192+'Model inputs'!Q165*'Model inputs'!B169/12</f>
        <v>4301.6042116974095</v>
      </c>
      <c r="R145" s="16">
        <f>'Model inputs'!R188*'Model inputs'!B192+'Model inputs'!R165*'Model inputs'!B169/12</f>
        <v>4634.616311303498</v>
      </c>
      <c r="S145" s="16">
        <f>'Model inputs'!S188*'Model inputs'!B192+'Model inputs'!S165*'Model inputs'!B169/12</f>
        <v>4977.573185343535</v>
      </c>
      <c r="T145" s="16">
        <f>'Model inputs'!T188*'Model inputs'!B192+'Model inputs'!T165*'Model inputs'!B169/12</f>
        <v>5330.79143958643</v>
      </c>
    </row>
    <row r="146" outlineLevel="1">
      <c r="A146" t="inlineStr" s="21">
        <is>
          <t xml:space="preserve">Subscription revenue &gt; Team</t>
        </is>
      </c>
      <c r="C146" s="16">
        <f>'Model inputs'!C189*'Model inputs'!B193+'Model inputs'!C166*'Model inputs'!B170/12</f>
        <v>894</v>
      </c>
      <c r="D146" s="16">
        <f>'Model inputs'!D189*'Model inputs'!B193+'Model inputs'!D166*'Model inputs'!B170/12</f>
        <v>1337.061502314815</v>
      </c>
      <c r="E146" s="16">
        <f>'Model inputs'!E189*'Model inputs'!B193+'Model inputs'!E166*'Model inputs'!B170/12</f>
        <v>1833.241446570216</v>
      </c>
      <c r="F146" s="16">
        <f>'Model inputs'!F189*'Model inputs'!B193+'Model inputs'!F166*'Model inputs'!B170/12</f>
        <v>2371.0877224433307</v>
      </c>
      <c r="G146" s="16">
        <f>'Model inputs'!G189*'Model inputs'!B193+'Model inputs'!G166*'Model inputs'!B170/12</f>
        <v>2952.679057478263</v>
      </c>
      <c r="H146" s="16">
        <f>'Model inputs'!H189*'Model inputs'!B193+'Model inputs'!H166*'Model inputs'!B170/12</f>
        <v>3580.4118449924626</v>
      </c>
      <c r="I146" s="16">
        <f>'Model inputs'!I189*'Model inputs'!B193+'Model inputs'!I166*'Model inputs'!B170/12</f>
        <v>4257.012011955962</v>
      </c>
      <c r="J146" s="16">
        <f>'Model inputs'!J189*'Model inputs'!B193+'Model inputs'!J166*'Model inputs'!B170/12</f>
        <v>5037.558946869506</v>
      </c>
      <c r="K146" s="16">
        <f>'Model inputs'!K189*'Model inputs'!B193+'Model inputs'!K166*'Model inputs'!B170/12</f>
        <v>5891.095206049824</v>
      </c>
      <c r="L146" s="16">
        <f>'Model inputs'!L189*'Model inputs'!B193+'Model inputs'!L166*'Model inputs'!B170/12</f>
        <v>6774.664223236348</v>
      </c>
      <c r="M146" s="16">
        <f>'Model inputs'!M189*'Model inputs'!B193+'Model inputs'!M166*'Model inputs'!B170/12</f>
        <v>7688.396413564975</v>
      </c>
      <c r="N146" s="16">
        <f>'Model inputs'!N189*'Model inputs'!B193+'Model inputs'!N166*'Model inputs'!B170/12</f>
        <v>8632.544749396286</v>
      </c>
      <c r="O146" s="16">
        <f>'Model inputs'!O189*'Model inputs'!B193+'Model inputs'!O166*'Model inputs'!B170/12</f>
        <v>9607.480270020002</v>
      </c>
      <c r="P146" s="16">
        <f>'Model inputs'!P189*'Model inputs'!B193+'Model inputs'!P166*'Model inputs'!B170/12</f>
        <v>10613.688091557391</v>
      </c>
      <c r="Q146" s="16">
        <f>'Model inputs'!Q189*'Model inputs'!B193+'Model inputs'!Q166*'Model inputs'!B170/12</f>
        <v>11651.76388991625</v>
      </c>
      <c r="R146" s="16">
        <f>'Model inputs'!R189*'Model inputs'!B193+'Model inputs'!R166*'Model inputs'!B170/12</f>
        <v>12722.41083177346</v>
      </c>
      <c r="S146" s="16">
        <f>'Model inputs'!S189*'Model inputs'!B193+'Model inputs'!S166*'Model inputs'!B170/12</f>
        <v>13826.436930549444</v>
      </c>
      <c r="T146" s="16">
        <f>'Model inputs'!T189*'Model inputs'!B193+'Model inputs'!T166*'Model inputs'!B170/12</f>
        <v>14964.752806206205</v>
      </c>
    </row>
    <row r="147">
      <c r="A147" t="inlineStr" s="20">
        <is>
          <t xml:space="preserve">Upgrades in</t>
        </is>
      </c>
      <c r="C147" s="7">
        <f>IF('Model inputs'!C59="","",'Model inputs'!C59)</f>
        <v>0</v>
      </c>
      <c r="D147" s="7">
        <f>IF('Model inputs'!D59="","",'Model inputs'!D59)</f>
        <v>0.2916666666666667</v>
      </c>
      <c r="E147" s="7">
        <f>IF('Model inputs'!E59="","",'Model inputs'!E59)</f>
        <v>0.5333125</v>
      </c>
      <c r="F147" s="7">
        <f>IF('Model inputs'!F59="","",'Model inputs'!F59)</f>
        <v>0.6948002488425927</v>
      </c>
      <c r="G147" s="7">
        <f>IF('Model inputs'!G59="","",'Model inputs'!G59)</f>
        <v>0.8623815489824461</v>
      </c>
      <c r="H147" s="7">
        <f>IF('Model inputs'!H59="","",'Model inputs'!H59)</f>
        <v>1.0370073007913894</v>
      </c>
      <c r="I147" s="7">
        <f>IF('Model inputs'!I59="","",'Model inputs'!I59)</f>
        <v>1.2196778790980267</v>
      </c>
      <c r="J147" s="7">
        <f>IF('Model inputs'!J59="","",'Model inputs'!J59)</f>
        <v>1.4114491758402756</v>
      </c>
      <c r="K147" s="7">
        <f>IF('Model inputs'!K59="","",'Model inputs'!K59)</f>
        <v>1.6134390223399573</v>
      </c>
      <c r="L147" s="7">
        <f>IF('Model inputs'!L59="","",'Model inputs'!L59)</f>
        <v>1.8268340318695697</v>
      </c>
      <c r="M147" s="7">
        <f>IF('Model inputs'!M59="","",'Model inputs'!M59)</f>
        <v>2.0400098731409044</v>
      </c>
      <c r="N147" s="7">
        <f>IF('Model inputs'!N59="","",'Model inputs'!N59)</f>
        <v>2.2535015079062166</v>
      </c>
      <c r="O147" s="7">
        <f>IF('Model inputs'!O59="","",'Model inputs'!O59)</f>
        <v>2.467830412305536</v>
      </c>
      <c r="P147" s="7">
        <f>IF('Model inputs'!P59="","",'Model inputs'!P59)</f>
        <v>2.683506316427823</v>
      </c>
      <c r="Q147" s="7">
        <f>IF('Model inputs'!Q59="","",'Model inputs'!Q59)</f>
        <v>2.9010288631150405</v>
      </c>
      <c r="R147" s="7">
        <f>IF('Model inputs'!R59="","",'Model inputs'!R59)</f>
        <v>3.12088919274707</v>
      </c>
      <c r="S147" s="7">
        <f>IF('Model inputs'!S59="","",'Model inputs'!S59)</f>
        <v>3.3435714603522264</v>
      </c>
      <c r="T147" s="7">
        <f>IF('Model inputs'!T59="","",'Model inputs'!T59)</f>
        <v>3.569554291023361</v>
      </c>
      <c r="U147" s="7">
        <f>SUM('Model inputs'!U148,'Model inputs'!U149,'Model inputs'!U150)</f>
        <v>0</v>
      </c>
      <c r="V147" s="7">
        <f>SUM('Model inputs'!V148,'Model inputs'!V149,'Model inputs'!V150)</f>
        <v>0</v>
      </c>
      <c r="W147" s="7">
        <f>SUM('Model inputs'!W148,'Model inputs'!W149,'Model inputs'!W150)</f>
        <v>0</v>
      </c>
      <c r="X147" s="7">
        <f>SUM('Model inputs'!X148,'Model inputs'!X149,'Model inputs'!X150)</f>
        <v>0</v>
      </c>
      <c r="Y147" s="7">
        <f>SUM('Model inputs'!Y148,'Model inputs'!Y149,'Model inputs'!Y150)</f>
        <v>0</v>
      </c>
      <c r="Z147" s="7">
        <f>SUM('Model inputs'!Z148,'Model inputs'!Z149,'Model inputs'!Z150)</f>
        <v>0</v>
      </c>
      <c r="AA147" s="7">
        <f>SUM('Model inputs'!AA148,'Model inputs'!AA149,'Model inputs'!AA150)</f>
        <v>0</v>
      </c>
      <c r="AB147" s="7">
        <f>SUM('Model inputs'!AB148,'Model inputs'!AB149,'Model inputs'!AB150)</f>
        <v>0</v>
      </c>
      <c r="AC147" s="7">
        <f>SUM('Model inputs'!AC148,'Model inputs'!AC149,'Model inputs'!AC150)</f>
        <v>0</v>
      </c>
      <c r="AD147" s="7">
        <f>SUM('Model inputs'!AD148,'Model inputs'!AD149,'Model inputs'!AD150)</f>
        <v>0</v>
      </c>
      <c r="AE147" s="7">
        <f>SUM('Model inputs'!AE148,'Model inputs'!AE149,'Model inputs'!AE150)</f>
        <v>0</v>
      </c>
      <c r="AF147" s="7">
        <f>SUM('Model inputs'!AF148,'Model inputs'!AF149,'Model inputs'!AF150)</f>
        <v>0</v>
      </c>
      <c r="AG147" s="7">
        <f>SUM('Model inputs'!AG148,'Model inputs'!AG149,'Model inputs'!AG150)</f>
        <v>0</v>
      </c>
    </row>
    <row r="148" outlineLevel="1">
      <c r="A148" t="inlineStr" s="21">
        <is>
          <t xml:space="preserve">Upgrades in &gt; Indie</t>
        </is>
      </c>
      <c r="C148" s="9">
        <f>IF('Model inputs'!C60="","",'Model inputs'!C60)</f>
        <v>0</v>
      </c>
      <c r="D148" s="9">
        <f>IF('Model inputs'!D60="","",'Model inputs'!D60)</f>
        <v>0</v>
      </c>
      <c r="E148" s="9">
        <f>IF('Model inputs'!E60="","",'Model inputs'!E60)</f>
        <v>0</v>
      </c>
      <c r="F148" s="9">
        <f>IF('Model inputs'!F60="","",'Model inputs'!F60)</f>
        <v>0</v>
      </c>
      <c r="G148" s="9">
        <f>IF('Model inputs'!G60="","",'Model inputs'!G60)</f>
        <v>0</v>
      </c>
      <c r="H148" s="9">
        <f>IF('Model inputs'!H60="","",'Model inputs'!H60)</f>
        <v>0</v>
      </c>
      <c r="I148" s="9">
        <f>IF('Model inputs'!I60="","",'Model inputs'!I60)</f>
        <v>0</v>
      </c>
      <c r="J148" s="9">
        <f>IF('Model inputs'!J60="","",'Model inputs'!J60)</f>
        <v>0</v>
      </c>
      <c r="K148" s="9">
        <f>IF('Model inputs'!K60="","",'Model inputs'!K60)</f>
        <v>0</v>
      </c>
      <c r="L148" s="9">
        <f>IF('Model inputs'!L60="","",'Model inputs'!L60)</f>
        <v>0</v>
      </c>
      <c r="M148" s="9">
        <f>IF('Model inputs'!M60="","",'Model inputs'!M60)</f>
        <v>0</v>
      </c>
      <c r="N148" s="9">
        <f>IF('Model inputs'!N60="","",'Model inputs'!N60)</f>
        <v>0</v>
      </c>
      <c r="O148" s="9">
        <f>IF('Model inputs'!O60="","",'Model inputs'!O60)</f>
        <v>0</v>
      </c>
      <c r="P148" s="9">
        <f>IF('Model inputs'!P60="","",'Model inputs'!P60)</f>
        <v>0</v>
      </c>
      <c r="Q148" s="9">
        <f>IF('Model inputs'!Q60="","",'Model inputs'!Q60)</f>
        <v>0</v>
      </c>
      <c r="R148" s="9">
        <f>IF('Model inputs'!R60="","",'Model inputs'!R60)</f>
        <v>0</v>
      </c>
      <c r="S148" s="9">
        <f>IF('Model inputs'!S60="","",'Model inputs'!S60)</f>
        <v>0</v>
      </c>
      <c r="T148" s="9">
        <f>IF('Model inputs'!T60="","",'Model inputs'!T60)</f>
        <v>0</v>
      </c>
      <c r="U148" s="9">
        <f>IF(EXACT("Indie","Team"),IF('Model inputs'!U152="","",'Model inputs'!U152),IF(EXACT("Indie","Launch"),IF('Model inputs'!U154="","",'Model inputs'!U154),0))</f>
        <v>0</v>
      </c>
      <c r="V148" s="9">
        <f>IF(EXACT("Indie","Team"),IF('Model inputs'!V152="","",'Model inputs'!V152),IF(EXACT("Indie","Launch"),IF('Model inputs'!V154="","",'Model inputs'!V154),0))</f>
        <v>0</v>
      </c>
      <c r="W148" s="9">
        <f>IF(EXACT("Indie","Team"),IF('Model inputs'!W152="","",'Model inputs'!W152),IF(EXACT("Indie","Launch"),IF('Model inputs'!W154="","",'Model inputs'!W154),0))</f>
        <v>0</v>
      </c>
      <c r="X148" s="9">
        <f>IF(EXACT("Indie","Team"),IF('Model inputs'!X152="","",'Model inputs'!X152),IF(EXACT("Indie","Launch"),IF('Model inputs'!X154="","",'Model inputs'!X154),0))</f>
        <v>0</v>
      </c>
      <c r="Y148" s="9">
        <f>IF(EXACT("Indie","Team"),IF('Model inputs'!Y152="","",'Model inputs'!Y152),IF(EXACT("Indie","Launch"),IF('Model inputs'!Y154="","",'Model inputs'!Y154),0))</f>
        <v>0</v>
      </c>
      <c r="Z148" s="9">
        <f>IF(EXACT("Indie","Team"),IF('Model inputs'!Z152="","",'Model inputs'!Z152),IF(EXACT("Indie","Launch"),IF('Model inputs'!Z154="","",'Model inputs'!Z154),0))</f>
        <v>0</v>
      </c>
      <c r="AA148" s="9">
        <f>IF(EXACT("Indie","Team"),IF('Model inputs'!AA152="","",'Model inputs'!AA152),IF(EXACT("Indie","Launch"),IF('Model inputs'!AA154="","",'Model inputs'!AA154),0))</f>
        <v>0</v>
      </c>
      <c r="AB148" s="9">
        <f>IF(EXACT("Indie","Team"),IF('Model inputs'!AB152="","",'Model inputs'!AB152),IF(EXACT("Indie","Launch"),IF('Model inputs'!AB154="","",'Model inputs'!AB154),0))</f>
        <v>0</v>
      </c>
      <c r="AC148" s="9">
        <f>IF(EXACT("Indie","Team"),IF('Model inputs'!AC152="","",'Model inputs'!AC152),IF(EXACT("Indie","Launch"),IF('Model inputs'!AC154="","",'Model inputs'!AC154),0))</f>
        <v>0</v>
      </c>
      <c r="AD148" s="9">
        <f>IF(EXACT("Indie","Team"),IF('Model inputs'!AD152="","",'Model inputs'!AD152),IF(EXACT("Indie","Launch"),IF('Model inputs'!AD154="","",'Model inputs'!AD154),0))</f>
        <v>0</v>
      </c>
      <c r="AE148" s="9">
        <f>IF(EXACT("Indie","Team"),IF('Model inputs'!AE152="","",'Model inputs'!AE152),IF(EXACT("Indie","Launch"),IF('Model inputs'!AE154="","",'Model inputs'!AE154),0))</f>
        <v>0</v>
      </c>
      <c r="AF148" s="9">
        <f>IF(EXACT("Indie","Team"),IF('Model inputs'!AF152="","",'Model inputs'!AF152),IF(EXACT("Indie","Launch"),IF('Model inputs'!AF154="","",'Model inputs'!AF154),0))</f>
        <v>0</v>
      </c>
      <c r="AG148" s="9">
        <f>IF(EXACT("Indie","Team"),IF('Model inputs'!AG152="","",'Model inputs'!AG152),IF(EXACT("Indie","Launch"),IF('Model inputs'!AG154="","",'Model inputs'!AG154),0))</f>
        <v>0</v>
      </c>
    </row>
    <row r="149" outlineLevel="1">
      <c r="A149" t="inlineStr" s="21">
        <is>
          <t xml:space="preserve">Upgrades in &gt; Launch</t>
        </is>
      </c>
      <c r="C149" s="9">
        <f>IF('Model inputs'!C61="","",'Model inputs'!C61)</f>
        <v>0</v>
      </c>
      <c r="D149" s="9">
        <f>IF('Model inputs'!D61="","",'Model inputs'!D61)</f>
        <v>0.025</v>
      </c>
      <c r="E149" s="9">
        <f>IF('Model inputs'!E61="","",'Model inputs'!E61)</f>
        <v>0.03775694444444445</v>
      </c>
      <c r="F149" s="9">
        <f>IF('Model inputs'!F61="","",'Model inputs'!F61)</f>
        <v>0.05228173032407408</v>
      </c>
      <c r="G149" s="9">
        <f>IF('Model inputs'!G61="","",'Model inputs'!G61)</f>
        <v>0.06829759836516204</v>
      </c>
      <c r="H149" s="9">
        <f>IF('Model inputs'!H61="","",'Model inputs'!H61)</f>
        <v>0.08591028021525769</v>
      </c>
      <c r="I149" s="9">
        <f>IF('Model inputs'!I61="","",'Model inputs'!I61)</f>
        <v>0.10523916656030362</v>
      </c>
      <c r="J149" s="9">
        <f>IF('Model inputs'!J61="","",'Model inputs'!J61)</f>
        <v>0.12641836467173376</v>
      </c>
      <c r="K149" s="9">
        <f>IF('Model inputs'!K61="","",'Model inputs'!K61)</f>
        <v>0.1495978780919851</v>
      </c>
      <c r="L149" s="9">
        <f>IF('Model inputs'!L61="","",'Model inputs'!L61)</f>
        <v>0.17494491910820884</v>
      </c>
      <c r="M149" s="9">
        <f>IF('Model inputs'!M61="","",'Model inputs'!M61)</f>
        <v>0.20118382797518408</v>
      </c>
      <c r="N149" s="9">
        <f>IF('Model inputs'!N61="","",'Model inputs'!N61)</f>
        <v>0.22831847756622248</v>
      </c>
      <c r="O149" s="9">
        <f>IF('Model inputs'!O61="","",'Model inputs'!O61)</f>
        <v>0.2563563802754732</v>
      </c>
      <c r="P149" s="9">
        <f>IF('Model inputs'!P61="","",'Model inputs'!P61)</f>
        <v>0.28530855467185373</v>
      </c>
      <c r="Q149" s="9">
        <f>IF('Model inputs'!Q61="","",'Model inputs'!Q61)</f>
        <v>0.3151894070071091</v>
      </c>
      <c r="R149" s="9">
        <f>IF('Model inputs'!R61="","",'Model inputs'!R61)</f>
        <v>0.34601662677187894</v>
      </c>
      <c r="S149" s="9">
        <f>IF('Model inputs'!S61="","",'Model inputs'!S61)</f>
        <v>0.3778110955566152</v>
      </c>
      <c r="T149" s="9">
        <f>IF('Model inputs'!T61="","",'Model inputs'!T61)</f>
        <v>0.41059680853327324</v>
      </c>
      <c r="U149" s="9">
        <f>IF(EXACT("Launch","Team"),IF('Model inputs'!U152="","",'Model inputs'!U152),IF(EXACT("Launch","Launch"),IF('Model inputs'!U154="","",'Model inputs'!U154),0))</f>
        <v>0</v>
      </c>
      <c r="V149" s="9">
        <f>IF(EXACT("Launch","Team"),IF('Model inputs'!V152="","",'Model inputs'!V152),IF(EXACT("Launch","Launch"),IF('Model inputs'!V154="","",'Model inputs'!V154),0))</f>
        <v>0</v>
      </c>
      <c r="W149" s="9">
        <f>IF(EXACT("Launch","Team"),IF('Model inputs'!W152="","",'Model inputs'!W152),IF(EXACT("Launch","Launch"),IF('Model inputs'!W154="","",'Model inputs'!W154),0))</f>
        <v>0</v>
      </c>
      <c r="X149" s="9">
        <f>IF(EXACT("Launch","Team"),IF('Model inputs'!X152="","",'Model inputs'!X152),IF(EXACT("Launch","Launch"),IF('Model inputs'!X154="","",'Model inputs'!X154),0))</f>
        <v>0</v>
      </c>
      <c r="Y149" s="9">
        <f>IF(EXACT("Launch","Team"),IF('Model inputs'!Y152="","",'Model inputs'!Y152),IF(EXACT("Launch","Launch"),IF('Model inputs'!Y154="","",'Model inputs'!Y154),0))</f>
        <v>0</v>
      </c>
      <c r="Z149" s="9">
        <f>IF(EXACT("Launch","Team"),IF('Model inputs'!Z152="","",'Model inputs'!Z152),IF(EXACT("Launch","Launch"),IF('Model inputs'!Z154="","",'Model inputs'!Z154),0))</f>
        <v>0</v>
      </c>
      <c r="AA149" s="9">
        <f>IF(EXACT("Launch","Team"),IF('Model inputs'!AA152="","",'Model inputs'!AA152),IF(EXACT("Launch","Launch"),IF('Model inputs'!AA154="","",'Model inputs'!AA154),0))</f>
        <v>0</v>
      </c>
      <c r="AB149" s="9">
        <f>IF(EXACT("Launch","Team"),IF('Model inputs'!AB152="","",'Model inputs'!AB152),IF(EXACT("Launch","Launch"),IF('Model inputs'!AB154="","",'Model inputs'!AB154),0))</f>
        <v>0</v>
      </c>
      <c r="AC149" s="9">
        <f>IF(EXACT("Launch","Team"),IF('Model inputs'!AC152="","",'Model inputs'!AC152),IF(EXACT("Launch","Launch"),IF('Model inputs'!AC154="","",'Model inputs'!AC154),0))</f>
        <v>0</v>
      </c>
      <c r="AD149" s="9">
        <f>IF(EXACT("Launch","Team"),IF('Model inputs'!AD152="","",'Model inputs'!AD152),IF(EXACT("Launch","Launch"),IF('Model inputs'!AD154="","",'Model inputs'!AD154),0))</f>
        <v>0</v>
      </c>
      <c r="AE149" s="9">
        <f>IF(EXACT("Launch","Team"),IF('Model inputs'!AE152="","",'Model inputs'!AE152),IF(EXACT("Launch","Launch"),IF('Model inputs'!AE154="","",'Model inputs'!AE154),0))</f>
        <v>0</v>
      </c>
      <c r="AF149" s="9">
        <f>IF(EXACT("Launch","Team"),IF('Model inputs'!AF152="","",'Model inputs'!AF152),IF(EXACT("Launch","Launch"),IF('Model inputs'!AF154="","",'Model inputs'!AF154),0))</f>
        <v>0</v>
      </c>
      <c r="AG149" s="9">
        <f>IF(EXACT("Launch","Team"),IF('Model inputs'!AG152="","",'Model inputs'!AG152),IF(EXACT("Launch","Launch"),IF('Model inputs'!AG154="","",'Model inputs'!AG154),0))</f>
        <v>0</v>
      </c>
    </row>
    <row r="150" outlineLevel="1">
      <c r="A150" t="inlineStr" s="21">
        <is>
          <t xml:space="preserve">Upgrades in &gt; Team</t>
        </is>
      </c>
      <c r="C150" s="9">
        <f>IF('Model inputs'!C62="","",'Model inputs'!C62)</f>
        <v>0</v>
      </c>
      <c r="D150" s="9">
        <f>IF('Model inputs'!D62="","",'Model inputs'!D62)</f>
        <v>0.26666666666666666</v>
      </c>
      <c r="E150" s="9">
        <f>IF('Model inputs'!E62="","",'Model inputs'!E62)</f>
        <v>0.4955555555555555</v>
      </c>
      <c r="F150" s="9">
        <f>IF('Model inputs'!F62="","",'Model inputs'!F62)</f>
        <v>0.6425185185185186</v>
      </c>
      <c r="G150" s="9">
        <f>IF('Model inputs'!G62="","",'Model inputs'!G62)</f>
        <v>0.7940839506172841</v>
      </c>
      <c r="H150" s="9">
        <f>IF('Model inputs'!H62="","",'Model inputs'!H62)</f>
        <v>0.9510970205761318</v>
      </c>
      <c r="I150" s="9">
        <f>IF('Model inputs'!I62="","",'Model inputs'!I62)</f>
        <v>1.114438712537723</v>
      </c>
      <c r="J150" s="9">
        <f>IF('Model inputs'!J62="","",'Model inputs'!J62)</f>
        <v>1.2850308111685418</v>
      </c>
      <c r="K150" s="9">
        <f>IF('Model inputs'!K62="","",'Model inputs'!K62)</f>
        <v>1.4638411442479722</v>
      </c>
      <c r="L150" s="9">
        <f>IF('Model inputs'!L62="","",'Model inputs'!L62)</f>
        <v>1.6518891127613609</v>
      </c>
      <c r="M150" s="9">
        <f>IF('Model inputs'!M62="","",'Model inputs'!M62)</f>
        <v>1.8388260451657203</v>
      </c>
      <c r="N150" s="9">
        <f>IF('Model inputs'!N62="","",'Model inputs'!N62)</f>
        <v>2.0251830303399943</v>
      </c>
      <c r="O150" s="9">
        <f>IF('Model inputs'!O62="","",'Model inputs'!O62)</f>
        <v>2.211474032030063</v>
      </c>
      <c r="P150" s="9">
        <f>IF('Model inputs'!P62="","",'Model inputs'!P62)</f>
        <v>2.398197761755969</v>
      </c>
      <c r="Q150" s="9">
        <f>IF('Model inputs'!Q62="","",'Model inputs'!Q62)</f>
        <v>2.5858394561079314</v>
      </c>
      <c r="R150" s="9">
        <f>IF('Model inputs'!R62="","",'Model inputs'!R62)</f>
        <v>2.774872565975191</v>
      </c>
      <c r="S150" s="9">
        <f>IF('Model inputs'!S62="","",'Model inputs'!S62)</f>
        <v>2.9657603647956114</v>
      </c>
      <c r="T150" s="9">
        <f>IF('Model inputs'!T62="","",'Model inputs'!T62)</f>
        <v>3.158957482490088</v>
      </c>
      <c r="U150" s="9">
        <f>IF(EXACT("Team","Team"),IF('Model inputs'!U152="","",'Model inputs'!U152),IF(EXACT("Team","Launch"),IF('Model inputs'!U154="","",'Model inputs'!U154),0))</f>
        <v>0</v>
      </c>
      <c r="V150" s="9">
        <f>IF(EXACT("Team","Team"),IF('Model inputs'!V152="","",'Model inputs'!V152),IF(EXACT("Team","Launch"),IF('Model inputs'!V154="","",'Model inputs'!V154),0))</f>
        <v>0</v>
      </c>
      <c r="W150" s="9">
        <f>IF(EXACT("Team","Team"),IF('Model inputs'!W152="","",'Model inputs'!W152),IF(EXACT("Team","Launch"),IF('Model inputs'!W154="","",'Model inputs'!W154),0))</f>
        <v>0</v>
      </c>
      <c r="X150" s="9">
        <f>IF(EXACT("Team","Team"),IF('Model inputs'!X152="","",'Model inputs'!X152),IF(EXACT("Team","Launch"),IF('Model inputs'!X154="","",'Model inputs'!X154),0))</f>
        <v>0</v>
      </c>
      <c r="Y150" s="9">
        <f>IF(EXACT("Team","Team"),IF('Model inputs'!Y152="","",'Model inputs'!Y152),IF(EXACT("Team","Launch"),IF('Model inputs'!Y154="","",'Model inputs'!Y154),0))</f>
        <v>0</v>
      </c>
      <c r="Z150" s="9">
        <f>IF(EXACT("Team","Team"),IF('Model inputs'!Z152="","",'Model inputs'!Z152),IF(EXACT("Team","Launch"),IF('Model inputs'!Z154="","",'Model inputs'!Z154),0))</f>
        <v>0</v>
      </c>
      <c r="AA150" s="9">
        <f>IF(EXACT("Team","Team"),IF('Model inputs'!AA152="","",'Model inputs'!AA152),IF(EXACT("Team","Launch"),IF('Model inputs'!AA154="","",'Model inputs'!AA154),0))</f>
        <v>0</v>
      </c>
      <c r="AB150" s="9">
        <f>IF(EXACT("Team","Team"),IF('Model inputs'!AB152="","",'Model inputs'!AB152),IF(EXACT("Team","Launch"),IF('Model inputs'!AB154="","",'Model inputs'!AB154),0))</f>
        <v>0</v>
      </c>
      <c r="AC150" s="9">
        <f>IF(EXACT("Team","Team"),IF('Model inputs'!AC152="","",'Model inputs'!AC152),IF(EXACT("Team","Launch"),IF('Model inputs'!AC154="","",'Model inputs'!AC154),0))</f>
        <v>0</v>
      </c>
      <c r="AD150" s="9">
        <f>IF(EXACT("Team","Team"),IF('Model inputs'!AD152="","",'Model inputs'!AD152),IF(EXACT("Team","Launch"),IF('Model inputs'!AD154="","",'Model inputs'!AD154),0))</f>
        <v>0</v>
      </c>
      <c r="AE150" s="9">
        <f>IF(EXACT("Team","Team"),IF('Model inputs'!AE152="","",'Model inputs'!AE152),IF(EXACT("Team","Launch"),IF('Model inputs'!AE154="","",'Model inputs'!AE154),0))</f>
        <v>0</v>
      </c>
      <c r="AF150" s="9">
        <f>IF(EXACT("Team","Team"),IF('Model inputs'!AF152="","",'Model inputs'!AF152),IF(EXACT("Team","Launch"),IF('Model inputs'!AF154="","",'Model inputs'!AF154),0))</f>
        <v>0</v>
      </c>
      <c r="AG150" s="9">
        <f>IF(EXACT("Team","Team"),IF('Model inputs'!AG152="","",'Model inputs'!AG152),IF(EXACT("Team","Launch"),IF('Model inputs'!AG154="","",'Model inputs'!AG154),0))</f>
        <v>0</v>
      </c>
    </row>
    <row r="151">
      <c r="A151" t="inlineStr" s="20">
        <is>
          <t xml:space="preserve">Upgrades out</t>
        </is>
      </c>
      <c r="C151" s="7">
        <f>IF('Model inputs'!C63="","",'Model inputs'!C63)</f>
        <v>0</v>
      </c>
      <c r="D151" s="7">
        <f>IF('Model inputs'!D63="","",'Model inputs'!D63)</f>
        <v>0.2916666666666667</v>
      </c>
      <c r="E151" s="7">
        <f>IF('Model inputs'!E63="","",'Model inputs'!E63)</f>
        <v>0.5333125</v>
      </c>
      <c r="F151" s="7">
        <f>IF('Model inputs'!F63="","",'Model inputs'!F63)</f>
        <v>0.6948002488425927</v>
      </c>
      <c r="G151" s="7">
        <f>IF('Model inputs'!G63="","",'Model inputs'!G63)</f>
        <v>0.8623815489824461</v>
      </c>
      <c r="H151" s="7">
        <f>IF('Model inputs'!H63="","",'Model inputs'!H63)</f>
        <v>1.0370073007913894</v>
      </c>
      <c r="I151" s="7">
        <f>IF('Model inputs'!I63="","",'Model inputs'!I63)</f>
        <v>1.2196778790980267</v>
      </c>
      <c r="J151" s="7">
        <f>IF('Model inputs'!J63="","",'Model inputs'!J63)</f>
        <v>1.4114491758402756</v>
      </c>
      <c r="K151" s="7">
        <f>IF('Model inputs'!K63="","",'Model inputs'!K63)</f>
        <v>1.6134390223399573</v>
      </c>
      <c r="L151" s="7">
        <f>IF('Model inputs'!L63="","",'Model inputs'!L63)</f>
        <v>1.8268340318695697</v>
      </c>
      <c r="M151" s="7">
        <f>IF('Model inputs'!M63="","",'Model inputs'!M63)</f>
        <v>2.0400098731409044</v>
      </c>
      <c r="N151" s="7">
        <f>IF('Model inputs'!N63="","",'Model inputs'!N63)</f>
        <v>2.2535015079062166</v>
      </c>
      <c r="O151" s="7">
        <f>IF('Model inputs'!O63="","",'Model inputs'!O63)</f>
        <v>2.467830412305536</v>
      </c>
      <c r="P151" s="7">
        <f>IF('Model inputs'!P63="","",'Model inputs'!P63)</f>
        <v>2.683506316427823</v>
      </c>
      <c r="Q151" s="7">
        <f>IF('Model inputs'!Q63="","",'Model inputs'!Q63)</f>
        <v>2.9010288631150405</v>
      </c>
      <c r="R151" s="7">
        <f>IF('Model inputs'!R63="","",'Model inputs'!R63)</f>
        <v>3.12088919274707</v>
      </c>
      <c r="S151" s="7">
        <f>IF('Model inputs'!S63="","",'Model inputs'!S63)</f>
        <v>3.3435714603522264</v>
      </c>
      <c r="T151" s="7">
        <f>IF('Model inputs'!T63="","",'Model inputs'!T63)</f>
        <v>3.569554291023361</v>
      </c>
      <c r="U151" s="7">
        <f>SUM('Model inputs'!U152,'Model inputs'!U153,'Model inputs'!U154)</f>
        <v>0</v>
      </c>
      <c r="V151" s="7">
        <f>SUM('Model inputs'!V152,'Model inputs'!V153,'Model inputs'!V154)</f>
        <v>0</v>
      </c>
      <c r="W151" s="7">
        <f>SUM('Model inputs'!W152,'Model inputs'!W153,'Model inputs'!W154)</f>
        <v>0</v>
      </c>
      <c r="X151" s="7">
        <f>SUM('Model inputs'!X152,'Model inputs'!X153,'Model inputs'!X154)</f>
        <v>0</v>
      </c>
      <c r="Y151" s="7">
        <f>SUM('Model inputs'!Y152,'Model inputs'!Y153,'Model inputs'!Y154)</f>
        <v>0</v>
      </c>
      <c r="Z151" s="7">
        <f>SUM('Model inputs'!Z152,'Model inputs'!Z153,'Model inputs'!Z154)</f>
        <v>0</v>
      </c>
      <c r="AA151" s="7">
        <f>SUM('Model inputs'!AA152,'Model inputs'!AA153,'Model inputs'!AA154)</f>
        <v>0</v>
      </c>
      <c r="AB151" s="7">
        <f>SUM('Model inputs'!AB152,'Model inputs'!AB153,'Model inputs'!AB154)</f>
        <v>0</v>
      </c>
      <c r="AC151" s="7">
        <f>SUM('Model inputs'!AC152,'Model inputs'!AC153,'Model inputs'!AC154)</f>
        <v>0</v>
      </c>
      <c r="AD151" s="7">
        <f>SUM('Model inputs'!AD152,'Model inputs'!AD153,'Model inputs'!AD154)</f>
        <v>0</v>
      </c>
      <c r="AE151" s="7">
        <f>SUM('Model inputs'!AE152,'Model inputs'!AE153,'Model inputs'!AE154)</f>
        <v>0</v>
      </c>
      <c r="AF151" s="7">
        <f>SUM('Model inputs'!AF152,'Model inputs'!AF153,'Model inputs'!AF154)</f>
        <v>0</v>
      </c>
      <c r="AG151" s="7">
        <f>SUM('Model inputs'!AG152,'Model inputs'!AG153,'Model inputs'!AG154)</f>
        <v>0</v>
      </c>
    </row>
    <row r="152" outlineLevel="1">
      <c r="A152" t="inlineStr" s="21">
        <is>
          <t xml:space="preserve">Upgrades out &gt; Indie</t>
        </is>
      </c>
      <c r="C152" s="9">
        <f>IF('Model inputs'!C64="","",'Model inputs'!C64)</f>
        <v>0</v>
      </c>
      <c r="D152" s="9">
        <f>IF('Model inputs'!D64="","",'Model inputs'!D64)</f>
        <v>0.26666666666666666</v>
      </c>
      <c r="E152" s="9">
        <f>IF('Model inputs'!E64="","",'Model inputs'!E64)</f>
        <v>0.4955555555555555</v>
      </c>
      <c r="F152" s="9">
        <f>IF('Model inputs'!F64="","",'Model inputs'!F64)</f>
        <v>0.6425185185185186</v>
      </c>
      <c r="G152" s="9">
        <f>IF('Model inputs'!G64="","",'Model inputs'!G64)</f>
        <v>0.7940839506172841</v>
      </c>
      <c r="H152" s="9">
        <f>IF('Model inputs'!H64="","",'Model inputs'!H64)</f>
        <v>0.9510970205761318</v>
      </c>
      <c r="I152" s="9">
        <f>IF('Model inputs'!I64="","",'Model inputs'!I64)</f>
        <v>1.114438712537723</v>
      </c>
      <c r="J152" s="9">
        <f>IF('Model inputs'!J64="","",'Model inputs'!J64)</f>
        <v>1.2850308111685418</v>
      </c>
      <c r="K152" s="9">
        <f>IF('Model inputs'!K64="","",'Model inputs'!K64)</f>
        <v>1.4638411442479722</v>
      </c>
      <c r="L152" s="9">
        <f>IF('Model inputs'!L64="","",'Model inputs'!L64)</f>
        <v>1.6518891127613609</v>
      </c>
      <c r="M152" s="9">
        <f>IF('Model inputs'!M64="","",'Model inputs'!M64)</f>
        <v>1.8388260451657203</v>
      </c>
      <c r="N152" s="9">
        <f>IF('Model inputs'!N64="","",'Model inputs'!N64)</f>
        <v>2.0251830303399943</v>
      </c>
      <c r="O152" s="9">
        <f>IF('Model inputs'!O64="","",'Model inputs'!O64)</f>
        <v>2.211474032030063</v>
      </c>
      <c r="P152" s="9">
        <f>IF('Model inputs'!P64="","",'Model inputs'!P64)</f>
        <v>2.398197761755969</v>
      </c>
      <c r="Q152" s="9">
        <f>IF('Model inputs'!Q64="","",'Model inputs'!Q64)</f>
        <v>2.5858394561079314</v>
      </c>
      <c r="R152" s="9">
        <f>IF('Model inputs'!R64="","",'Model inputs'!R64)</f>
        <v>2.774872565975191</v>
      </c>
      <c r="S152" s="9">
        <f>IF('Model inputs'!S64="","",'Model inputs'!S64)</f>
        <v>2.9657603647956114</v>
      </c>
      <c r="T152" s="9">
        <f>IF('Model inputs'!T64="","",'Model inputs'!T64)</f>
        <v>3.158957482490088</v>
      </c>
      <c r="U152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inputs'!U123="",0,'Model inputs'!U123)*'Model inputs'!B76/12)</f>
        <v>0</v>
      </c>
      <c r="V152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inputs'!V123*'Model inputs'!B76/12)</f>
        <v>0</v>
      </c>
      <c r="W152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inputs'!W123*'Model inputs'!B76/12)</f>
        <v>0</v>
      </c>
      <c r="X152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inputs'!X123*'Model inputs'!B76/12)</f>
        <v>0</v>
      </c>
      <c r="Y152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inputs'!Y123*'Model inputs'!B76/12)</f>
        <v>0</v>
      </c>
      <c r="Z152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inputs'!Z123*'Model inputs'!B76/12)</f>
        <v>0</v>
      </c>
      <c r="AA152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inputs'!AA123*'Model inputs'!B76/12)</f>
        <v>0</v>
      </c>
      <c r="AB152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inputs'!AB123*'Model inputs'!B76/12)</f>
        <v>0</v>
      </c>
      <c r="AC152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inputs'!AC123*'Model inputs'!B76/12)</f>
        <v>0</v>
      </c>
      <c r="AD152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inputs'!AD123*'Model inputs'!B76/12)</f>
        <v>0</v>
      </c>
      <c r="AE152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inputs'!AE123*'Model inputs'!B76/12)</f>
        <v>0</v>
      </c>
      <c r="AF152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inputs'!AF123*'Model inputs'!B76/12)</f>
        <v>0</v>
      </c>
      <c r="AG152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inputs'!AG123*'Model inputs'!B76/12)</f>
        <v>0</v>
      </c>
    </row>
    <row r="153" outlineLevel="1">
      <c r="A153" t="inlineStr" s="21">
        <is>
          <t xml:space="preserve">Upgrades out &gt; Launch</t>
        </is>
      </c>
      <c r="C153" s="9">
        <f>IF('Model inputs'!C65="","",'Model inputs'!C65)</f>
        <v>0</v>
      </c>
      <c r="D153" s="9">
        <f>IF('Model inputs'!D65="","",'Model inputs'!D65)</f>
        <v>0</v>
      </c>
      <c r="E153" s="9">
        <f>IF('Model inputs'!E65="","",'Model inputs'!E65)</f>
        <v>0</v>
      </c>
      <c r="F153" s="9">
        <f>IF('Model inputs'!F65="","",'Model inputs'!F65)</f>
        <v>0</v>
      </c>
      <c r="G153" s="9">
        <f>IF('Model inputs'!G65="","",'Model inputs'!G65)</f>
        <v>0</v>
      </c>
      <c r="H153" s="9">
        <f>IF('Model inputs'!H65="","",'Model inputs'!H65)</f>
        <v>0</v>
      </c>
      <c r="I153" s="9">
        <f>IF('Model inputs'!I65="","",'Model inputs'!I65)</f>
        <v>0</v>
      </c>
      <c r="J153" s="9">
        <f>IF('Model inputs'!J65="","",'Model inputs'!J65)</f>
        <v>0</v>
      </c>
      <c r="K153" s="9">
        <f>IF('Model inputs'!K65="","",'Model inputs'!K65)</f>
        <v>0</v>
      </c>
      <c r="L153" s="9">
        <f>IF('Model inputs'!L65="","",'Model inputs'!L65)</f>
        <v>0</v>
      </c>
      <c r="M153" s="9">
        <f>IF('Model inputs'!M65="","",'Model inputs'!M65)</f>
        <v>0</v>
      </c>
      <c r="N153" s="9">
        <f>IF('Model inputs'!N65="","",'Model inputs'!N65)</f>
        <v>0</v>
      </c>
      <c r="O153" s="9">
        <f>IF('Model inputs'!O65="","",'Model inputs'!O65)</f>
        <v>0</v>
      </c>
      <c r="P153" s="9">
        <f>IF('Model inputs'!P65="","",'Model inputs'!P65)</f>
        <v>0</v>
      </c>
      <c r="Q153" s="9">
        <f>IF('Model inputs'!Q65="","",'Model inputs'!Q65)</f>
        <v>0</v>
      </c>
      <c r="R153" s="9">
        <f>IF('Model inputs'!R65="","",'Model inputs'!R65)</f>
        <v>0</v>
      </c>
      <c r="S153" s="9">
        <f>IF('Model inputs'!S65="","",'Model inputs'!S65)</f>
        <v>0</v>
      </c>
      <c r="T153" s="9">
        <f>IF('Model inputs'!T65="","",'Model inputs'!T65)</f>
        <v>0</v>
      </c>
      <c r="U153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inputs'!U124="",0,'Model inputs'!U124)*'Model inputs'!B77/12)</f>
        <v>0</v>
      </c>
      <c r="V153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inputs'!V124*'Model inputs'!B77/12)</f>
        <v>0</v>
      </c>
      <c r="W153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inputs'!W124*'Model inputs'!B77/12)</f>
        <v>0</v>
      </c>
      <c r="X153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inputs'!X124*'Model inputs'!B77/12)</f>
        <v>0</v>
      </c>
      <c r="Y153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inputs'!Y124*'Model inputs'!B77/12)</f>
        <v>0</v>
      </c>
      <c r="Z153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inputs'!Z124*'Model inputs'!B77/12)</f>
        <v>0</v>
      </c>
      <c r="AA153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inputs'!AA124*'Model inputs'!B77/12)</f>
        <v>0</v>
      </c>
      <c r="AB153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inputs'!AB124*'Model inputs'!B77/12)</f>
        <v>0</v>
      </c>
      <c r="AC153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inputs'!AC124*'Model inputs'!B77/12)</f>
        <v>0</v>
      </c>
      <c r="AD153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inputs'!AD124*'Model inputs'!B77/12)</f>
        <v>0</v>
      </c>
      <c r="AE153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inputs'!AE124*'Model inputs'!B77/12)</f>
        <v>0</v>
      </c>
      <c r="AF153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inputs'!AF124*'Model inputs'!B77/12)</f>
        <v>0</v>
      </c>
      <c r="AG153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inputs'!AG124*'Model inputs'!B77/12)</f>
        <v>0</v>
      </c>
    </row>
    <row r="154" outlineLevel="1">
      <c r="A154" t="inlineStr" s="21">
        <is>
          <t xml:space="preserve">Upgrades out &gt; Team</t>
        </is>
      </c>
      <c r="C154" s="9">
        <f>IF('Model inputs'!C66="","",'Model inputs'!C66)</f>
        <v>0</v>
      </c>
      <c r="D154" s="9">
        <f>IF('Model inputs'!D66="","",'Model inputs'!D66)</f>
        <v>0.025</v>
      </c>
      <c r="E154" s="9">
        <f>IF('Model inputs'!E66="","",'Model inputs'!E66)</f>
        <v>0.03775694444444445</v>
      </c>
      <c r="F154" s="9">
        <f>IF('Model inputs'!F66="","",'Model inputs'!F66)</f>
        <v>0.05228173032407408</v>
      </c>
      <c r="G154" s="9">
        <f>IF('Model inputs'!G66="","",'Model inputs'!G66)</f>
        <v>0.06829759836516204</v>
      </c>
      <c r="H154" s="9">
        <f>IF('Model inputs'!H66="","",'Model inputs'!H66)</f>
        <v>0.08591028021525769</v>
      </c>
      <c r="I154" s="9">
        <f>IF('Model inputs'!I66="","",'Model inputs'!I66)</f>
        <v>0.10523916656030362</v>
      </c>
      <c r="J154" s="9">
        <f>IF('Model inputs'!J66="","",'Model inputs'!J66)</f>
        <v>0.12641836467173376</v>
      </c>
      <c r="K154" s="9">
        <f>IF('Model inputs'!K66="","",'Model inputs'!K66)</f>
        <v>0.1495978780919851</v>
      </c>
      <c r="L154" s="9">
        <f>IF('Model inputs'!L66="","",'Model inputs'!L66)</f>
        <v>0.17494491910820884</v>
      </c>
      <c r="M154" s="9">
        <f>IF('Model inputs'!M66="","",'Model inputs'!M66)</f>
        <v>0.20118382797518408</v>
      </c>
      <c r="N154" s="9">
        <f>IF('Model inputs'!N66="","",'Model inputs'!N66)</f>
        <v>0.22831847756622248</v>
      </c>
      <c r="O154" s="9">
        <f>IF('Model inputs'!O66="","",'Model inputs'!O66)</f>
        <v>0.2563563802754732</v>
      </c>
      <c r="P154" s="9">
        <f>IF('Model inputs'!P66="","",'Model inputs'!P66)</f>
        <v>0.28530855467185373</v>
      </c>
      <c r="Q154" s="9">
        <f>IF('Model inputs'!Q66="","",'Model inputs'!Q66)</f>
        <v>0.3151894070071091</v>
      </c>
      <c r="R154" s="9">
        <f>IF('Model inputs'!R66="","",'Model inputs'!R66)</f>
        <v>0.34601662677187894</v>
      </c>
      <c r="S154" s="9">
        <f>IF('Model inputs'!S66="","",'Model inputs'!S66)</f>
        <v>0.3778110955566152</v>
      </c>
      <c r="T154" s="9">
        <f>IF('Model inputs'!T66="","",'Model inputs'!T66)</f>
        <v>0.41059680853327324</v>
      </c>
      <c r="U154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inputs'!U125="",0,'Model inputs'!U125)*'Model inputs'!B78/12)</f>
        <v>0</v>
      </c>
      <c r="V154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inputs'!V125*'Model inputs'!B78/12)</f>
        <v>0</v>
      </c>
      <c r="W154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inputs'!W125*'Model inputs'!B78/12)</f>
        <v>0</v>
      </c>
      <c r="X154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inputs'!X125*'Model inputs'!B78/12)</f>
        <v>0</v>
      </c>
      <c r="Y154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inputs'!Y125*'Model inputs'!B78/12)</f>
        <v>0</v>
      </c>
      <c r="Z154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inputs'!Z125*'Model inputs'!B78/12)</f>
        <v>0</v>
      </c>
      <c r="AA154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inputs'!AA125*'Model inputs'!B78/12)</f>
        <v>0</v>
      </c>
      <c r="AB154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inputs'!AB125*'Model inputs'!B78/12)</f>
        <v>0</v>
      </c>
      <c r="AC154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inputs'!AC125*'Model inputs'!B78/12)</f>
        <v>0</v>
      </c>
      <c r="AD154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inputs'!AD125*'Model inputs'!B78/12)</f>
        <v>0</v>
      </c>
      <c r="AE154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inputs'!AE125*'Model inputs'!B78/12)</f>
        <v>0</v>
      </c>
      <c r="AF154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inputs'!AF125*'Model inputs'!B78/12)</f>
        <v>0</v>
      </c>
      <c r="AG154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inputs'!AG125*'Model inputs'!B78/12)</f>
        <v>0</v>
      </c>
    </row>
    <row r="155">
      <c r="A155" t="inlineStr" s="20">
        <is>
          <t xml:space="preserve">Waitlist conversions (month 1)</t>
        </is>
      </c>
      <c r="B155" s="23">
        <v>0</v>
      </c>
    </row>
    <row r="156" outlineLevel="1">
      <c r="A156" t="inlineStr" s="21">
        <is>
          <t xml:space="preserve">Waitlist conversions (month 1) &gt; Indie</t>
        </is>
      </c>
      <c r="B156" s="22">
        <f>12</f>
        <v>12</v>
      </c>
    </row>
    <row r="157" outlineLevel="1">
      <c r="A157" t="inlineStr" s="21">
        <is>
          <t xml:space="preserve">Waitlist conversions (month 1) &gt; Launch</t>
        </is>
      </c>
      <c r="B157" s="22">
        <f>0</f>
        <v>0</v>
      </c>
    </row>
    <row r="158" outlineLevel="1">
      <c r="A158" t="inlineStr" s="21">
        <is>
          <t xml:space="preserve">Waitlist conversions (month 1) &gt; Team</t>
        </is>
      </c>
      <c r="B158" s="22">
        <f>0</f>
        <v>0</v>
      </c>
    </row>
    <row r="159">
      <c r="A159" t="inlineStr" s="20">
        <is>
          <t xml:space="preserve">Waitlist new logos</t>
        </is>
      </c>
      <c r="C159" s="7">
        <f>IF('Model inputs'!C67="","",'Model inputs'!C67)</f>
        <v>0</v>
      </c>
      <c r="D159" s="7">
        <f>IF('Model inputs'!D67="","",'Model inputs'!D67)</f>
        <v>12</v>
      </c>
      <c r="E159" s="7">
        <f>IF('Model inputs'!E67="","",'Model inputs'!E67)</f>
        <v>0</v>
      </c>
      <c r="F159" s="7">
        <f>IF('Model inputs'!F67="","",'Model inputs'!F67)</f>
        <v>0</v>
      </c>
      <c r="G159" s="7">
        <f>IF('Model inputs'!G67="","",'Model inputs'!G67)</f>
        <v>0</v>
      </c>
      <c r="H159" s="7">
        <f>IF('Model inputs'!H67="","",'Model inputs'!H67)</f>
        <v>0</v>
      </c>
      <c r="I159" s="7">
        <f>IF('Model inputs'!I67="","",'Model inputs'!I67)</f>
        <v>0</v>
      </c>
      <c r="J159" s="7">
        <f>IF('Model inputs'!J67="","",'Model inputs'!J67)</f>
        <v>0</v>
      </c>
      <c r="K159" s="7">
        <f>IF('Model inputs'!K67="","",'Model inputs'!K67)</f>
        <v>0</v>
      </c>
      <c r="L159" s="7">
        <f>IF('Model inputs'!L67="","",'Model inputs'!L67)</f>
        <v>0</v>
      </c>
      <c r="M159" s="7">
        <f>IF('Model inputs'!M67="","",'Model inputs'!M67)</f>
        <v>0</v>
      </c>
      <c r="N159" s="7">
        <f>IF('Model inputs'!N67="","",'Model inputs'!N67)</f>
        <v>0</v>
      </c>
      <c r="O159" s="7">
        <f>IF('Model inputs'!O67="","",'Model inputs'!O67)</f>
        <v>0</v>
      </c>
      <c r="P159" s="7">
        <f>IF('Model inputs'!P67="","",'Model inputs'!P67)</f>
        <v>0</v>
      </c>
      <c r="Q159" s="7">
        <f>IF('Model inputs'!Q67="","",'Model inputs'!Q67)</f>
        <v>0</v>
      </c>
      <c r="R159" s="7">
        <f>IF('Model inputs'!R67="","",'Model inputs'!R67)</f>
        <v>0</v>
      </c>
      <c r="S159" s="7">
        <f>IF('Model inputs'!S67="","",'Model inputs'!S67)</f>
        <v>0</v>
      </c>
      <c r="T159" s="7">
        <f>IF('Model inputs'!T67="","",'Model inputs'!T67)</f>
        <v>0</v>
      </c>
      <c r="U159" s="7">
        <f>SUM('Model inputs'!U160,'Model inputs'!U161,'Model inputs'!U162)</f>
        <v>0</v>
      </c>
      <c r="V159" s="7">
        <f>SUM('Model inputs'!V160,'Model inputs'!V161,'Model inputs'!V162)</f>
        <v>0</v>
      </c>
      <c r="W159" s="7">
        <f>SUM('Model inputs'!W160,'Model inputs'!W161,'Model inputs'!W162)</f>
        <v>0</v>
      </c>
      <c r="X159" s="7">
        <f>SUM('Model inputs'!X160,'Model inputs'!X161,'Model inputs'!X162)</f>
        <v>0</v>
      </c>
      <c r="Y159" s="7">
        <f>SUM('Model inputs'!Y160,'Model inputs'!Y161,'Model inputs'!Y162)</f>
        <v>0</v>
      </c>
      <c r="Z159" s="7">
        <f>SUM('Model inputs'!Z160,'Model inputs'!Z161,'Model inputs'!Z162)</f>
        <v>0</v>
      </c>
      <c r="AA159" s="7">
        <f>SUM('Model inputs'!AA160,'Model inputs'!AA161,'Model inputs'!AA162)</f>
        <v>0</v>
      </c>
      <c r="AB159" s="7">
        <f>SUM('Model inputs'!AB160,'Model inputs'!AB161,'Model inputs'!AB162)</f>
        <v>0</v>
      </c>
      <c r="AC159" s="7">
        <f>SUM('Model inputs'!AC160,'Model inputs'!AC161,'Model inputs'!AC162)</f>
        <v>0</v>
      </c>
      <c r="AD159" s="7">
        <f>SUM('Model inputs'!AD160,'Model inputs'!AD161,'Model inputs'!AD162)</f>
        <v>0</v>
      </c>
      <c r="AE159" s="7">
        <f>SUM('Model inputs'!AE160,'Model inputs'!AE161,'Model inputs'!AE162)</f>
        <v>0</v>
      </c>
      <c r="AF159" s="7">
        <f>SUM('Model inputs'!AF160,'Model inputs'!AF161,'Model inputs'!AF162)</f>
        <v>0</v>
      </c>
      <c r="AG159" s="7">
        <f>SUM('Model inputs'!AG160,'Model inputs'!AG161,'Model inputs'!AG162)</f>
        <v>0</v>
      </c>
    </row>
    <row r="160" outlineLevel="1">
      <c r="A160" t="inlineStr" s="21">
        <is>
          <t xml:space="preserve">Waitlist new logos &gt; Indie</t>
        </is>
      </c>
      <c r="C160" s="9">
        <f>IF('Model inputs'!C68="","",'Model inputs'!C68)</f>
        <v>0</v>
      </c>
      <c r="D160" s="9">
        <f>IF('Model inputs'!D68="","",'Model inputs'!D68)</f>
        <v>12</v>
      </c>
      <c r="E160" s="9">
        <f>IF('Model inputs'!E68="","",'Model inputs'!E68)</f>
        <v>0</v>
      </c>
      <c r="F160" s="9">
        <f>IF('Model inputs'!F68="","",'Model inputs'!F68)</f>
        <v>0</v>
      </c>
      <c r="G160" s="9">
        <f>IF('Model inputs'!G68="","",'Model inputs'!G68)</f>
        <v>0</v>
      </c>
      <c r="H160" s="9">
        <f>IF('Model inputs'!H68="","",'Model inputs'!H68)</f>
        <v>0</v>
      </c>
      <c r="I160" s="9">
        <f>IF('Model inputs'!I68="","",'Model inputs'!I68)</f>
        <v>0</v>
      </c>
      <c r="J160" s="9">
        <f>IF('Model inputs'!J68="","",'Model inputs'!J68)</f>
        <v>0</v>
      </c>
      <c r="K160" s="9">
        <f>IF('Model inputs'!K68="","",'Model inputs'!K68)</f>
        <v>0</v>
      </c>
      <c r="L160" s="9">
        <f>IF('Model inputs'!L68="","",'Model inputs'!L68)</f>
        <v>0</v>
      </c>
      <c r="M160" s="9">
        <f>IF('Model inputs'!M68="","",'Model inputs'!M68)</f>
        <v>0</v>
      </c>
      <c r="N160" s="9">
        <f>IF('Model inputs'!N68="","",'Model inputs'!N68)</f>
        <v>0</v>
      </c>
      <c r="O160" s="9">
        <f>IF('Model inputs'!O68="","",'Model inputs'!O68)</f>
        <v>0</v>
      </c>
      <c r="P160" s="9">
        <f>IF('Model inputs'!P68="","",'Model inputs'!P68)</f>
        <v>0</v>
      </c>
      <c r="Q160" s="9">
        <f>IF('Model inputs'!Q68="","",'Model inputs'!Q68)</f>
        <v>0</v>
      </c>
      <c r="R160" s="9">
        <f>IF('Model inputs'!R68="","",'Model inputs'!R68)</f>
        <v>0</v>
      </c>
      <c r="S160" s="9">
        <f>IF('Model inputs'!S68="","",'Model inputs'!S68)</f>
        <v>0</v>
      </c>
      <c r="T160" s="9">
        <f>IF('Model inputs'!T68="","",'Model inputs'!T68)</f>
        <v>0</v>
      </c>
      <c r="U160" s="9">
        <f>IF(IF(IF(ISERROR('Model inputs'!U116=1),'Model inputs'!U116=1,IF('Model inputs'!U116="","",'Model inputs'!U116=1))="",FALSE,IF(ISERROR('Model inputs'!U116=1),'Model inputs'!U116=1,IF('Model inputs'!U116="","",'Model inputs'!U116=1))),IF('Model inputs'!B156="","",'Model inputs'!B156),0)</f>
        <v>0</v>
      </c>
      <c r="V160" s="9">
        <f>IF(IF(IF(ISERROR('Model inputs'!V116=1),'Model inputs'!V116=1,IF('Model inputs'!V116="","",'Model inputs'!V116=1))="",FALSE,IF(ISERROR('Model inputs'!V116=1),'Model inputs'!V116=1,IF('Model inputs'!V116="","",'Model inputs'!V116=1))),IF('Model inputs'!B156="","",'Model inputs'!B156),0)</f>
        <v>0</v>
      </c>
      <c r="W160" s="9">
        <f>IF(IF(IF(ISERROR('Model inputs'!W116=1),'Model inputs'!W116=1,IF('Model inputs'!W116="","",'Model inputs'!W116=1))="",FALSE,IF(ISERROR('Model inputs'!W116=1),'Model inputs'!W116=1,IF('Model inputs'!W116="","",'Model inputs'!W116=1))),IF('Model inputs'!B156="","",'Model inputs'!B156),0)</f>
        <v>0</v>
      </c>
      <c r="X160" s="9">
        <f>IF(IF(IF(ISERROR('Model inputs'!X116=1),'Model inputs'!X116=1,IF('Model inputs'!X116="","",'Model inputs'!X116=1))="",FALSE,IF(ISERROR('Model inputs'!X116=1),'Model inputs'!X116=1,IF('Model inputs'!X116="","",'Model inputs'!X116=1))),IF('Model inputs'!B156="","",'Model inputs'!B156),0)</f>
        <v>0</v>
      </c>
      <c r="Y160" s="9">
        <f>IF(IF(IF(ISERROR('Model inputs'!Y116=1),'Model inputs'!Y116=1,IF('Model inputs'!Y116="","",'Model inputs'!Y116=1))="",FALSE,IF(ISERROR('Model inputs'!Y116=1),'Model inputs'!Y116=1,IF('Model inputs'!Y116="","",'Model inputs'!Y116=1))),IF('Model inputs'!B156="","",'Model inputs'!B156),0)</f>
        <v>0</v>
      </c>
      <c r="Z160" s="9">
        <f>IF(IF(IF(ISERROR('Model inputs'!Z116=1),'Model inputs'!Z116=1,IF('Model inputs'!Z116="","",'Model inputs'!Z116=1))="",FALSE,IF(ISERROR('Model inputs'!Z116=1),'Model inputs'!Z116=1,IF('Model inputs'!Z116="","",'Model inputs'!Z116=1))),IF('Model inputs'!B156="","",'Model inputs'!B156),0)</f>
        <v>0</v>
      </c>
      <c r="AA160" s="9">
        <f>IF(IF(IF(ISERROR('Model inputs'!AA116=1),'Model inputs'!AA116=1,IF('Model inputs'!AA116="","",'Model inputs'!AA116=1))="",FALSE,IF(ISERROR('Model inputs'!AA116=1),'Model inputs'!AA116=1,IF('Model inputs'!AA116="","",'Model inputs'!AA116=1))),IF('Model inputs'!B156="","",'Model inputs'!B156),0)</f>
        <v>0</v>
      </c>
      <c r="AB160" s="9">
        <f>IF(IF(IF(ISERROR('Model inputs'!AB116=1),'Model inputs'!AB116=1,IF('Model inputs'!AB116="","",'Model inputs'!AB116=1))="",FALSE,IF(ISERROR('Model inputs'!AB116=1),'Model inputs'!AB116=1,IF('Model inputs'!AB116="","",'Model inputs'!AB116=1))),IF('Model inputs'!B156="","",'Model inputs'!B156),0)</f>
        <v>0</v>
      </c>
      <c r="AC160" s="9">
        <f>IF(IF(IF(ISERROR('Model inputs'!AC116=1),'Model inputs'!AC116=1,IF('Model inputs'!AC116="","",'Model inputs'!AC116=1))="",FALSE,IF(ISERROR('Model inputs'!AC116=1),'Model inputs'!AC116=1,IF('Model inputs'!AC116="","",'Model inputs'!AC116=1))),IF('Model inputs'!B156="","",'Model inputs'!B156),0)</f>
        <v>0</v>
      </c>
      <c r="AD160" s="9">
        <f>IF(IF(IF(ISERROR('Model inputs'!AD116=1),'Model inputs'!AD116=1,IF('Model inputs'!AD116="","",'Model inputs'!AD116=1))="",FALSE,IF(ISERROR('Model inputs'!AD116=1),'Model inputs'!AD116=1,IF('Model inputs'!AD116="","",'Model inputs'!AD116=1))),IF('Model inputs'!B156="","",'Model inputs'!B156),0)</f>
        <v>0</v>
      </c>
      <c r="AE160" s="9">
        <f>IF(IF(IF(ISERROR('Model inputs'!AE116=1),'Model inputs'!AE116=1,IF('Model inputs'!AE116="","",'Model inputs'!AE116=1))="",FALSE,IF(ISERROR('Model inputs'!AE116=1),'Model inputs'!AE116=1,IF('Model inputs'!AE116="","",'Model inputs'!AE116=1))),IF('Model inputs'!B156="","",'Model inputs'!B156),0)</f>
        <v>0</v>
      </c>
      <c r="AF160" s="9">
        <f>IF(IF(IF(ISERROR('Model inputs'!AF116=1),'Model inputs'!AF116=1,IF('Model inputs'!AF116="","",'Model inputs'!AF116=1))="",FALSE,IF(ISERROR('Model inputs'!AF116=1),'Model inputs'!AF116=1,IF('Model inputs'!AF116="","",'Model inputs'!AF116=1))),IF('Model inputs'!B156="","",'Model inputs'!B156),0)</f>
        <v>0</v>
      </c>
      <c r="AG160" s="9">
        <f>IF(IF(IF(ISERROR('Model inputs'!AG116=1),'Model inputs'!AG116=1,IF('Model inputs'!AG116="","",'Model inputs'!AG116=1))="",FALSE,IF(ISERROR('Model inputs'!AG116=1),'Model inputs'!AG116=1,IF('Model inputs'!AG116="","",'Model inputs'!AG116=1))),IF('Model inputs'!B156="","",'Model inputs'!B156),0)</f>
        <v>0</v>
      </c>
    </row>
    <row r="161" outlineLevel="1">
      <c r="A161" t="inlineStr" s="21">
        <is>
          <t xml:space="preserve">Waitlist new logos &gt; Launch</t>
        </is>
      </c>
      <c r="C161" s="9">
        <f>IF('Model inputs'!C69="","",'Model inputs'!C69)</f>
        <v>0</v>
      </c>
      <c r="D161" s="9">
        <f>IF('Model inputs'!D69="","",'Model inputs'!D69)</f>
        <v>0</v>
      </c>
      <c r="E161" s="9">
        <f>IF('Model inputs'!E69="","",'Model inputs'!E69)</f>
        <v>0</v>
      </c>
      <c r="F161" s="9">
        <f>IF('Model inputs'!F69="","",'Model inputs'!F69)</f>
        <v>0</v>
      </c>
      <c r="G161" s="9">
        <f>IF('Model inputs'!G69="","",'Model inputs'!G69)</f>
        <v>0</v>
      </c>
      <c r="H161" s="9">
        <f>IF('Model inputs'!H69="","",'Model inputs'!H69)</f>
        <v>0</v>
      </c>
      <c r="I161" s="9">
        <f>IF('Model inputs'!I69="","",'Model inputs'!I69)</f>
        <v>0</v>
      </c>
      <c r="J161" s="9">
        <f>IF('Model inputs'!J69="","",'Model inputs'!J69)</f>
        <v>0</v>
      </c>
      <c r="K161" s="9">
        <f>IF('Model inputs'!K69="","",'Model inputs'!K69)</f>
        <v>0</v>
      </c>
      <c r="L161" s="9">
        <f>IF('Model inputs'!L69="","",'Model inputs'!L69)</f>
        <v>0</v>
      </c>
      <c r="M161" s="9">
        <f>IF('Model inputs'!M69="","",'Model inputs'!M69)</f>
        <v>0</v>
      </c>
      <c r="N161" s="9">
        <f>IF('Model inputs'!N69="","",'Model inputs'!N69)</f>
        <v>0</v>
      </c>
      <c r="O161" s="9">
        <f>IF('Model inputs'!O69="","",'Model inputs'!O69)</f>
        <v>0</v>
      </c>
      <c r="P161" s="9">
        <f>IF('Model inputs'!P69="","",'Model inputs'!P69)</f>
        <v>0</v>
      </c>
      <c r="Q161" s="9">
        <f>IF('Model inputs'!Q69="","",'Model inputs'!Q69)</f>
        <v>0</v>
      </c>
      <c r="R161" s="9">
        <f>IF('Model inputs'!R69="","",'Model inputs'!R69)</f>
        <v>0</v>
      </c>
      <c r="S161" s="9">
        <f>IF('Model inputs'!S69="","",'Model inputs'!S69)</f>
        <v>0</v>
      </c>
      <c r="T161" s="9">
        <f>IF('Model inputs'!T69="","",'Model inputs'!T69)</f>
        <v>0</v>
      </c>
      <c r="U161" s="9">
        <f>IF(IF(IF(ISERROR('Model inputs'!U116=1),'Model inputs'!U116=1,IF('Model inputs'!U116="","",'Model inputs'!U116=1))="",FALSE,IF(ISERROR('Model inputs'!U116=1),'Model inputs'!U116=1,IF('Model inputs'!U116="","",'Model inputs'!U116=1))),IF('Model inputs'!B157="","",'Model inputs'!B157),0)</f>
        <v>0</v>
      </c>
      <c r="V161" s="9">
        <f>IF(IF(IF(ISERROR('Model inputs'!V116=1),'Model inputs'!V116=1,IF('Model inputs'!V116="","",'Model inputs'!V116=1))="",FALSE,IF(ISERROR('Model inputs'!V116=1),'Model inputs'!V116=1,IF('Model inputs'!V116="","",'Model inputs'!V116=1))),IF('Model inputs'!B157="","",'Model inputs'!B157),0)</f>
        <v>0</v>
      </c>
      <c r="W161" s="9">
        <f>IF(IF(IF(ISERROR('Model inputs'!W116=1),'Model inputs'!W116=1,IF('Model inputs'!W116="","",'Model inputs'!W116=1))="",FALSE,IF(ISERROR('Model inputs'!W116=1),'Model inputs'!W116=1,IF('Model inputs'!W116="","",'Model inputs'!W116=1))),IF('Model inputs'!B157="","",'Model inputs'!B157),0)</f>
        <v>0</v>
      </c>
      <c r="X161" s="9">
        <f>IF(IF(IF(ISERROR('Model inputs'!X116=1),'Model inputs'!X116=1,IF('Model inputs'!X116="","",'Model inputs'!X116=1))="",FALSE,IF(ISERROR('Model inputs'!X116=1),'Model inputs'!X116=1,IF('Model inputs'!X116="","",'Model inputs'!X116=1))),IF('Model inputs'!B157="","",'Model inputs'!B157),0)</f>
        <v>0</v>
      </c>
      <c r="Y161" s="9">
        <f>IF(IF(IF(ISERROR('Model inputs'!Y116=1),'Model inputs'!Y116=1,IF('Model inputs'!Y116="","",'Model inputs'!Y116=1))="",FALSE,IF(ISERROR('Model inputs'!Y116=1),'Model inputs'!Y116=1,IF('Model inputs'!Y116="","",'Model inputs'!Y116=1))),IF('Model inputs'!B157="","",'Model inputs'!B157),0)</f>
        <v>0</v>
      </c>
      <c r="Z161" s="9">
        <f>IF(IF(IF(ISERROR('Model inputs'!Z116=1),'Model inputs'!Z116=1,IF('Model inputs'!Z116="","",'Model inputs'!Z116=1))="",FALSE,IF(ISERROR('Model inputs'!Z116=1),'Model inputs'!Z116=1,IF('Model inputs'!Z116="","",'Model inputs'!Z116=1))),IF('Model inputs'!B157="","",'Model inputs'!B157),0)</f>
        <v>0</v>
      </c>
      <c r="AA161" s="9">
        <f>IF(IF(IF(ISERROR('Model inputs'!AA116=1),'Model inputs'!AA116=1,IF('Model inputs'!AA116="","",'Model inputs'!AA116=1))="",FALSE,IF(ISERROR('Model inputs'!AA116=1),'Model inputs'!AA116=1,IF('Model inputs'!AA116="","",'Model inputs'!AA116=1))),IF('Model inputs'!B157="","",'Model inputs'!B157),0)</f>
        <v>0</v>
      </c>
      <c r="AB161" s="9">
        <f>IF(IF(IF(ISERROR('Model inputs'!AB116=1),'Model inputs'!AB116=1,IF('Model inputs'!AB116="","",'Model inputs'!AB116=1))="",FALSE,IF(ISERROR('Model inputs'!AB116=1),'Model inputs'!AB116=1,IF('Model inputs'!AB116="","",'Model inputs'!AB116=1))),IF('Model inputs'!B157="","",'Model inputs'!B157),0)</f>
        <v>0</v>
      </c>
      <c r="AC161" s="9">
        <f>IF(IF(IF(ISERROR('Model inputs'!AC116=1),'Model inputs'!AC116=1,IF('Model inputs'!AC116="","",'Model inputs'!AC116=1))="",FALSE,IF(ISERROR('Model inputs'!AC116=1),'Model inputs'!AC116=1,IF('Model inputs'!AC116="","",'Model inputs'!AC116=1))),IF('Model inputs'!B157="","",'Model inputs'!B157),0)</f>
        <v>0</v>
      </c>
      <c r="AD161" s="9">
        <f>IF(IF(IF(ISERROR('Model inputs'!AD116=1),'Model inputs'!AD116=1,IF('Model inputs'!AD116="","",'Model inputs'!AD116=1))="",FALSE,IF(ISERROR('Model inputs'!AD116=1),'Model inputs'!AD116=1,IF('Model inputs'!AD116="","",'Model inputs'!AD116=1))),IF('Model inputs'!B157="","",'Model inputs'!B157),0)</f>
        <v>0</v>
      </c>
      <c r="AE161" s="9">
        <f>IF(IF(IF(ISERROR('Model inputs'!AE116=1),'Model inputs'!AE116=1,IF('Model inputs'!AE116="","",'Model inputs'!AE116=1))="",FALSE,IF(ISERROR('Model inputs'!AE116=1),'Model inputs'!AE116=1,IF('Model inputs'!AE116="","",'Model inputs'!AE116=1))),IF('Model inputs'!B157="","",'Model inputs'!B157),0)</f>
        <v>0</v>
      </c>
      <c r="AF161" s="9">
        <f>IF(IF(IF(ISERROR('Model inputs'!AF116=1),'Model inputs'!AF116=1,IF('Model inputs'!AF116="","",'Model inputs'!AF116=1))="",FALSE,IF(ISERROR('Model inputs'!AF116=1),'Model inputs'!AF116=1,IF('Model inputs'!AF116="","",'Model inputs'!AF116=1))),IF('Model inputs'!B157="","",'Model inputs'!B157),0)</f>
        <v>0</v>
      </c>
      <c r="AG161" s="9">
        <f>IF(IF(IF(ISERROR('Model inputs'!AG116=1),'Model inputs'!AG116=1,IF('Model inputs'!AG116="","",'Model inputs'!AG116=1))="",FALSE,IF(ISERROR('Model inputs'!AG116=1),'Model inputs'!AG116=1,IF('Model inputs'!AG116="","",'Model inputs'!AG116=1))),IF('Model inputs'!B157="","",'Model inputs'!B157),0)</f>
        <v>0</v>
      </c>
    </row>
    <row r="162" outlineLevel="1">
      <c r="A162" t="inlineStr" s="21">
        <is>
          <t xml:space="preserve">Waitlist new logos &gt; Team</t>
        </is>
      </c>
      <c r="C162" s="9">
        <f>IF('Model inputs'!C70="","",'Model inputs'!C70)</f>
        <v>0</v>
      </c>
      <c r="D162" s="9">
        <f>IF('Model inputs'!D70="","",'Model inputs'!D70)</f>
        <v>0</v>
      </c>
      <c r="E162" s="9">
        <f>IF('Model inputs'!E70="","",'Model inputs'!E70)</f>
        <v>0</v>
      </c>
      <c r="F162" s="9">
        <f>IF('Model inputs'!F70="","",'Model inputs'!F70)</f>
        <v>0</v>
      </c>
      <c r="G162" s="9">
        <f>IF('Model inputs'!G70="","",'Model inputs'!G70)</f>
        <v>0</v>
      </c>
      <c r="H162" s="9">
        <f>IF('Model inputs'!H70="","",'Model inputs'!H70)</f>
        <v>0</v>
      </c>
      <c r="I162" s="9">
        <f>IF('Model inputs'!I70="","",'Model inputs'!I70)</f>
        <v>0</v>
      </c>
      <c r="J162" s="9">
        <f>IF('Model inputs'!J70="","",'Model inputs'!J70)</f>
        <v>0</v>
      </c>
      <c r="K162" s="9">
        <f>IF('Model inputs'!K70="","",'Model inputs'!K70)</f>
        <v>0</v>
      </c>
      <c r="L162" s="9">
        <f>IF('Model inputs'!L70="","",'Model inputs'!L70)</f>
        <v>0</v>
      </c>
      <c r="M162" s="9">
        <f>IF('Model inputs'!M70="","",'Model inputs'!M70)</f>
        <v>0</v>
      </c>
      <c r="N162" s="9">
        <f>IF('Model inputs'!N70="","",'Model inputs'!N70)</f>
        <v>0</v>
      </c>
      <c r="O162" s="9">
        <f>IF('Model inputs'!O70="","",'Model inputs'!O70)</f>
        <v>0</v>
      </c>
      <c r="P162" s="9">
        <f>IF('Model inputs'!P70="","",'Model inputs'!P70)</f>
        <v>0</v>
      </c>
      <c r="Q162" s="9">
        <f>IF('Model inputs'!Q70="","",'Model inputs'!Q70)</f>
        <v>0</v>
      </c>
      <c r="R162" s="9">
        <f>IF('Model inputs'!R70="","",'Model inputs'!R70)</f>
        <v>0</v>
      </c>
      <c r="S162" s="9">
        <f>IF('Model inputs'!S70="","",'Model inputs'!S70)</f>
        <v>0</v>
      </c>
      <c r="T162" s="9">
        <f>IF('Model inputs'!T70="","",'Model inputs'!T70)</f>
        <v>0</v>
      </c>
      <c r="U162" s="9">
        <f>IF(IF(IF(ISERROR('Model inputs'!U116=1),'Model inputs'!U116=1,IF('Model inputs'!U116="","",'Model inputs'!U116=1))="",FALSE,IF(ISERROR('Model inputs'!U116=1),'Model inputs'!U116=1,IF('Model inputs'!U116="","",'Model inputs'!U116=1))),IF('Model inputs'!B158="","",'Model inputs'!B158),0)</f>
        <v>0</v>
      </c>
      <c r="V162" s="9">
        <f>IF(IF(IF(ISERROR('Model inputs'!V116=1),'Model inputs'!V116=1,IF('Model inputs'!V116="","",'Model inputs'!V116=1))="",FALSE,IF(ISERROR('Model inputs'!V116=1),'Model inputs'!V116=1,IF('Model inputs'!V116="","",'Model inputs'!V116=1))),IF('Model inputs'!B158="","",'Model inputs'!B158),0)</f>
        <v>0</v>
      </c>
      <c r="W162" s="9">
        <f>IF(IF(IF(ISERROR('Model inputs'!W116=1),'Model inputs'!W116=1,IF('Model inputs'!W116="","",'Model inputs'!W116=1))="",FALSE,IF(ISERROR('Model inputs'!W116=1),'Model inputs'!W116=1,IF('Model inputs'!W116="","",'Model inputs'!W116=1))),IF('Model inputs'!B158="","",'Model inputs'!B158),0)</f>
        <v>0</v>
      </c>
      <c r="X162" s="9">
        <f>IF(IF(IF(ISERROR('Model inputs'!X116=1),'Model inputs'!X116=1,IF('Model inputs'!X116="","",'Model inputs'!X116=1))="",FALSE,IF(ISERROR('Model inputs'!X116=1),'Model inputs'!X116=1,IF('Model inputs'!X116="","",'Model inputs'!X116=1))),IF('Model inputs'!B158="","",'Model inputs'!B158),0)</f>
        <v>0</v>
      </c>
      <c r="Y162" s="9">
        <f>IF(IF(IF(ISERROR('Model inputs'!Y116=1),'Model inputs'!Y116=1,IF('Model inputs'!Y116="","",'Model inputs'!Y116=1))="",FALSE,IF(ISERROR('Model inputs'!Y116=1),'Model inputs'!Y116=1,IF('Model inputs'!Y116="","",'Model inputs'!Y116=1))),IF('Model inputs'!B158="","",'Model inputs'!B158),0)</f>
        <v>0</v>
      </c>
      <c r="Z162" s="9">
        <f>IF(IF(IF(ISERROR('Model inputs'!Z116=1),'Model inputs'!Z116=1,IF('Model inputs'!Z116="","",'Model inputs'!Z116=1))="",FALSE,IF(ISERROR('Model inputs'!Z116=1),'Model inputs'!Z116=1,IF('Model inputs'!Z116="","",'Model inputs'!Z116=1))),IF('Model inputs'!B158="","",'Model inputs'!B158),0)</f>
        <v>0</v>
      </c>
      <c r="AA162" s="9">
        <f>IF(IF(IF(ISERROR('Model inputs'!AA116=1),'Model inputs'!AA116=1,IF('Model inputs'!AA116="","",'Model inputs'!AA116=1))="",FALSE,IF(ISERROR('Model inputs'!AA116=1),'Model inputs'!AA116=1,IF('Model inputs'!AA116="","",'Model inputs'!AA116=1))),IF('Model inputs'!B158="","",'Model inputs'!B158),0)</f>
        <v>0</v>
      </c>
      <c r="AB162" s="9">
        <f>IF(IF(IF(ISERROR('Model inputs'!AB116=1),'Model inputs'!AB116=1,IF('Model inputs'!AB116="","",'Model inputs'!AB116=1))="",FALSE,IF(ISERROR('Model inputs'!AB116=1),'Model inputs'!AB116=1,IF('Model inputs'!AB116="","",'Model inputs'!AB116=1))),IF('Model inputs'!B158="","",'Model inputs'!B158),0)</f>
        <v>0</v>
      </c>
      <c r="AC162" s="9">
        <f>IF(IF(IF(ISERROR('Model inputs'!AC116=1),'Model inputs'!AC116=1,IF('Model inputs'!AC116="","",'Model inputs'!AC116=1))="",FALSE,IF(ISERROR('Model inputs'!AC116=1),'Model inputs'!AC116=1,IF('Model inputs'!AC116="","",'Model inputs'!AC116=1))),IF('Model inputs'!B158="","",'Model inputs'!B158),0)</f>
        <v>0</v>
      </c>
      <c r="AD162" s="9">
        <f>IF(IF(IF(ISERROR('Model inputs'!AD116=1),'Model inputs'!AD116=1,IF('Model inputs'!AD116="","",'Model inputs'!AD116=1))="",FALSE,IF(ISERROR('Model inputs'!AD116=1),'Model inputs'!AD116=1,IF('Model inputs'!AD116="","",'Model inputs'!AD116=1))),IF('Model inputs'!B158="","",'Model inputs'!B158),0)</f>
        <v>0</v>
      </c>
      <c r="AE162" s="9">
        <f>IF(IF(IF(ISERROR('Model inputs'!AE116=1),'Model inputs'!AE116=1,IF('Model inputs'!AE116="","",'Model inputs'!AE116=1))="",FALSE,IF(ISERROR('Model inputs'!AE116=1),'Model inputs'!AE116=1,IF('Model inputs'!AE116="","",'Model inputs'!AE116=1))),IF('Model inputs'!B158="","",'Model inputs'!B158),0)</f>
        <v>0</v>
      </c>
      <c r="AF162" s="9">
        <f>IF(IF(IF(ISERROR('Model inputs'!AF116=1),'Model inputs'!AF116=1,IF('Model inputs'!AF116="","",'Model inputs'!AF116=1))="",FALSE,IF(ISERROR('Model inputs'!AF116=1),'Model inputs'!AF116=1,IF('Model inputs'!AF116="","",'Model inputs'!AF116=1))),IF('Model inputs'!B158="","",'Model inputs'!B158),0)</f>
        <v>0</v>
      </c>
      <c r="AG162" s="9">
        <f>IF(IF(IF(ISERROR('Model inputs'!AG116=1),'Model inputs'!AG116=1,IF('Model inputs'!AG116="","",'Model inputs'!AG116=1))="",FALSE,IF(ISERROR('Model inputs'!AG116=1),'Model inputs'!AG116=1,IF('Model inputs'!AG116="","",'Model inputs'!AG116=1))),IF('Model inputs'!B158="","",'Model inputs'!B158),0)</f>
        <v>0</v>
      </c>
    </row>
    <row r="163">
      <c r="A163" t="inlineStr" s="20">
        <is>
          <t xml:space="preserve">Annual payers</t>
        </is>
      </c>
      <c r="C163" s="7">
        <f>SUM('Model inputs'!C164,'Model inputs'!C165,'Model inputs'!C166)</f>
        <v>0</v>
      </c>
      <c r="D163" s="7">
        <f>SUM('Model inputs'!D164,'Model inputs'!D165,'Model inputs'!D166)</f>
        <v>0.6166805555555555</v>
      </c>
      <c r="E163" s="7">
        <f>SUM('Model inputs'!E164,'Model inputs'!E165,'Model inputs'!E166)</f>
        <v>1.7001509259259258</v>
      </c>
      <c r="F163" s="7">
        <f>SUM('Model inputs'!F164,'Model inputs'!F165,'Model inputs'!F166)</f>
        <v>3.3142262436921293</v>
      </c>
      <c r="G163" s="7">
        <f>SUM('Model inputs'!G164,'Model inputs'!G165,'Model inputs'!G166)</f>
        <v>5.52896673923296</v>
      </c>
      <c r="H163" s="7">
        <f>SUM('Model inputs'!H164,'Model inputs'!H165,'Model inputs'!H166)</f>
        <v>8.421658634455934</v>
      </c>
      <c r="I163" s="7">
        <f>SUM('Model inputs'!I164,'Model inputs'!I165,'Model inputs'!I166)</f>
        <v>12.077888205449133</v>
      </c>
      <c r="J163" s="7">
        <f>SUM('Model inputs'!J164,'Model inputs'!J165,'Model inputs'!J166)</f>
        <v>14.22233257679</v>
      </c>
      <c r="K163" s="7">
        <f>SUM('Model inputs'!K164,'Model inputs'!K165,'Model inputs'!K166)</f>
        <v>16.55400161722904</v>
      </c>
      <c r="L163" s="7">
        <f>SUM('Model inputs'!L164,'Model inputs'!L165,'Model inputs'!L166)</f>
        <v>18.966421257560743</v>
      </c>
      <c r="M163" s="7">
        <f>SUM('Model inputs'!M164,'Model inputs'!M165,'Model inputs'!M166)</f>
        <v>21.4601414673846</v>
      </c>
      <c r="N163" s="7">
        <f>SUM('Model inputs'!N164,'Model inputs'!N165,'Model inputs'!N166)</f>
        <v>24.036015921832515</v>
      </c>
      <c r="O163" s="7">
        <f>SUM('Model inputs'!O164,'Model inputs'!O165,'Model inputs'!O166)</f>
        <v>26.6951921045445</v>
      </c>
      <c r="P163" s="7">
        <f>SUM('Model inputs'!P164,'Model inputs'!P165,'Model inputs'!P166)</f>
        <v>29.439102592159472</v>
      </c>
      <c r="Q163" s="7">
        <f>SUM('Model inputs'!Q164,'Model inputs'!Q165,'Model inputs'!Q166)</f>
        <v>32.26945745879919</v>
      </c>
      <c r="R163" s="7">
        <f>SUM('Model inputs'!R164,'Model inputs'!R165,'Model inputs'!R166)</f>
        <v>35.18823774393777</v>
      </c>
      <c r="S163" s="7">
        <f>SUM('Model inputs'!S164,'Model inputs'!S165,'Model inputs'!S166)</f>
        <v>38.19768993166413</v>
      </c>
      <c r="T163" s="7">
        <f>SUM('Model inputs'!T164,'Model inputs'!T165,'Model inputs'!T166)</f>
        <v>41.30032139368141</v>
      </c>
      <c r="U163" s="7">
        <f>SUM('Model inputs'!U164,'Model inputs'!U165,'Model inputs'!U166)</f>
        <v>0</v>
      </c>
      <c r="V163" s="7">
        <f>SUM('Model inputs'!V164,'Model inputs'!V165,'Model inputs'!V166)</f>
        <v>0</v>
      </c>
      <c r="W163" s="7">
        <f>SUM('Model inputs'!W164,'Model inputs'!W165,'Model inputs'!W166)</f>
        <v>0</v>
      </c>
      <c r="X163" s="7">
        <f>SUM('Model inputs'!X164,'Model inputs'!X165,'Model inputs'!X166)</f>
        <v>0</v>
      </c>
      <c r="Y163" s="7">
        <f>SUM('Model inputs'!Y164,'Model inputs'!Y165,'Model inputs'!Y166)</f>
        <v>0</v>
      </c>
      <c r="Z163" s="7">
        <f>SUM('Model inputs'!Z164,'Model inputs'!Z165,'Model inputs'!Z166)</f>
        <v>0</v>
      </c>
      <c r="AA163" s="7">
        <f>SUM('Model inputs'!AA164,'Model inputs'!AA165,'Model inputs'!AA166)</f>
        <v>0</v>
      </c>
      <c r="AB163" s="7">
        <f>SUM('Model inputs'!AB164,'Model inputs'!AB165,'Model inputs'!AB166)</f>
        <v>0</v>
      </c>
      <c r="AC163" s="7">
        <f>SUM('Model inputs'!AC164,'Model inputs'!AC165,'Model inputs'!AC166)</f>
        <v>0</v>
      </c>
      <c r="AD163" s="7">
        <f>SUM('Model inputs'!AD164,'Model inputs'!AD165,'Model inputs'!AD166)</f>
        <v>0</v>
      </c>
      <c r="AE163" s="7">
        <f>SUM('Model inputs'!AE164,'Model inputs'!AE165,'Model inputs'!AE166)</f>
        <v>0</v>
      </c>
      <c r="AF163" s="7">
        <f>SUM('Model inputs'!AF164,'Model inputs'!AF165,'Model inputs'!AF166)</f>
        <v>0</v>
      </c>
      <c r="AG163" s="7">
        <f>SUM('Model inputs'!AG164,'Model inputs'!AG165,'Model inputs'!AG166)</f>
        <v>0</v>
      </c>
    </row>
    <row r="164" outlineLevel="1">
      <c r="A164" t="inlineStr" s="21">
        <is>
          <t xml:space="preserve">Annual payers &gt; Indie</t>
        </is>
      </c>
      <c r="C164" s="9">
        <f>'Model inputs'!C72*'Model inputs'!C200</f>
        <v>0</v>
      </c>
      <c r="D164" s="9">
        <f>'Model inputs'!D72*'Model inputs'!D200</f>
        <v>0</v>
      </c>
      <c r="E164" s="9">
        <f>'Model inputs'!E72*'Model inputs'!E200</f>
        <v>0</v>
      </c>
      <c r="F164" s="9">
        <f>'Model inputs'!F72*'Model inputs'!F200</f>
        <v>0</v>
      </c>
      <c r="G164" s="9">
        <f>'Model inputs'!G72*'Model inputs'!G200</f>
        <v>0</v>
      </c>
      <c r="H164" s="9">
        <f>'Model inputs'!H72*'Model inputs'!H200</f>
        <v>0</v>
      </c>
      <c r="I164" s="9">
        <f>'Model inputs'!I72*'Model inputs'!I200</f>
        <v>0</v>
      </c>
      <c r="J164" s="9">
        <f>'Model inputs'!J72*'Model inputs'!J200</f>
        <v>0</v>
      </c>
      <c r="K164" s="9">
        <f>'Model inputs'!K72*'Model inputs'!K200</f>
        <v>0</v>
      </c>
      <c r="L164" s="9">
        <f>'Model inputs'!L72*'Model inputs'!L200</f>
        <v>0</v>
      </c>
      <c r="M164" s="9">
        <f>'Model inputs'!M72*'Model inputs'!M200</f>
        <v>0</v>
      </c>
      <c r="N164" s="9">
        <f>'Model inputs'!N72*'Model inputs'!N200</f>
        <v>0</v>
      </c>
      <c r="O164" s="9">
        <f>'Model inputs'!O72*'Model inputs'!O200</f>
        <v>0</v>
      </c>
      <c r="P164" s="9">
        <f>'Model inputs'!P72*'Model inputs'!P200</f>
        <v>0</v>
      </c>
      <c r="Q164" s="9">
        <f>'Model inputs'!Q72*'Model inputs'!Q200</f>
        <v>0</v>
      </c>
      <c r="R164" s="9">
        <f>'Model inputs'!R72*'Model inputs'!R200</f>
        <v>0</v>
      </c>
      <c r="S164" s="9">
        <f>'Model inputs'!S72*'Model inputs'!S200</f>
        <v>0</v>
      </c>
      <c r="T164" s="9">
        <f>'Model inputs'!T72*'Model inputs'!T200</f>
        <v>0</v>
      </c>
      <c r="U164" s="9">
        <f>'Model inputs'!U90*'Model inputs'!U200</f>
        <v>0</v>
      </c>
      <c r="V164" s="9">
        <f>'Model inputs'!V90*'Model inputs'!V200</f>
        <v>0</v>
      </c>
      <c r="W164" s="9">
        <f>'Model inputs'!W90*'Model inputs'!W200</f>
        <v>0</v>
      </c>
      <c r="X164" s="9">
        <f>'Model inputs'!X90*'Model inputs'!X200</f>
        <v>0</v>
      </c>
      <c r="Y164" s="9">
        <f>'Model inputs'!Y90*'Model inputs'!Y200</f>
        <v>0</v>
      </c>
      <c r="Z164" s="9">
        <f>'Model inputs'!Z90*'Model inputs'!Z200</f>
        <v>0</v>
      </c>
      <c r="AA164" s="9">
        <f>'Model inputs'!AA90*'Model inputs'!AA200</f>
        <v>0</v>
      </c>
      <c r="AB164" s="9">
        <f>'Model inputs'!AB90*'Model inputs'!AB200</f>
        <v>0</v>
      </c>
      <c r="AC164" s="9">
        <f>'Model inputs'!AC90*'Model inputs'!AC200</f>
        <v>0</v>
      </c>
      <c r="AD164" s="9">
        <f>'Model inputs'!AD90*'Model inputs'!AD200</f>
        <v>0</v>
      </c>
      <c r="AE164" s="9">
        <f>'Model inputs'!AE90*'Model inputs'!AE200</f>
        <v>0</v>
      </c>
      <c r="AF164" s="9">
        <f>'Model inputs'!AF90*'Model inputs'!AF200</f>
        <v>0</v>
      </c>
      <c r="AG164" s="9">
        <f>'Model inputs'!AG90*'Model inputs'!AG200</f>
        <v>0</v>
      </c>
    </row>
    <row r="165" outlineLevel="1">
      <c r="A165" t="inlineStr" s="21">
        <is>
          <t xml:space="preserve">Annual payers &gt; Launch</t>
        </is>
      </c>
      <c r="C165" s="9">
        <f>'Model inputs'!C73*'Model inputs'!C201</f>
        <v>0</v>
      </c>
      <c r="D165" s="9">
        <f>'Model inputs'!D73*'Model inputs'!D201</f>
        <v>0.08808333333333332</v>
      </c>
      <c r="E165" s="9">
        <f>'Model inputs'!E73*'Model inputs'!E201</f>
        <v>0.23626247685185178</v>
      </c>
      <c r="F165" s="9">
        <f>'Model inputs'!F73*'Model inputs'!F201</f>
        <v>0.4457271123553239</v>
      </c>
      <c r="G165" s="9">
        <f>'Model inputs'!G73*'Model inputs'!G201</f>
        <v>0.7179910471785299</v>
      </c>
      <c r="H165" s="9">
        <f>'Model inputs'!H73*'Model inputs'!H201</f>
        <v>1.0549169752346819</v>
      </c>
      <c r="I165" s="9">
        <f>'Model inputs'!I73*'Model inputs'!I201</f>
        <v>1.4587455730235</v>
      </c>
      <c r="J165" s="9">
        <f>'Model inputs'!J73*'Model inputs'!J201</f>
        <v>1.6561108170632544</v>
      </c>
      <c r="K165" s="9">
        <f>'Model inputs'!K73*'Model inputs'!K201</f>
        <v>1.8586284121395003</v>
      </c>
      <c r="L165" s="9">
        <f>'Model inputs'!L73*'Model inputs'!L201</f>
        <v>2.066979707645281</v>
      </c>
      <c r="M165" s="9">
        <f>'Model inputs'!M73*'Model inputs'!M201</f>
        <v>2.281389351821916</v>
      </c>
      <c r="N165" s="9">
        <f>'Model inputs'!N73*'Model inputs'!N201</f>
        <v>2.502079978692765</v>
      </c>
      <c r="O165" s="9">
        <f>'Model inputs'!O73*'Model inputs'!O201</f>
        <v>2.7292735121087897</v>
      </c>
      <c r="P165" s="9">
        <f>'Model inputs'!P73*'Model inputs'!P201</f>
        <v>2.9631924035623065</v>
      </c>
      <c r="Q165" s="9">
        <f>'Model inputs'!Q73*'Model inputs'!Q201</f>
        <v>3.20406080996136</v>
      </c>
      <c r="R165" s="9">
        <f>'Model inputs'!R73*'Model inputs'!R201</f>
        <v>3.4521057171820972</v>
      </c>
      <c r="S165" s="9">
        <f>'Model inputs'!S73*'Model inputs'!S201</f>
        <v>3.7075580148691807</v>
      </c>
      <c r="T165" s="9">
        <f>'Model inputs'!T73*'Model inputs'!T201</f>
        <v>3.970653527632789</v>
      </c>
      <c r="U165" s="9">
        <f>'Model inputs'!U91*'Model inputs'!U201</f>
        <v>0</v>
      </c>
      <c r="V165" s="9">
        <f>'Model inputs'!V91*'Model inputs'!V201</f>
        <v>0</v>
      </c>
      <c r="W165" s="9">
        <f>'Model inputs'!W91*'Model inputs'!W201</f>
        <v>0</v>
      </c>
      <c r="X165" s="9">
        <f>'Model inputs'!X91*'Model inputs'!X201</f>
        <v>0</v>
      </c>
      <c r="Y165" s="9">
        <f>'Model inputs'!Y91*'Model inputs'!Y201</f>
        <v>0</v>
      </c>
      <c r="Z165" s="9">
        <f>'Model inputs'!Z91*'Model inputs'!Z201</f>
        <v>0</v>
      </c>
      <c r="AA165" s="9">
        <f>'Model inputs'!AA91*'Model inputs'!AA201</f>
        <v>0</v>
      </c>
      <c r="AB165" s="9">
        <f>'Model inputs'!AB91*'Model inputs'!AB201</f>
        <v>0</v>
      </c>
      <c r="AC165" s="9">
        <f>'Model inputs'!AC91*'Model inputs'!AC201</f>
        <v>0</v>
      </c>
      <c r="AD165" s="9">
        <f>'Model inputs'!AD91*'Model inputs'!AD201</f>
        <v>0</v>
      </c>
      <c r="AE165" s="9">
        <f>'Model inputs'!AE91*'Model inputs'!AE201</f>
        <v>0</v>
      </c>
      <c r="AF165" s="9">
        <f>'Model inputs'!AF91*'Model inputs'!AF201</f>
        <v>0</v>
      </c>
      <c r="AG165" s="9">
        <f>'Model inputs'!AG91*'Model inputs'!AG201</f>
        <v>0</v>
      </c>
    </row>
    <row r="166" outlineLevel="1">
      <c r="A166" t="inlineStr" s="21">
        <is>
          <t xml:space="preserve">Annual payers &gt; Team</t>
        </is>
      </c>
      <c r="C166" s="9">
        <f>'Model inputs'!C74*'Model inputs'!C202</f>
        <v>0</v>
      </c>
      <c r="D166" s="9">
        <f>'Model inputs'!D74*'Model inputs'!D202</f>
        <v>0.5285972222222222</v>
      </c>
      <c r="E166" s="9">
        <f>'Model inputs'!E74*'Model inputs'!E202</f>
        <v>1.463888449074074</v>
      </c>
      <c r="F166" s="9">
        <f>'Model inputs'!F74*'Model inputs'!F202</f>
        <v>2.8684991313368053</v>
      </c>
      <c r="G166" s="9">
        <f>'Model inputs'!G74*'Model inputs'!G202</f>
        <v>4.81097569205443</v>
      </c>
      <c r="H166" s="9">
        <f>'Model inputs'!H74*'Model inputs'!H202</f>
        <v>7.366741659221253</v>
      </c>
      <c r="I166" s="9">
        <f>'Model inputs'!I74*'Model inputs'!I202</f>
        <v>10.619142632425634</v>
      </c>
      <c r="J166" s="9">
        <f>'Model inputs'!J74*'Model inputs'!J202</f>
        <v>12.566221759726746</v>
      </c>
      <c r="K166" s="9">
        <f>'Model inputs'!K74*'Model inputs'!K202</f>
        <v>14.69537320508954</v>
      </c>
      <c r="L166" s="9">
        <f>'Model inputs'!L74*'Model inputs'!L202</f>
        <v>16.899441549915462</v>
      </c>
      <c r="M166" s="9">
        <f>'Model inputs'!M74*'Model inputs'!M202</f>
        <v>19.178752115562684</v>
      </c>
      <c r="N166" s="9">
        <f>'Model inputs'!N74*'Model inputs'!N202</f>
        <v>21.53393594313975</v>
      </c>
      <c r="O166" s="9">
        <f>'Model inputs'!O74*'Model inputs'!O202</f>
        <v>23.96591859243571</v>
      </c>
      <c r="P166" s="9">
        <f>'Model inputs'!P74*'Model inputs'!P202</f>
        <v>26.475910188597165</v>
      </c>
      <c r="Q166" s="9">
        <f>'Model inputs'!Q74*'Model inputs'!Q202</f>
        <v>29.065396648837826</v>
      </c>
      <c r="R166" s="9">
        <f>'Model inputs'!R74*'Model inputs'!R202</f>
        <v>31.736132026755673</v>
      </c>
      <c r="S166" s="9">
        <f>'Model inputs'!S74*'Model inputs'!S202</f>
        <v>34.49013191679495</v>
      </c>
      <c r="T166" s="9">
        <f>'Model inputs'!T74*'Model inputs'!T202</f>
        <v>37.32966786604862</v>
      </c>
      <c r="U166" s="9">
        <f>'Model inputs'!U92*'Model inputs'!U202</f>
        <v>0</v>
      </c>
      <c r="V166" s="9">
        <f>'Model inputs'!V92*'Model inputs'!V202</f>
        <v>0</v>
      </c>
      <c r="W166" s="9">
        <f>'Model inputs'!W92*'Model inputs'!W202</f>
        <v>0</v>
      </c>
      <c r="X166" s="9">
        <f>'Model inputs'!X92*'Model inputs'!X202</f>
        <v>0</v>
      </c>
      <c r="Y166" s="9">
        <f>'Model inputs'!Y92*'Model inputs'!Y202</f>
        <v>0</v>
      </c>
      <c r="Z166" s="9">
        <f>'Model inputs'!Z92*'Model inputs'!Z202</f>
        <v>0</v>
      </c>
      <c r="AA166" s="9">
        <f>'Model inputs'!AA92*'Model inputs'!AA202</f>
        <v>0</v>
      </c>
      <c r="AB166" s="9">
        <f>'Model inputs'!AB92*'Model inputs'!AB202</f>
        <v>0</v>
      </c>
      <c r="AC166" s="9">
        <f>'Model inputs'!AC92*'Model inputs'!AC202</f>
        <v>0</v>
      </c>
      <c r="AD166" s="9">
        <f>'Model inputs'!AD92*'Model inputs'!AD202</f>
        <v>0</v>
      </c>
      <c r="AE166" s="9">
        <f>'Model inputs'!AE92*'Model inputs'!AE202</f>
        <v>0</v>
      </c>
      <c r="AF166" s="9">
        <f>'Model inputs'!AF92*'Model inputs'!AF202</f>
        <v>0</v>
      </c>
      <c r="AG166" s="9">
        <f>'Model inputs'!AG92*'Model inputs'!AG202</f>
        <v>0</v>
      </c>
    </row>
    <row r="167">
      <c r="A167" t="inlineStr" s="20">
        <is>
          <t xml:space="preserve">Annual price</t>
        </is>
      </c>
      <c r="B167" s="15">
        <v>0</v>
      </c>
    </row>
    <row r="168" outlineLevel="1">
      <c r="A168" t="inlineStr" s="21">
        <is>
          <t xml:space="preserve">Annual price &gt; Indie</t>
        </is>
      </c>
      <c r="B168" s="16">
        <f>290</f>
        <v>290</v>
      </c>
    </row>
    <row r="169" outlineLevel="1">
      <c r="A169" t="inlineStr" s="21">
        <is>
          <t xml:space="preserve">Annual price &gt; Launch</t>
        </is>
      </c>
      <c r="B169" s="16">
        <f>4990</f>
        <v>4990</v>
      </c>
    </row>
    <row r="170" outlineLevel="1">
      <c r="A170" t="inlineStr" s="21">
        <is>
          <t xml:space="preserve">Annual price &gt; Team</t>
        </is>
      </c>
      <c r="B170" s="16">
        <f>1490</f>
        <v>1490</v>
      </c>
    </row>
    <row r="171">
      <c r="A171" t="inlineStr" s="20">
        <is>
          <t xml:space="preserve">Annual renewals</t>
        </is>
      </c>
      <c r="C171" s="7">
        <f>SUM('Model inputs'!C172,'Model inputs'!C173,'Model inputs'!C174)</f>
        <v>0</v>
      </c>
      <c r="D171" s="7">
        <f>SUM('Model inputs'!D172,'Model inputs'!D173,'Model inputs'!D174)</f>
        <v>0</v>
      </c>
      <c r="E171" s="7">
        <f>SUM('Model inputs'!E172,'Model inputs'!E173,'Model inputs'!E174)</f>
        <v>0</v>
      </c>
      <c r="F171" s="7">
        <f>SUM('Model inputs'!F172,'Model inputs'!F173,'Model inputs'!F174)</f>
        <v>0</v>
      </c>
      <c r="G171" s="7">
        <f>SUM('Model inputs'!G172,'Model inputs'!G173,'Model inputs'!G174)</f>
        <v>0</v>
      </c>
      <c r="H171" s="7">
        <f>SUM('Model inputs'!H172,'Model inputs'!H173,'Model inputs'!H174)</f>
        <v>0</v>
      </c>
      <c r="I171" s="7">
        <f>SUM('Model inputs'!I172,'Model inputs'!I173,'Model inputs'!I174)</f>
        <v>0</v>
      </c>
      <c r="J171" s="7">
        <f>SUM('Model inputs'!J172,'Model inputs'!J173,'Model inputs'!J174)</f>
        <v>0</v>
      </c>
      <c r="K171" s="7">
        <f>SUM('Model inputs'!K172,'Model inputs'!K173,'Model inputs'!K174)</f>
        <v>0</v>
      </c>
      <c r="L171" s="7">
        <f>SUM('Model inputs'!L172,'Model inputs'!L173,'Model inputs'!L174)</f>
        <v>0</v>
      </c>
      <c r="M171" s="7">
        <f>SUM('Model inputs'!M172,'Model inputs'!M173,'Model inputs'!M174)</f>
        <v>0</v>
      </c>
      <c r="N171" s="7">
        <f>SUM('Model inputs'!N172,'Model inputs'!N173,'Model inputs'!N174)</f>
        <v>0</v>
      </c>
      <c r="O171" s="7">
        <f>SUM('Model inputs'!O172,'Model inputs'!O173,'Model inputs'!O174)</f>
        <v>0</v>
      </c>
      <c r="P171" s="7">
        <f>SUM('Model inputs'!P172,'Model inputs'!P173,'Model inputs'!P174)</f>
        <v>0.44023626889365564</v>
      </c>
      <c r="Q171" s="7">
        <f>SUM('Model inputs'!Q172,'Model inputs'!Q173,'Model inputs'!Q174)</f>
        <v>0.7846506249110148</v>
      </c>
      <c r="R171" s="7">
        <f>SUM('Model inputs'!R172,'Model inputs'!R173,'Model inputs'!R174)</f>
        <v>1.1827268865760097</v>
      </c>
      <c r="S171" s="7">
        <f>SUM('Model inputs'!S172,'Model inputs'!S173,'Model inputs'!S174)</f>
        <v>1.640162089726508</v>
      </c>
      <c r="T171" s="7">
        <f>SUM('Model inputs'!T172,'Model inputs'!T173,'Model inputs'!T174)</f>
        <v>2.163464631632885</v>
      </c>
      <c r="U171" s="7">
        <f>SUM('Model inputs'!U172,'Model inputs'!U173,'Model inputs'!U174)</f>
        <v>0</v>
      </c>
      <c r="V171" s="7">
        <f>SUM('Model inputs'!V172,'Model inputs'!V173,'Model inputs'!V174)</f>
        <v>0</v>
      </c>
      <c r="W171" s="7">
        <f>SUM('Model inputs'!W172,'Model inputs'!W173,'Model inputs'!W174)</f>
        <v>0</v>
      </c>
      <c r="X171" s="7">
        <f>SUM('Model inputs'!X172,'Model inputs'!X173,'Model inputs'!X174)</f>
        <v>0</v>
      </c>
      <c r="Y171" s="7">
        <f>SUM('Model inputs'!Y172,'Model inputs'!Y173,'Model inputs'!Y174)</f>
        <v>0</v>
      </c>
      <c r="Z171" s="7">
        <f>SUM('Model inputs'!Z172,'Model inputs'!Z173,'Model inputs'!Z174)</f>
        <v>0</v>
      </c>
      <c r="AA171" s="7">
        <f>SUM('Model inputs'!AA172,'Model inputs'!AA173,'Model inputs'!AA174)</f>
        <v>0</v>
      </c>
      <c r="AB171" s="7">
        <f>SUM('Model inputs'!AB172,'Model inputs'!AB173,'Model inputs'!AB174)</f>
        <v>0</v>
      </c>
      <c r="AC171" s="7">
        <f>SUM('Model inputs'!AC172,'Model inputs'!AC173,'Model inputs'!AC174)</f>
        <v>0</v>
      </c>
      <c r="AD171" s="7">
        <f>SUM('Model inputs'!AD172,'Model inputs'!AD173,'Model inputs'!AD174)</f>
        <v>0</v>
      </c>
      <c r="AE171" s="7">
        <f>SUM('Model inputs'!AE172,'Model inputs'!AE173,'Model inputs'!AE174)</f>
        <v>0</v>
      </c>
      <c r="AF171" s="7">
        <f>SUM('Model inputs'!AF172,'Model inputs'!AF173,'Model inputs'!AF174)</f>
        <v>0</v>
      </c>
      <c r="AG171" s="7">
        <f>SUM('Model inputs'!AG172,'Model inputs'!AG173,'Model inputs'!AG174)</f>
        <v>0</v>
      </c>
    </row>
    <row r="172" outlineLevel="1">
      <c r="A172" t="inlineStr" s="21">
        <is>
          <t xml:space="preserve">Annual renewals &gt; Indie</t>
        </is>
      </c>
      <c r="C172" s="9">
        <f>'Model inputs'!V195*(1-'Model inputs'!B39)^12</f>
        <v>0</v>
      </c>
      <c r="D172" s="9">
        <f>'Model inputs'!W195*(1-'Model inputs'!B39)^12</f>
        <v>0</v>
      </c>
      <c r="E172" s="9">
        <f>'Model inputs'!X195*(1-'Model inputs'!B39)^12</f>
        <v>0</v>
      </c>
      <c r="F172" s="9">
        <f>'Model inputs'!Y195*(1-'Model inputs'!B39)^12</f>
        <v>0</v>
      </c>
      <c r="G172" s="9">
        <f>'Model inputs'!Z195*(1-'Model inputs'!B39)^12</f>
        <v>0</v>
      </c>
      <c r="H172" s="9">
        <f>'Model inputs'!AA195*(1-'Model inputs'!B39)^12</f>
        <v>0</v>
      </c>
      <c r="I172" s="9">
        <f>'Model inputs'!AB195*(1-'Model inputs'!B39)^12</f>
        <v>0</v>
      </c>
      <c r="J172" s="9">
        <f>'Model inputs'!AC195*(1-'Model inputs'!B39)^12</f>
        <v>0</v>
      </c>
      <c r="K172" s="9">
        <f>'Model inputs'!AD195*(1-'Model inputs'!B39)^12</f>
        <v>0</v>
      </c>
      <c r="L172" s="9">
        <f>'Model inputs'!AE195*(1-'Model inputs'!B39)^12</f>
        <v>0</v>
      </c>
      <c r="M172" s="9">
        <f>'Model inputs'!AF195*(1-'Model inputs'!B39)^12</f>
        <v>0</v>
      </c>
      <c r="N172" s="9">
        <f>'Model inputs'!AG195*(1-'Model inputs'!B39)^12</f>
        <v>0</v>
      </c>
      <c r="O172" s="9">
        <f>'Model inputs'!C195*(1-'Model inputs'!B39)^12</f>
        <v>0</v>
      </c>
      <c r="P172" s="9">
        <f>'Model inputs'!D195*(1-'Model inputs'!B39)^12</f>
        <v>0</v>
      </c>
      <c r="Q172" s="9">
        <f>'Model inputs'!E195*(1-'Model inputs'!B39)^12</f>
        <v>0</v>
      </c>
      <c r="R172" s="9">
        <f>'Model inputs'!F195*(1-'Model inputs'!B39)^12</f>
        <v>0</v>
      </c>
      <c r="S172" s="9">
        <f>'Model inputs'!G195*(1-'Model inputs'!B39)^12</f>
        <v>0</v>
      </c>
      <c r="T172" s="9">
        <f>'Model inputs'!H195*(1-'Model inputs'!B39)^12</f>
        <v>0</v>
      </c>
      <c r="U172" s="9">
        <f>0*(1-'Model inputs'!B39)^12</f>
        <v>0</v>
      </c>
      <c r="V172" s="9">
        <f>0*(1-'Model inputs'!B39)^12</f>
        <v>0</v>
      </c>
      <c r="W172" s="9">
        <f>0*(1-'Model inputs'!B39)^12</f>
        <v>0</v>
      </c>
      <c r="X172" s="9">
        <f>0*(1-'Model inputs'!B39)^12</f>
        <v>0</v>
      </c>
      <c r="Y172" s="9">
        <f>0*(1-'Model inputs'!B39)^12</f>
        <v>0</v>
      </c>
      <c r="Z172" s="9">
        <f>0*(1-'Model inputs'!B39)^12</f>
        <v>0</v>
      </c>
      <c r="AA172" s="9">
        <f>0*(1-'Model inputs'!B39)^12</f>
        <v>0</v>
      </c>
      <c r="AB172" s="9">
        <f>0*(1-'Model inputs'!B39)^12</f>
        <v>0</v>
      </c>
      <c r="AC172" s="9">
        <f>0*(1-'Model inputs'!B39)^12</f>
        <v>0</v>
      </c>
      <c r="AD172" s="9">
        <f>0*(1-'Model inputs'!B39)^12</f>
        <v>0</v>
      </c>
      <c r="AE172" s="9">
        <f>0*(1-'Model inputs'!B39)^12</f>
        <v>0</v>
      </c>
      <c r="AF172" s="9">
        <f>0*(1-'Model inputs'!B39)^12</f>
        <v>0</v>
      </c>
      <c r="AG172" s="9">
        <f>'Model inputs'!U195*(1-'Model inputs'!B39)^12</f>
        <v>0</v>
      </c>
    </row>
    <row r="173" outlineLevel="1">
      <c r="A173" t="inlineStr" s="21">
        <is>
          <t xml:space="preserve">Annual renewals &gt; Launch</t>
        </is>
      </c>
      <c r="C173" s="9">
        <f>'Model inputs'!V196*(1-'Model inputs'!B40)^12</f>
        <v>0</v>
      </c>
      <c r="D173" s="9">
        <f>'Model inputs'!W196*(1-'Model inputs'!B40)^12</f>
        <v>0</v>
      </c>
      <c r="E173" s="9">
        <f>'Model inputs'!X196*(1-'Model inputs'!B40)^12</f>
        <v>0</v>
      </c>
      <c r="F173" s="9">
        <f>'Model inputs'!Y196*(1-'Model inputs'!B40)^12</f>
        <v>0</v>
      </c>
      <c r="G173" s="9">
        <f>'Model inputs'!Z196*(1-'Model inputs'!B40)^12</f>
        <v>0</v>
      </c>
      <c r="H173" s="9">
        <f>'Model inputs'!AA196*(1-'Model inputs'!B40)^12</f>
        <v>0</v>
      </c>
      <c r="I173" s="9">
        <f>'Model inputs'!AB196*(1-'Model inputs'!B40)^12</f>
        <v>0</v>
      </c>
      <c r="J173" s="9">
        <f>'Model inputs'!AC196*(1-'Model inputs'!B40)^12</f>
        <v>0</v>
      </c>
      <c r="K173" s="9">
        <f>'Model inputs'!AD196*(1-'Model inputs'!B40)^12</f>
        <v>0</v>
      </c>
      <c r="L173" s="9">
        <f>'Model inputs'!AE196*(1-'Model inputs'!B40)^12</f>
        <v>0</v>
      </c>
      <c r="M173" s="9">
        <f>'Model inputs'!AF196*(1-'Model inputs'!B40)^12</f>
        <v>0</v>
      </c>
      <c r="N173" s="9">
        <f>'Model inputs'!AG196*(1-'Model inputs'!B40)^12</f>
        <v>0</v>
      </c>
      <c r="O173" s="9">
        <f>'Model inputs'!C196*(1-'Model inputs'!B40)^12</f>
        <v>0</v>
      </c>
      <c r="P173" s="9">
        <f>'Model inputs'!D196*(1-'Model inputs'!B40)^12</f>
        <v>0.0734731242113589</v>
      </c>
      <c r="Q173" s="9">
        <f>'Model inputs'!E196*(1-'Model inputs'!B40)^12</f>
        <v>0.12470305751333749</v>
      </c>
      <c r="R173" s="9">
        <f>'Model inputs'!F196*(1-'Model inputs'!B40)^12</f>
        <v>0.17767725998323847</v>
      </c>
      <c r="S173" s="9">
        <f>'Model inputs'!G196*(1-'Model inputs'!B40)^12</f>
        <v>0.2326809803658907</v>
      </c>
      <c r="T173" s="9">
        <f>'Model inputs'!H196*(1-'Model inputs'!B40)^12</f>
        <v>0.290024176836067</v>
      </c>
      <c r="U173" s="9">
        <f>0*(1-'Model inputs'!B40)^12</f>
        <v>0</v>
      </c>
      <c r="V173" s="9">
        <f>0*(1-'Model inputs'!B40)^12</f>
        <v>0</v>
      </c>
      <c r="W173" s="9">
        <f>0*(1-'Model inputs'!B40)^12</f>
        <v>0</v>
      </c>
      <c r="X173" s="9">
        <f>0*(1-'Model inputs'!B40)^12</f>
        <v>0</v>
      </c>
      <c r="Y173" s="9">
        <f>0*(1-'Model inputs'!B40)^12</f>
        <v>0</v>
      </c>
      <c r="Z173" s="9">
        <f>0*(1-'Model inputs'!B40)^12</f>
        <v>0</v>
      </c>
      <c r="AA173" s="9">
        <f>0*(1-'Model inputs'!B40)^12</f>
        <v>0</v>
      </c>
      <c r="AB173" s="9">
        <f>0*(1-'Model inputs'!B40)^12</f>
        <v>0</v>
      </c>
      <c r="AC173" s="9">
        <f>0*(1-'Model inputs'!B40)^12</f>
        <v>0</v>
      </c>
      <c r="AD173" s="9">
        <f>0*(1-'Model inputs'!B40)^12</f>
        <v>0</v>
      </c>
      <c r="AE173" s="9">
        <f>0*(1-'Model inputs'!B40)^12</f>
        <v>0</v>
      </c>
      <c r="AF173" s="9">
        <f>0*(1-'Model inputs'!B40)^12</f>
        <v>0</v>
      </c>
      <c r="AG173" s="9">
        <f>'Model inputs'!U196*(1-'Model inputs'!B40)^12</f>
        <v>0</v>
      </c>
    </row>
    <row r="174" outlineLevel="1">
      <c r="A174" t="inlineStr" s="21">
        <is>
          <t xml:space="preserve">Annual renewals &gt; Team</t>
        </is>
      </c>
      <c r="C174" s="9">
        <f>'Model inputs'!V197*(1-'Model inputs'!B41)^12</f>
        <v>0</v>
      </c>
      <c r="D174" s="9">
        <f>'Model inputs'!W197*(1-'Model inputs'!B41)^12</f>
        <v>0</v>
      </c>
      <c r="E174" s="9">
        <f>'Model inputs'!X197*(1-'Model inputs'!B41)^12</f>
        <v>0</v>
      </c>
      <c r="F174" s="9">
        <f>'Model inputs'!Y197*(1-'Model inputs'!B41)^12</f>
        <v>0</v>
      </c>
      <c r="G174" s="9">
        <f>'Model inputs'!Z197*(1-'Model inputs'!B41)^12</f>
        <v>0</v>
      </c>
      <c r="H174" s="9">
        <f>'Model inputs'!AA197*(1-'Model inputs'!B41)^12</f>
        <v>0</v>
      </c>
      <c r="I174" s="9">
        <f>'Model inputs'!AB197*(1-'Model inputs'!B41)^12</f>
        <v>0</v>
      </c>
      <c r="J174" s="9">
        <f>'Model inputs'!AC197*(1-'Model inputs'!B41)^12</f>
        <v>0</v>
      </c>
      <c r="K174" s="9">
        <f>'Model inputs'!AD197*(1-'Model inputs'!B41)^12</f>
        <v>0</v>
      </c>
      <c r="L174" s="9">
        <f>'Model inputs'!AE197*(1-'Model inputs'!B41)^12</f>
        <v>0</v>
      </c>
      <c r="M174" s="9">
        <f>'Model inputs'!AF197*(1-'Model inputs'!B41)^12</f>
        <v>0</v>
      </c>
      <c r="N174" s="9">
        <f>'Model inputs'!AG197*(1-'Model inputs'!B41)^12</f>
        <v>0</v>
      </c>
      <c r="O174" s="9">
        <f>'Model inputs'!C197*(1-'Model inputs'!B41)^12</f>
        <v>0</v>
      </c>
      <c r="P174" s="9">
        <f>'Model inputs'!D197*(1-'Model inputs'!B41)^12</f>
        <v>0.3667631446822967</v>
      </c>
      <c r="Q174" s="9">
        <f>'Model inputs'!E197*(1-'Model inputs'!B41)^12</f>
        <v>0.6599475673976773</v>
      </c>
      <c r="R174" s="9">
        <f>'Model inputs'!F197*(1-'Model inputs'!B41)^12</f>
        <v>1.0050496265927713</v>
      </c>
      <c r="S174" s="9">
        <f>'Model inputs'!G197*(1-'Model inputs'!B41)^12</f>
        <v>1.4074811093606172</v>
      </c>
      <c r="T174" s="9">
        <f>'Model inputs'!H197*(1-'Model inputs'!B41)^12</f>
        <v>1.873440454796818</v>
      </c>
      <c r="U174" s="9">
        <f>0*(1-'Model inputs'!B41)^12</f>
        <v>0</v>
      </c>
      <c r="V174" s="9">
        <f>0*(1-'Model inputs'!B41)^12</f>
        <v>0</v>
      </c>
      <c r="W174" s="9">
        <f>0*(1-'Model inputs'!B41)^12</f>
        <v>0</v>
      </c>
      <c r="X174" s="9">
        <f>0*(1-'Model inputs'!B41)^12</f>
        <v>0</v>
      </c>
      <c r="Y174" s="9">
        <f>0*(1-'Model inputs'!B41)^12</f>
        <v>0</v>
      </c>
      <c r="Z174" s="9">
        <f>0*(1-'Model inputs'!B41)^12</f>
        <v>0</v>
      </c>
      <c r="AA174" s="9">
        <f>0*(1-'Model inputs'!B41)^12</f>
        <v>0</v>
      </c>
      <c r="AB174" s="9">
        <f>0*(1-'Model inputs'!B41)^12</f>
        <v>0</v>
      </c>
      <c r="AC174" s="9">
        <f>0*(1-'Model inputs'!B41)^12</f>
        <v>0</v>
      </c>
      <c r="AD174" s="9">
        <f>0*(1-'Model inputs'!B41)^12</f>
        <v>0</v>
      </c>
      <c r="AE174" s="9">
        <f>0*(1-'Model inputs'!B41)^12</f>
        <v>0</v>
      </c>
      <c r="AF174" s="9">
        <f>0*(1-'Model inputs'!B41)^12</f>
        <v>0</v>
      </c>
      <c r="AG174" s="9">
        <f>'Model inputs'!U197*(1-'Model inputs'!B41)^12</f>
        <v>0</v>
      </c>
    </row>
    <row r="175">
      <c r="A175" t="inlineStr" s="20">
        <is>
          <t xml:space="preserve">Churned customers</t>
        </is>
      </c>
      <c r="C175" s="7">
        <f>IF('Model inputs'!C10="","",'Model inputs'!C10)</f>
        <v>0</v>
      </c>
      <c r="D175" s="7">
        <f>IF('Model inputs'!D10="","",'Model inputs'!D10)</f>
        <v>2.5949999999999998</v>
      </c>
      <c r="E175" s="7">
        <f>IF('Model inputs'!E10="","",'Model inputs'!E10)</f>
        <v>4.7545</v>
      </c>
      <c r="F175" s="7">
        <f>IF('Model inputs'!F10="","",'Model inputs'!F10)</f>
        <v>6.189471729166667</v>
      </c>
      <c r="G175" s="7">
        <f>IF('Model inputs'!G10="","",'Model inputs'!G10)</f>
        <v>7.67670344484375</v>
      </c>
      <c r="H175" s="7">
        <f>IF('Model inputs'!H10="","",'Model inputs'!H10)</f>
        <v>9.22458377005366</v>
      </c>
      <c r="I175" s="7">
        <f>IF('Model inputs'!I10="","",'Model inputs'!I10)</f>
        <v>10.841923285085763</v>
      </c>
      <c r="J175" s="7">
        <f>IF('Model inputs'!J10="","",'Model inputs'!J10)</f>
        <v>12.53800719356865</v>
      </c>
      <c r="K175" s="7">
        <f>IF('Model inputs'!K10="","",'Model inputs'!K10)</f>
        <v>14.322651198368181</v>
      </c>
      <c r="L175" s="7">
        <f>IF('Model inputs'!L10="","",'Model inputs'!L10)</f>
        <v>16.206260935808757</v>
      </c>
      <c r="M175" s="7">
        <f>IF('Model inputs'!M10="","",'Model inputs'!M10)</f>
        <v>18.08654281252618</v>
      </c>
      <c r="N175" s="7">
        <f>IF('Model inputs'!N10="","",'Model inputs'!N10)</f>
        <v>19.968314140900546</v>
      </c>
      <c r="O175" s="7">
        <f>IF('Model inputs'!O10="","",'Model inputs'!O10)</f>
        <v>21.856264225340805</v>
      </c>
      <c r="P175" s="7">
        <f>IF('Model inputs'!P10="","",'Model inputs'!P10)</f>
        <v>23.75497031424573</v>
      </c>
      <c r="Q175" s="7">
        <f>IF('Model inputs'!Q10="","",'Model inputs'!Q10)</f>
        <v>25.66891279557524</v>
      </c>
      <c r="R175" s="7">
        <f>IF('Model inputs'!R10="","",'Model inputs'!R10)</f>
        <v>27.602489698389732</v>
      </c>
      <c r="S175" s="7">
        <f>IF('Model inputs'!S10="","",'Model inputs'!S10)</f>
        <v>29.560030559047362</v>
      </c>
      <c r="T175" s="7">
        <f>IF('Model inputs'!T10="","",'Model inputs'!T10)</f>
        <v>31.545809707344752</v>
      </c>
      <c r="U175" s="7">
        <f>SUM('Model inputs'!U176,'Model inputs'!U177,'Model inputs'!U178)</f>
        <v>0</v>
      </c>
      <c r="V175" s="7">
        <f>SUM('Model inputs'!V176,'Model inputs'!V177,'Model inputs'!V178)</f>
        <v>0</v>
      </c>
      <c r="W175" s="7">
        <f>SUM('Model inputs'!W176,'Model inputs'!W177,'Model inputs'!W178)</f>
        <v>0</v>
      </c>
      <c r="X175" s="7">
        <f>SUM('Model inputs'!X176,'Model inputs'!X177,'Model inputs'!X178)</f>
        <v>0</v>
      </c>
      <c r="Y175" s="7">
        <f>SUM('Model inputs'!Y176,'Model inputs'!Y177,'Model inputs'!Y178)</f>
        <v>0</v>
      </c>
      <c r="Z175" s="7">
        <f>SUM('Model inputs'!Z176,'Model inputs'!Z177,'Model inputs'!Z178)</f>
        <v>0</v>
      </c>
      <c r="AA175" s="7">
        <f>SUM('Model inputs'!AA176,'Model inputs'!AA177,'Model inputs'!AA178)</f>
        <v>0</v>
      </c>
      <c r="AB175" s="7">
        <f>SUM('Model inputs'!AB176,'Model inputs'!AB177,'Model inputs'!AB178)</f>
        <v>0</v>
      </c>
      <c r="AC175" s="7">
        <f>SUM('Model inputs'!AC176,'Model inputs'!AC177,'Model inputs'!AC178)</f>
        <v>0</v>
      </c>
      <c r="AD175" s="7">
        <f>SUM('Model inputs'!AD176,'Model inputs'!AD177,'Model inputs'!AD178)</f>
        <v>0</v>
      </c>
      <c r="AE175" s="7">
        <f>SUM('Model inputs'!AE176,'Model inputs'!AE177,'Model inputs'!AE178)</f>
        <v>0</v>
      </c>
      <c r="AF175" s="7">
        <f>SUM('Model inputs'!AF176,'Model inputs'!AF177,'Model inputs'!AF178)</f>
        <v>0</v>
      </c>
      <c r="AG175" s="7">
        <f>SUM('Model inputs'!AG176,'Model inputs'!AG177,'Model inputs'!AG178)</f>
        <v>0</v>
      </c>
    </row>
    <row r="176" outlineLevel="1">
      <c r="A176" t="inlineStr" s="21">
        <is>
          <t xml:space="preserve">Churned customers &gt; Indie</t>
        </is>
      </c>
      <c r="C176" s="9">
        <f>IF('Model inputs'!C11="","",'Model inputs'!C11)</f>
        <v>0</v>
      </c>
      <c r="D176" s="9">
        <f>IF('Model inputs'!D11="","",'Model inputs'!D11)</f>
        <v>2.4</v>
      </c>
      <c r="E176" s="9">
        <f>IF('Model inputs'!E11="","",'Model inputs'!E11)</f>
        <v>4.46</v>
      </c>
      <c r="F176" s="9">
        <f>IF('Model inputs'!F11="","",'Model inputs'!F11)</f>
        <v>5.782666666666667</v>
      </c>
      <c r="G176" s="9">
        <f>IF('Model inputs'!G11="","",'Model inputs'!G11)</f>
        <v>7.146755555555556</v>
      </c>
      <c r="H176" s="9">
        <f>IF('Model inputs'!H11="","",'Model inputs'!H11)</f>
        <v>8.559873185185186</v>
      </c>
      <c r="I176" s="9">
        <f>IF('Model inputs'!I11="","",'Model inputs'!I11)</f>
        <v>10.029948412839508</v>
      </c>
      <c r="J176" s="9">
        <f>IF('Model inputs'!J11="","",'Model inputs'!J11)</f>
        <v>11.565277300516874</v>
      </c>
      <c r="K176" s="9">
        <f>IF('Model inputs'!K11="","",'Model inputs'!K11)</f>
        <v>13.17457029823175</v>
      </c>
      <c r="L176" s="9">
        <f>IF('Model inputs'!L11="","",'Model inputs'!L11)</f>
        <v>14.867002014852247</v>
      </c>
      <c r="M176" s="9">
        <f>IF('Model inputs'!M11="","",'Model inputs'!M11)</f>
        <v>16.549434406491486</v>
      </c>
      <c r="N176" s="9">
        <f>IF('Model inputs'!N11="","",'Model inputs'!N11)</f>
        <v>18.22664727305995</v>
      </c>
      <c r="O176" s="9">
        <f>IF('Model inputs'!O11="","",'Model inputs'!O11)</f>
        <v>19.903266288270565</v>
      </c>
      <c r="P176" s="9">
        <f>IF('Model inputs'!P11="","",'Model inputs'!P11)</f>
        <v>21.58377985580372</v>
      </c>
      <c r="Q176" s="9">
        <f>IF('Model inputs'!Q11="","",'Model inputs'!Q11)</f>
        <v>23.27255510497138</v>
      </c>
      <c r="R176" s="9">
        <f>IF('Model inputs'!R11="","",'Model inputs'!R11)</f>
        <v>24.973853093776718</v>
      </c>
      <c r="S176" s="9">
        <f>IF('Model inputs'!S11="","",'Model inputs'!S11)</f>
        <v>26.6918432831605</v>
      </c>
      <c r="T176" s="9">
        <f>IF('Model inputs'!T11="","",'Model inputs'!T11)</f>
        <v>28.43061734241079</v>
      </c>
      <c r="U176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inputs'!U123="",0,'Model inputs'!U123)*'Model inputs'!B39)</f>
        <v>0</v>
      </c>
      <c r="V176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inputs'!V123*'Model inputs'!B39)</f>
        <v>0</v>
      </c>
      <c r="W176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inputs'!W123*'Model inputs'!B39)</f>
        <v>0</v>
      </c>
      <c r="X176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inputs'!X123*'Model inputs'!B39)</f>
        <v>0</v>
      </c>
      <c r="Y176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inputs'!Y123*'Model inputs'!B39)</f>
        <v>0</v>
      </c>
      <c r="Z176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inputs'!Z123*'Model inputs'!B39)</f>
        <v>0</v>
      </c>
      <c r="AA176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inputs'!AA123*'Model inputs'!B39)</f>
        <v>0</v>
      </c>
      <c r="AB176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inputs'!AB123*'Model inputs'!B39)</f>
        <v>0</v>
      </c>
      <c r="AC176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inputs'!AC123*'Model inputs'!B39)</f>
        <v>0</v>
      </c>
      <c r="AD176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inputs'!AD123*'Model inputs'!B39)</f>
        <v>0</v>
      </c>
      <c r="AE176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inputs'!AE123*'Model inputs'!B39)</f>
        <v>0</v>
      </c>
      <c r="AF176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inputs'!AF123*'Model inputs'!B39)</f>
        <v>0</v>
      </c>
      <c r="AG176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inputs'!AG123*'Model inputs'!B39)</f>
        <v>0</v>
      </c>
    </row>
    <row r="177" outlineLevel="1">
      <c r="A177" t="inlineStr" s="21">
        <is>
          <t xml:space="preserve">Churned customers &gt; Launch</t>
        </is>
      </c>
      <c r="C177" s="9">
        <f>IF('Model inputs'!C12="","",'Model inputs'!C12)</f>
        <v>0</v>
      </c>
      <c r="D177" s="9">
        <f>IF('Model inputs'!D12="","",'Model inputs'!D12)</f>
        <v>0.015</v>
      </c>
      <c r="E177" s="9">
        <f>IF('Model inputs'!E12="","",'Model inputs'!E12)</f>
        <v>0.02265</v>
      </c>
      <c r="F177" s="9">
        <f>IF('Model inputs'!F12="","",'Model inputs'!F12)</f>
        <v>0.03037660416666666</v>
      </c>
      <c r="G177" s="9">
        <f>IF('Model inputs'!G12="","",'Model inputs'!G12)</f>
        <v>0.03820518105902777</v>
      </c>
      <c r="H177" s="9">
        <f>IF('Model inputs'!H12="","",'Model inputs'!H12)</f>
        <v>0.04615656731861978</v>
      </c>
      <c r="I177" s="9">
        <f>IF('Model inputs'!I12="","",'Model inputs'!I12)</f>
        <v>0.054252873012069346</v>
      </c>
      <c r="J177" s="9">
        <f>IF('Model inputs'!J12="","",'Model inputs'!J12)</f>
        <v>0.06251766741529285</v>
      </c>
      <c r="K177" s="9">
        <f>IF('Model inputs'!K12="","",'Model inputs'!K12)</f>
        <v>0.07097617787413947</v>
      </c>
      <c r="L177" s="9">
        <f>IF('Model inputs'!L12="","",'Model inputs'!L12)</f>
        <v>0.07965550337740715</v>
      </c>
      <c r="M177" s="9">
        <f>IF('Model inputs'!M12="","",'Model inputs'!M12)</f>
        <v>0.08858484461336918</v>
      </c>
      <c r="N177" s="9">
        <f>IF('Model inputs'!N12="","",'Model inputs'!N12)</f>
        <v>0.0977738293637964</v>
      </c>
      <c r="O177" s="9">
        <f>IF('Model inputs'!O12="","",'Model inputs'!O12)</f>
        <v>0.1072319990868328</v>
      </c>
      <c r="P177" s="9">
        <f>IF('Model inputs'!P12="","",'Model inputs'!P12)</f>
        <v>0.11696886480466241</v>
      </c>
      <c r="Q177" s="9">
        <f>IF('Model inputs'!Q12="","",'Model inputs'!Q12)</f>
        <v>0.12699396015267028</v>
      </c>
      <c r="R177" s="9">
        <f>IF('Model inputs'!R12="","",'Model inputs'!R12)</f>
        <v>0.13731689185548684</v>
      </c>
      <c r="S177" s="9">
        <f>IF('Model inputs'!S12="","",'Model inputs'!S12)</f>
        <v>0.14794738787923273</v>
      </c>
      <c r="T177" s="9">
        <f>IF('Model inputs'!T12="","",'Model inputs'!T12)</f>
        <v>0.15889534349439347</v>
      </c>
      <c r="U177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inputs'!U124="",0,'Model inputs'!U124)*'Model inputs'!B40)</f>
        <v>0</v>
      </c>
      <c r="V177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inputs'!V124*'Model inputs'!B40)</f>
        <v>0</v>
      </c>
      <c r="W177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inputs'!W124*'Model inputs'!B40)</f>
        <v>0</v>
      </c>
      <c r="X177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inputs'!X124*'Model inputs'!B40)</f>
        <v>0</v>
      </c>
      <c r="Y177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inputs'!Y124*'Model inputs'!B40)</f>
        <v>0</v>
      </c>
      <c r="Z177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inputs'!Z124*'Model inputs'!B40)</f>
        <v>0</v>
      </c>
      <c r="AA177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inputs'!AA124*'Model inputs'!B40)</f>
        <v>0</v>
      </c>
      <c r="AB177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inputs'!AB124*'Model inputs'!B40)</f>
        <v>0</v>
      </c>
      <c r="AC177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inputs'!AC124*'Model inputs'!B40)</f>
        <v>0</v>
      </c>
      <c r="AD177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inputs'!AD124*'Model inputs'!B40)</f>
        <v>0</v>
      </c>
      <c r="AE177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inputs'!AE124*'Model inputs'!B40)</f>
        <v>0</v>
      </c>
      <c r="AF177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inputs'!AF124*'Model inputs'!B40)</f>
        <v>0</v>
      </c>
      <c r="AG177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inputs'!AG124*'Model inputs'!B40)</f>
        <v>0</v>
      </c>
    </row>
    <row r="178" outlineLevel="1">
      <c r="A178" t="inlineStr" s="21">
        <is>
          <t xml:space="preserve">Churned customers &gt; Team</t>
        </is>
      </c>
      <c r="C178" s="9">
        <f>IF('Model inputs'!C13="","",'Model inputs'!C13)</f>
        <v>0</v>
      </c>
      <c r="D178" s="9">
        <f>IF('Model inputs'!D13="","",'Model inputs'!D13)</f>
        <v>0.18</v>
      </c>
      <c r="E178" s="9">
        <f>IF('Model inputs'!E13="","",'Model inputs'!E13)</f>
        <v>0.27185000000000004</v>
      </c>
      <c r="F178" s="9">
        <f>IF('Model inputs'!F13="","",'Model inputs'!F13)</f>
        <v>0.3764284583333333</v>
      </c>
      <c r="G178" s="9">
        <f>IF('Model inputs'!G13="","",'Model inputs'!G13)</f>
        <v>0.4917427082291666</v>
      </c>
      <c r="H178" s="9">
        <f>IF('Model inputs'!H13="","",'Model inputs'!H13)</f>
        <v>0.6185540175498553</v>
      </c>
      <c r="I178" s="9">
        <f>IF('Model inputs'!I13="","",'Model inputs'!I13)</f>
        <v>0.7577219992341859</v>
      </c>
      <c r="J178" s="9">
        <f>IF('Model inputs'!J13="","",'Model inputs'!J13)</f>
        <v>0.910212225636483</v>
      </c>
      <c r="K178" s="9">
        <f>IF('Model inputs'!K13="","",'Model inputs'!K13)</f>
        <v>1.0771047222622927</v>
      </c>
      <c r="L178" s="9">
        <f>IF('Model inputs'!L13="","",'Model inputs'!L13)</f>
        <v>1.2596034175791035</v>
      </c>
      <c r="M178" s="9">
        <f>IF('Model inputs'!M13="","",'Model inputs'!M13)</f>
        <v>1.4485235614213252</v>
      </c>
      <c r="N178" s="9">
        <f>IF('Model inputs'!N13="","",'Model inputs'!N13)</f>
        <v>1.6438930384768016</v>
      </c>
      <c r="O178" s="9">
        <f>IF('Model inputs'!O13="","",'Model inputs'!O13)</f>
        <v>1.845765937983407</v>
      </c>
      <c r="P178" s="9">
        <f>IF('Model inputs'!P13="","",'Model inputs'!P13)</f>
        <v>2.054221593637347</v>
      </c>
      <c r="Q178" s="9">
        <f>IF('Model inputs'!Q13="","",'Model inputs'!Q13)</f>
        <v>2.2693637304511856</v>
      </c>
      <c r="R178" s="9">
        <f>IF('Model inputs'!R13="","",'Model inputs'!R13)</f>
        <v>2.491319712757528</v>
      </c>
      <c r="S178" s="9">
        <f>IF('Model inputs'!S13="","",'Model inputs'!S13)</f>
        <v>2.720239888007629</v>
      </c>
      <c r="T178" s="9">
        <f>IF('Model inputs'!T13="","",'Model inputs'!T13)</f>
        <v>2.956297021439567</v>
      </c>
      <c r="U178" s="9">
        <f>IF(IF(IF(ISERROR('Model inputs'!U116&lt;1),'Model inputs'!U116&lt;1,IF('Model inputs'!U116="","",'Model inputs'!U116&lt;1))="",FALSE,IF(ISERROR('Model inputs'!U116&lt;1),'Model inputs'!U116&lt;1,IF('Model inputs'!U116="","",'Model inputs'!U116&lt;1))),0,IF('Model inputs'!U125="",0,'Model inputs'!U125)*'Model inputs'!B41)</f>
        <v>0</v>
      </c>
      <c r="V178" s="9">
        <f>IF(IF(IF(ISERROR('Model inputs'!V116&lt;1),'Model inputs'!V116&lt;1,IF('Model inputs'!V116="","",'Model inputs'!V116&lt;1))="",FALSE,IF(ISERROR('Model inputs'!V116&lt;1),'Model inputs'!V116&lt;1,IF('Model inputs'!V116="","",'Model inputs'!V116&lt;1))),0,'Model inputs'!V125*'Model inputs'!B41)</f>
        <v>0</v>
      </c>
      <c r="W178" s="9">
        <f>IF(IF(IF(ISERROR('Model inputs'!W116&lt;1),'Model inputs'!W116&lt;1,IF('Model inputs'!W116="","",'Model inputs'!W116&lt;1))="",FALSE,IF(ISERROR('Model inputs'!W116&lt;1),'Model inputs'!W116&lt;1,IF('Model inputs'!W116="","",'Model inputs'!W116&lt;1))),0,'Model inputs'!W125*'Model inputs'!B41)</f>
        <v>0</v>
      </c>
      <c r="X178" s="9">
        <f>IF(IF(IF(ISERROR('Model inputs'!X116&lt;1),'Model inputs'!X116&lt;1,IF('Model inputs'!X116="","",'Model inputs'!X116&lt;1))="",FALSE,IF(ISERROR('Model inputs'!X116&lt;1),'Model inputs'!X116&lt;1,IF('Model inputs'!X116="","",'Model inputs'!X116&lt;1))),0,'Model inputs'!X125*'Model inputs'!B41)</f>
        <v>0</v>
      </c>
      <c r="Y178" s="9">
        <f>IF(IF(IF(ISERROR('Model inputs'!Y116&lt;1),'Model inputs'!Y116&lt;1,IF('Model inputs'!Y116="","",'Model inputs'!Y116&lt;1))="",FALSE,IF(ISERROR('Model inputs'!Y116&lt;1),'Model inputs'!Y116&lt;1,IF('Model inputs'!Y116="","",'Model inputs'!Y116&lt;1))),0,'Model inputs'!Y125*'Model inputs'!B41)</f>
        <v>0</v>
      </c>
      <c r="Z178" s="9">
        <f>IF(IF(IF(ISERROR('Model inputs'!Z116&lt;1),'Model inputs'!Z116&lt;1,IF('Model inputs'!Z116="","",'Model inputs'!Z116&lt;1))="",FALSE,IF(ISERROR('Model inputs'!Z116&lt;1),'Model inputs'!Z116&lt;1,IF('Model inputs'!Z116="","",'Model inputs'!Z116&lt;1))),0,'Model inputs'!Z125*'Model inputs'!B41)</f>
        <v>0</v>
      </c>
      <c r="AA178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inputs'!AA116&lt;1))),0,'Model inputs'!AA125*'Model inputs'!B41)</f>
        <v>0</v>
      </c>
      <c r="AB178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inputs'!AB116&lt;1))),0,'Model inputs'!AB125*'Model inputs'!B41)</f>
        <v>0</v>
      </c>
      <c r="AC178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inputs'!AC116&lt;1))),0,'Model inputs'!AC125*'Model inputs'!B41)</f>
        <v>0</v>
      </c>
      <c r="AD178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inputs'!AD116&lt;1))),0,'Model inputs'!AD125*'Model inputs'!B41)</f>
        <v>0</v>
      </c>
      <c r="AE178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inputs'!AE116&lt;1))),0,'Model inputs'!AE125*'Model inputs'!B41)</f>
        <v>0</v>
      </c>
      <c r="AF178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inputs'!AF116&lt;1))),0,'Model inputs'!AF125*'Model inputs'!B41)</f>
        <v>0</v>
      </c>
      <c r="AG178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inputs'!AG116&lt;1))),0,'Model inputs'!AG125*'Model inputs'!B41)</f>
        <v>0</v>
      </c>
    </row>
    <row r="179">
      <c r="A179" t="inlineStr" s="20">
        <is>
          <t xml:space="preserve">COGS per kit · Kit COGS</t>
        </is>
      </c>
      <c r="C179" s="11">
        <f>IF(IF(IF(IFERROR(IF(ISERROR('Model inputs'!B19=1),'Model inputs'!B19=1,IF('Model inputs'!B19="","",'Model inputs'!B19=1))=FALSE,FALSE),FALSE,IF(IFERROR('Model inputs'!B214=FALSE,FALSE),FALSE,IF(OR(IF(ISERROR('Model inputs'!B19=1),'Model inputs'!B19=1,IF('Model inputs'!B19="","",'Model inputs'!B19=1))="",'Model inputs'!B214=""),"",AND(IF(ISERROR('Model inputs'!B19=1),'Model inputs'!B19=1,IF('Model inputs'!B19="","",'Model inputs'!B19=1)),'Model inputs'!B214))))="",FALSE,IF(IFERROR(IF(ISERROR('Model inputs'!B19=1),'Model inputs'!B19=1,IF('Model inputs'!B19="","",'Model inputs'!B19=1))=FALSE,FALSE),FALSE,IF(IFERROR('Model inputs'!B214=FALSE,FALSE),FALSE,IF(OR(IF(ISERROR('Model inputs'!B19=1),'Model inputs'!B19=1,IF('Model inputs'!B19="","",'Model inputs'!B19=1))="",'Model inputs'!B214=""),"",AND(IF(ISERROR('Model inputs'!B19=1),'Model inputs'!B19=1,IF('Model inputs'!B19="","",'Model inputs'!B19=1)),'Model inputs'!B214))))),IF('Model inputs'!B46="","",'Model inputs'!B46),IF('Model inputs'!B36="","",'Model inputs'!B36))</f>
        <v>0.24</v>
      </c>
      <c r="D179" s="11">
        <f>IF(IF(IF(IFERROR(IF(ISERROR('Model inputs'!B19=1),'Model inputs'!B19=1,IF('Model inputs'!B19="","",'Model inputs'!B19=1))=FALSE,FALSE),FALSE,IF(IFERROR('Model inputs'!B215=FALSE,FALSE),FALSE,IF(OR(IF(ISERROR('Model inputs'!B19=1),'Model inputs'!B19=1,IF('Model inputs'!B19="","",'Model inputs'!B19=1))="",'Model inputs'!B215=""),"",AND(IF(ISERROR('Model inputs'!B19=1),'Model inputs'!B19=1,IF('Model inputs'!B19="","",'Model inputs'!B19=1)),'Model inputs'!B215))))="",FALSE,IF(IFERROR(IF(ISERROR('Model inputs'!B19=1),'Model inputs'!B19=1,IF('Model inputs'!B19="","",'Model inputs'!B19=1))=FALSE,FALSE),FALSE,IF(IFERROR('Model inputs'!B215=FALSE,FALSE),FALSE,IF(OR(IF(ISERROR('Model inputs'!B19=1),'Model inputs'!B19=1,IF('Model inputs'!B19="","",'Model inputs'!B19=1))="",'Model inputs'!B215=""),"",AND(IF(ISERROR('Model inputs'!B19=1),'Model inputs'!B19=1,IF('Model inputs'!B19="","",'Model inputs'!B19=1)),'Model inputs'!B215))))),IF('Model inputs'!B46="","",'Model inputs'!B46),IF('Model inputs'!B36="","",'Model inputs'!B36))</f>
        <v>0.24</v>
      </c>
      <c r="E179" s="11">
        <f>IF(IF(IF(IFERROR(IF(ISERROR('Model inputs'!B19=1),'Model inputs'!B19=1,IF('Model inputs'!B19="","",'Model inputs'!B19=1))=FALSE,FALSE),FALSE,IF(IFERROR('Model inputs'!B216=FALSE,FALSE),FALSE,IF(OR(IF(ISERROR('Model inputs'!B19=1),'Model inputs'!B19=1,IF('Model inputs'!B19="","",'Model inputs'!B19=1))="",'Model inputs'!B216=""),"",AND(IF(ISERROR('Model inputs'!B19=1),'Model inputs'!B19=1,IF('Model inputs'!B19="","",'Model inputs'!B19=1)),'Model inputs'!B216))))="",FALSE,IF(IFERROR(IF(ISERROR('Model inputs'!B19=1),'Model inputs'!B19=1,IF('Model inputs'!B19="","",'Model inputs'!B19=1))=FALSE,FALSE),FALSE,IF(IFERROR('Model inputs'!B216=FALSE,FALSE),FALSE,IF(OR(IF(ISERROR('Model inputs'!B19=1),'Model inputs'!B19=1,IF('Model inputs'!B19="","",'Model inputs'!B19=1))="",'Model inputs'!B216=""),"",AND(IF(ISERROR('Model inputs'!B19=1),'Model inputs'!B19=1,IF('Model inputs'!B19="","",'Model inputs'!B19=1)),'Model inputs'!B216))))),IF('Model inputs'!B46="","",'Model inputs'!B46),IF('Model inputs'!B36="","",'Model inputs'!B36))</f>
        <v>0.24</v>
      </c>
      <c r="F179" s="11">
        <f>IF(IF(IF(IFERROR(IF(ISERROR('Model inputs'!B19=1),'Model inputs'!B19=1,IF('Model inputs'!B19="","",'Model inputs'!B19=1))=FALSE,FALSE),FALSE,IF(IFERROR('Model inputs'!B217=FALSE,FALSE),FALSE,IF(OR(IF(ISERROR('Model inputs'!B19=1),'Model inputs'!B19=1,IF('Model inputs'!B19="","",'Model inputs'!B19=1))="",'Model inputs'!B217=""),"",AND(IF(ISERROR('Model inputs'!B19=1),'Model inputs'!B19=1,IF('Model inputs'!B19="","",'Model inputs'!B19=1)),'Model inputs'!B217))))="",FALSE,IF(IFERROR(IF(ISERROR('Model inputs'!B19=1),'Model inputs'!B19=1,IF('Model inputs'!B19="","",'Model inputs'!B19=1))=FALSE,FALSE),FALSE,IF(IFERROR('Model inputs'!B217=FALSE,FALSE),FALSE,IF(OR(IF(ISERROR('Model inputs'!B19=1),'Model inputs'!B19=1,IF('Model inputs'!B19="","",'Model inputs'!B19=1))="",'Model inputs'!B217=""),"",AND(IF(ISERROR('Model inputs'!B19=1),'Model inputs'!B19=1,IF('Model inputs'!B19="","",'Model inputs'!B19=1)),'Model inputs'!B217))))),IF('Model inputs'!B46="","",'Model inputs'!B46),IF('Model inputs'!B36="","",'Model inputs'!B36))</f>
        <v>0.24</v>
      </c>
      <c r="G179" s="11">
        <f>IF(IF(IF(IFERROR(IF(ISERROR('Model inputs'!B19=1),'Model inputs'!B19=1,IF('Model inputs'!B19="","",'Model inputs'!B19=1))=FALSE,FALSE),FALSE,IF(IFERROR('Model inputs'!B218=FALSE,FALSE),FALSE,IF(OR(IF(ISERROR('Model inputs'!B19=1),'Model inputs'!B19=1,IF('Model inputs'!B19="","",'Model inputs'!B19=1))="",'Model inputs'!B218=""),"",AND(IF(ISERROR('Model inputs'!B19=1),'Model inputs'!B19=1,IF('Model inputs'!B19="","",'Model inputs'!B19=1)),'Model inputs'!B218))))="",FALSE,IF(IFERROR(IF(ISERROR('Model inputs'!B19=1),'Model inputs'!B19=1,IF('Model inputs'!B19="","",'Model inputs'!B19=1))=FALSE,FALSE),FALSE,IF(IFERROR('Model inputs'!B218=FALSE,FALSE),FALSE,IF(OR(IF(ISERROR('Model inputs'!B19=1),'Model inputs'!B19=1,IF('Model inputs'!B19="","",'Model inputs'!B19=1))="",'Model inputs'!B218=""),"",AND(IF(ISERROR('Model inputs'!B19=1),'Model inputs'!B19=1,IF('Model inputs'!B19="","",'Model inputs'!B19=1)),'Model inputs'!B218))))),IF('Model inputs'!B46="","",'Model inputs'!B46),IF('Model inputs'!B36="","",'Model inputs'!B36))</f>
        <v>0.24</v>
      </c>
      <c r="H179" s="11">
        <f>IF(IF(IF(IFERROR(IF(ISERROR('Model inputs'!B19=1),'Model inputs'!B19=1,IF('Model inputs'!B19="","",'Model inputs'!B19=1))=FALSE,FALSE),FALSE,IF(IFERROR('Model inputs'!B219=FALSE,FALSE),FALSE,IF(OR(IF(ISERROR('Model inputs'!B19=1),'Model inputs'!B19=1,IF('Model inputs'!B19="","",'Model inputs'!B19=1))="",'Model inputs'!B219=""),"",AND(IF(ISERROR('Model inputs'!B19=1),'Model inputs'!B19=1,IF('Model inputs'!B19="","",'Model inputs'!B19=1)),'Model inputs'!B219))))="",FALSE,IF(IFERROR(IF(ISERROR('Model inputs'!B19=1),'Model inputs'!B19=1,IF('Model inputs'!B19="","",'Model inputs'!B19=1))=FALSE,FALSE),FALSE,IF(IFERROR('Model inputs'!B219=FALSE,FALSE),FALSE,IF(OR(IF(ISERROR('Model inputs'!B19=1),'Model inputs'!B19=1,IF('Model inputs'!B19="","",'Model inputs'!B19=1))="",'Model inputs'!B219=""),"",AND(IF(ISERROR('Model inputs'!B19=1),'Model inputs'!B19=1,IF('Model inputs'!B19="","",'Model inputs'!B19=1)),'Model inputs'!B219))))),IF('Model inputs'!B46="","",'Model inputs'!B46),IF('Model inputs'!B36="","",'Model inputs'!B36))</f>
        <v>0.24</v>
      </c>
      <c r="I179" s="11">
        <f>IF(IF(IF(IFERROR(IF(ISERROR('Model inputs'!B19=1),'Model inputs'!B19=1,IF('Model inputs'!B19="","",'Model inputs'!B19=1))=FALSE,FALSE),FALSE,IF(IFERROR('Model inputs'!B220=FALSE,FALSE),FALSE,IF(OR(IF(ISERROR('Model inputs'!B19=1),'Model inputs'!B19=1,IF('Model inputs'!B19="","",'Model inputs'!B19=1))="",'Model inputs'!B220=""),"",AND(IF(ISERROR('Model inputs'!B19=1),'Model inputs'!B19=1,IF('Model inputs'!B19="","",'Model inputs'!B19=1)),'Model inputs'!B220))))="",FALSE,IF(IFERROR(IF(ISERROR('Model inputs'!B19=1),'Model inputs'!B19=1,IF('Model inputs'!B19="","",'Model inputs'!B19=1))=FALSE,FALSE),FALSE,IF(IFERROR('Model inputs'!B220=FALSE,FALSE),FALSE,IF(OR(IF(ISERROR('Model inputs'!B19=1),'Model inputs'!B19=1,IF('Model inputs'!B19="","",'Model inputs'!B19=1))="",'Model inputs'!B220=""),"",AND(IF(ISERROR('Model inputs'!B19=1),'Model inputs'!B19=1,IF('Model inputs'!B19="","",'Model inputs'!B19=1)),'Model inputs'!B220))))),IF('Model inputs'!B46="","",'Model inputs'!B46),IF('Model inputs'!B36="","",'Model inputs'!B36))</f>
        <v>0.24</v>
      </c>
      <c r="J179" s="11">
        <f>IF(IF(IF(IFERROR(IF(ISERROR('Model inputs'!B19=1),'Model inputs'!B19=1,IF('Model inputs'!B19="","",'Model inputs'!B19=1))=FALSE,FALSE),FALSE,IF(IFERROR('Model inputs'!B221=FALSE,FALSE),FALSE,IF(OR(IF(ISERROR('Model inputs'!B19=1),'Model inputs'!B19=1,IF('Model inputs'!B19="","",'Model inputs'!B19=1))="",'Model inputs'!B221=""),"",AND(IF(ISERROR('Model inputs'!B19=1),'Model inputs'!B19=1,IF('Model inputs'!B19="","",'Model inputs'!B19=1)),'Model inputs'!B221))))="",FALSE,IF(IFERROR(IF(ISERROR('Model inputs'!B19=1),'Model inputs'!B19=1,IF('Model inputs'!B19="","",'Model inputs'!B19=1))=FALSE,FALSE),FALSE,IF(IFERROR('Model inputs'!B221=FALSE,FALSE),FALSE,IF(OR(IF(ISERROR('Model inputs'!B19=1),'Model inputs'!B19=1,IF('Model inputs'!B19="","",'Model inputs'!B19=1))="",'Model inputs'!B221=""),"",AND(IF(ISERROR('Model inputs'!B19=1),'Model inputs'!B19=1,IF('Model inputs'!B19="","",'Model inputs'!B19=1)),'Model inputs'!B221))))),IF('Model inputs'!B46="","",'Model inputs'!B46),IF('Model inputs'!B36="","",'Model inputs'!B36))</f>
        <v>0.24</v>
      </c>
      <c r="K179" s="11">
        <f>IF(IF(IF(IFERROR(IF(ISERROR('Model inputs'!B19=1),'Model inputs'!B19=1,IF('Model inputs'!B19="","",'Model inputs'!B19=1))=FALSE,FALSE),FALSE,IF(IFERROR('Model inputs'!B222=FALSE,FALSE),FALSE,IF(OR(IF(ISERROR('Model inputs'!B19=1),'Model inputs'!B19=1,IF('Model inputs'!B19="","",'Model inputs'!B19=1))="",'Model inputs'!B222=""),"",AND(IF(ISERROR('Model inputs'!B19=1),'Model inputs'!B19=1,IF('Model inputs'!B19="","",'Model inputs'!B19=1)),'Model inputs'!B222))))="",FALSE,IF(IFERROR(IF(ISERROR('Model inputs'!B19=1),'Model inputs'!B19=1,IF('Model inputs'!B19="","",'Model inputs'!B19=1))=FALSE,FALSE),FALSE,IF(IFERROR('Model inputs'!B222=FALSE,FALSE),FALSE,IF(OR(IF(ISERROR('Model inputs'!B19=1),'Model inputs'!B19=1,IF('Model inputs'!B19="","",'Model inputs'!B19=1))="",'Model inputs'!B222=""),"",AND(IF(ISERROR('Model inputs'!B19=1),'Model inputs'!B19=1,IF('Model inputs'!B19="","",'Model inputs'!B19=1)),'Model inputs'!B222))))),IF('Model inputs'!B46="","",'Model inputs'!B46),IF('Model inputs'!B36="","",'Model inputs'!B36))</f>
        <v>0.24</v>
      </c>
      <c r="L179" s="11">
        <f>IF(IF(IF(IFERROR(IF(ISERROR('Model inputs'!B19=1),'Model inputs'!B19=1,IF('Model inputs'!B19="","",'Model inputs'!B19=1))=FALSE,FALSE),FALSE,IF(IFERROR('Model inputs'!B223=FALSE,FALSE),FALSE,IF(OR(IF(ISERROR('Model inputs'!B19=1),'Model inputs'!B19=1,IF('Model inputs'!B19="","",'Model inputs'!B19=1))="",'Model inputs'!B223=""),"",AND(IF(ISERROR('Model inputs'!B19=1),'Model inputs'!B19=1,IF('Model inputs'!B19="","",'Model inputs'!B19=1)),'Model inputs'!B223))))="",FALSE,IF(IFERROR(IF(ISERROR('Model inputs'!B19=1),'Model inputs'!B19=1,IF('Model inputs'!B19="","",'Model inputs'!B19=1))=FALSE,FALSE),FALSE,IF(IFERROR('Model inputs'!B223=FALSE,FALSE),FALSE,IF(OR(IF(ISERROR('Model inputs'!B19=1),'Model inputs'!B19=1,IF('Model inputs'!B19="","",'Model inputs'!B19=1))="",'Model inputs'!B223=""),"",AND(IF(ISERROR('Model inputs'!B19=1),'Model inputs'!B19=1,IF('Model inputs'!B19="","",'Model inputs'!B19=1)),'Model inputs'!B223))))),IF('Model inputs'!B46="","",'Model inputs'!B46),IF('Model inputs'!B36="","",'Model inputs'!B36))</f>
        <v>0.24</v>
      </c>
      <c r="M179" s="11">
        <f>IF(IF(IF(IFERROR(IF(ISERROR('Model inputs'!B19=1),'Model inputs'!B19=1,IF('Model inputs'!B19="","",'Model inputs'!B19=1))=FALSE,FALSE),FALSE,IF(IFERROR('Model inputs'!B224=FALSE,FALSE),FALSE,IF(OR(IF(ISERROR('Model inputs'!B19=1),'Model inputs'!B19=1,IF('Model inputs'!B19="","",'Model inputs'!B19=1))="",'Model inputs'!B224=""),"",AND(IF(ISERROR('Model inputs'!B19=1),'Model inputs'!B19=1,IF('Model inputs'!B19="","",'Model inputs'!B19=1)),'Model inputs'!B224))))="",FALSE,IF(IFERROR(IF(ISERROR('Model inputs'!B19=1),'Model inputs'!B19=1,IF('Model inputs'!B19="","",'Model inputs'!B19=1))=FALSE,FALSE),FALSE,IF(IFERROR('Model inputs'!B224=FALSE,FALSE),FALSE,IF(OR(IF(ISERROR('Model inputs'!B19=1),'Model inputs'!B19=1,IF('Model inputs'!B19="","",'Model inputs'!B19=1))="",'Model inputs'!B224=""),"",AND(IF(ISERROR('Model inputs'!B19=1),'Model inputs'!B19=1,IF('Model inputs'!B19="","",'Model inputs'!B19=1)),'Model inputs'!B224))))),IF('Model inputs'!B46="","",'Model inputs'!B46),IF('Model inputs'!B36="","",'Model inputs'!B36))</f>
        <v>0.24</v>
      </c>
      <c r="N179" s="11">
        <f>IF(IF(IF(IFERROR(IF(ISERROR('Model inputs'!B19=1),'Model inputs'!B19=1,IF('Model inputs'!B19="","",'Model inputs'!B19=1))=FALSE,FALSE),FALSE,IF(IFERROR('Model inputs'!B225=FALSE,FALSE),FALSE,IF(OR(IF(ISERROR('Model inputs'!B19=1),'Model inputs'!B19=1,IF('Model inputs'!B19="","",'Model inputs'!B19=1))="",'Model inputs'!B225=""),"",AND(IF(ISERROR('Model inputs'!B19=1),'Model inputs'!B19=1,IF('Model inputs'!B19="","",'Model inputs'!B19=1)),'Model inputs'!B225))))="",FALSE,IF(IFERROR(IF(ISERROR('Model inputs'!B19=1),'Model inputs'!B19=1,IF('Model inputs'!B19="","",'Model inputs'!B19=1))=FALSE,FALSE),FALSE,IF(IFERROR('Model inputs'!B225=FALSE,FALSE),FALSE,IF(OR(IF(ISERROR('Model inputs'!B19=1),'Model inputs'!B19=1,IF('Model inputs'!B19="","",'Model inputs'!B19=1))="",'Model inputs'!B225=""),"",AND(IF(ISERROR('Model inputs'!B19=1),'Model inputs'!B19=1,IF('Model inputs'!B19="","",'Model inputs'!B19=1)),'Model inputs'!B225))))),IF('Model inputs'!B46="","",'Model inputs'!B46),IF('Model inputs'!B36="","",'Model inputs'!B36))</f>
        <v>0.24</v>
      </c>
      <c r="O179" s="11">
        <f>IF(IF(IF(IFERROR(IF(ISERROR('Model inputs'!B19=1),'Model inputs'!B19=1,IF('Model inputs'!B19="","",'Model inputs'!B19=1))=FALSE,FALSE),FALSE,IF(IFERROR('Model inputs'!B226=FALSE,FALSE),FALSE,IF(OR(IF(ISERROR('Model inputs'!B19=1),'Model inputs'!B19=1,IF('Model inputs'!B19="","",'Model inputs'!B19=1))="",'Model inputs'!B226=""),"",AND(IF(ISERROR('Model inputs'!B19=1),'Model inputs'!B19=1,IF('Model inputs'!B19="","",'Model inputs'!B19=1)),'Model inputs'!B226))))="",FALSE,IF(IFERROR(IF(ISERROR('Model inputs'!B19=1),'Model inputs'!B19=1,IF('Model inputs'!B19="","",'Model inputs'!B19=1))=FALSE,FALSE),FALSE,IF(IFERROR('Model inputs'!B226=FALSE,FALSE),FALSE,IF(OR(IF(ISERROR('Model inputs'!B19=1),'Model inputs'!B19=1,IF('Model inputs'!B19="","",'Model inputs'!B19=1))="",'Model inputs'!B226=""),"",AND(IF(ISERROR('Model inputs'!B19=1),'Model inputs'!B19=1,IF('Model inputs'!B19="","",'Model inputs'!B19=1)),'Model inputs'!B226))))),IF('Model inputs'!B46="","",'Model inputs'!B46),IF('Model inputs'!B36="","",'Model inputs'!B36))</f>
        <v>0.24</v>
      </c>
      <c r="P179" s="11">
        <f>IF(IF(IF(IFERROR(IF(ISERROR('Model inputs'!B19=1),'Model inputs'!B19=1,IF('Model inputs'!B19="","",'Model inputs'!B19=1))=FALSE,FALSE),FALSE,IF(IFERROR('Model inputs'!B227=FALSE,FALSE),FALSE,IF(OR(IF(ISERROR('Model inputs'!B19=1),'Model inputs'!B19=1,IF('Model inputs'!B19="","",'Model inputs'!B19=1))="",'Model inputs'!B227=""),"",AND(IF(ISERROR('Model inputs'!B19=1),'Model inputs'!B19=1,IF('Model inputs'!B19="","",'Model inputs'!B19=1)),'Model inputs'!B227))))="",FALSE,IF(IFERROR(IF(ISERROR('Model inputs'!B19=1),'Model inputs'!B19=1,IF('Model inputs'!B19="","",'Model inputs'!B19=1))=FALSE,FALSE),FALSE,IF(IFERROR('Model inputs'!B227=FALSE,FALSE),FALSE,IF(OR(IF(ISERROR('Model inputs'!B19=1),'Model inputs'!B19=1,IF('Model inputs'!B19="","",'Model inputs'!B19=1))="",'Model inputs'!B227=""),"",AND(IF(ISERROR('Model inputs'!B19=1),'Model inputs'!B19=1,IF('Model inputs'!B19="","",'Model inputs'!B19=1)),'Model inputs'!B227))))),IF('Model inputs'!B46="","",'Model inputs'!B46),IF('Model inputs'!B36="","",'Model inputs'!B36))</f>
        <v>0.24</v>
      </c>
      <c r="Q179" s="11">
        <f>IF(IF(IF(IFERROR(IF(ISERROR('Model inputs'!B19=1),'Model inputs'!B19=1,IF('Model inputs'!B19="","",'Model inputs'!B19=1))=FALSE,FALSE),FALSE,IF(IFERROR('Model inputs'!B228=FALSE,FALSE),FALSE,IF(OR(IF(ISERROR('Model inputs'!B19=1),'Model inputs'!B19=1,IF('Model inputs'!B19="","",'Model inputs'!B19=1))="",'Model inputs'!B228=""),"",AND(IF(ISERROR('Model inputs'!B19=1),'Model inputs'!B19=1,IF('Model inputs'!B19="","",'Model inputs'!B19=1)),'Model inputs'!B228))))="",FALSE,IF(IFERROR(IF(ISERROR('Model inputs'!B19=1),'Model inputs'!B19=1,IF('Model inputs'!B19="","",'Model inputs'!B19=1))=FALSE,FALSE),FALSE,IF(IFERROR('Model inputs'!B228=FALSE,FALSE),FALSE,IF(OR(IF(ISERROR('Model inputs'!B19=1),'Model inputs'!B19=1,IF('Model inputs'!B19="","",'Model inputs'!B19=1))="",'Model inputs'!B228=""),"",AND(IF(ISERROR('Model inputs'!B19=1),'Model inputs'!B19=1,IF('Model inputs'!B19="","",'Model inputs'!B19=1)),'Model inputs'!B228))))),IF('Model inputs'!B46="","",'Model inputs'!B46),IF('Model inputs'!B36="","",'Model inputs'!B36))</f>
        <v>0.24</v>
      </c>
      <c r="R179" s="11">
        <f>IF(IF(IF(IFERROR(IF(ISERROR('Model inputs'!B19=1),'Model inputs'!B19=1,IF('Model inputs'!B19="","",'Model inputs'!B19=1))=FALSE,FALSE),FALSE,IF(IFERROR('Model inputs'!B229=FALSE,FALSE),FALSE,IF(OR(IF(ISERROR('Model inputs'!B19=1),'Model inputs'!B19=1,IF('Model inputs'!B19="","",'Model inputs'!B19=1))="",'Model inputs'!B229=""),"",AND(IF(ISERROR('Model inputs'!B19=1),'Model inputs'!B19=1,IF('Model inputs'!B19="","",'Model inputs'!B19=1)),'Model inputs'!B229))))="",FALSE,IF(IFERROR(IF(ISERROR('Model inputs'!B19=1),'Model inputs'!B19=1,IF('Model inputs'!B19="","",'Model inputs'!B19=1))=FALSE,FALSE),FALSE,IF(IFERROR('Model inputs'!B229=FALSE,FALSE),FALSE,IF(OR(IF(ISERROR('Model inputs'!B19=1),'Model inputs'!B19=1,IF('Model inputs'!B19="","",'Model inputs'!B19=1))="",'Model inputs'!B229=""),"",AND(IF(ISERROR('Model inputs'!B19=1),'Model inputs'!B19=1,IF('Model inputs'!B19="","",'Model inputs'!B19=1)),'Model inputs'!B229))))),IF('Model inputs'!B46="","",'Model inputs'!B46),IF('Model inputs'!B36="","",'Model inputs'!B36))</f>
        <v>0.24</v>
      </c>
      <c r="S179" s="11">
        <f>IF(IF(IF(IFERROR(IF(ISERROR('Model inputs'!B19=1),'Model inputs'!B19=1,IF('Model inputs'!B19="","",'Model inputs'!B19=1))=FALSE,FALSE),FALSE,IF(IFERROR('Model inputs'!B230=FALSE,FALSE),FALSE,IF(OR(IF(ISERROR('Model inputs'!B19=1),'Model inputs'!B19=1,IF('Model inputs'!B19="","",'Model inputs'!B19=1))="",'Model inputs'!B230=""),"",AND(IF(ISERROR('Model inputs'!B19=1),'Model inputs'!B19=1,IF('Model inputs'!B19="","",'Model inputs'!B19=1)),'Model inputs'!B230))))="",FALSE,IF(IFERROR(IF(ISERROR('Model inputs'!B19=1),'Model inputs'!B19=1,IF('Model inputs'!B19="","",'Model inputs'!B19=1))=FALSE,FALSE),FALSE,IF(IFERROR('Model inputs'!B230=FALSE,FALSE),FALSE,IF(OR(IF(ISERROR('Model inputs'!B19=1),'Model inputs'!B19=1,IF('Model inputs'!B19="","",'Model inputs'!B19=1))="",'Model inputs'!B230=""),"",AND(IF(ISERROR('Model inputs'!B19=1),'Model inputs'!B19=1,IF('Model inputs'!B19="","",'Model inputs'!B19=1)),'Model inputs'!B230))))),IF('Model inputs'!B46="","",'Model inputs'!B46),IF('Model inputs'!B36="","",'Model inputs'!B36))</f>
        <v>0.24</v>
      </c>
      <c r="T179" s="11">
        <f>IF(IF(IF(IFERROR(IF(ISERROR('Model inputs'!B19=1),'Model inputs'!B19=1,IF('Model inputs'!B19="","",'Model inputs'!B19=1))=FALSE,FALSE),FALSE,IF(IFERROR('Model inputs'!B231=FALSE,FALSE),FALSE,IF(OR(IF(ISERROR('Model inputs'!B19=1),'Model inputs'!B19=1,IF('Model inputs'!B19="","",'Model inputs'!B19=1))="",'Model inputs'!B231=""),"",AND(IF(ISERROR('Model inputs'!B19=1),'Model inputs'!B19=1,IF('Model inputs'!B19="","",'Model inputs'!B19=1)),'Model inputs'!B231))))="",FALSE,IF(IFERROR(IF(ISERROR('Model inputs'!B19=1),'Model inputs'!B19=1,IF('Model inputs'!B19="","",'Model inputs'!B19=1))=FALSE,FALSE),FALSE,IF(IFERROR('Model inputs'!B231=FALSE,FALSE),FALSE,IF(OR(IF(ISERROR('Model inputs'!B19=1),'Model inputs'!B19=1,IF('Model inputs'!B19="","",'Model inputs'!B19=1))="",'Model inputs'!B231=""),"",AND(IF(ISERROR('Model inputs'!B19=1),'Model inputs'!B19=1,IF('Model inputs'!B19="","",'Model inputs'!B19=1)),'Model inputs'!B231))))),IF('Model inputs'!B46="","",'Model inputs'!B46),IF('Model inputs'!B36="","",'Model inputs'!B36))</f>
        <v>0.24</v>
      </c>
      <c r="U179" s="11">
        <f>IF(IF(IF(IFERROR(IF(ISERROR('Model inputs'!B19=1),'Model inputs'!B19=1,IF('Model inputs'!B19="","",'Model inputs'!B19=1))=FALSE,FALSE),FALSE,IF(IFERROR('Model inputs'!B238=FALSE,FALSE),FALSE,IF(OR(IF(ISERROR('Model inputs'!B19=1),'Model inputs'!B19=1,IF('Model inputs'!B19="","",'Model inputs'!B19=1))="",'Model inputs'!B238=""),"",AND(IF(ISERROR('Model inputs'!B19=1),'Model inputs'!B19=1,IF('Model inputs'!B19="","",'Model inputs'!B19=1)),'Model inputs'!B238))))="",FALSE,IF(IFERROR(IF(ISERROR('Model inputs'!B19=1),'Model inputs'!B19=1,IF('Model inputs'!B19="","",'Model inputs'!B19=1))=FALSE,FALSE),FALSE,IF(IFERROR('Model inputs'!B238=FALSE,FALSE),FALSE,IF(OR(IF(ISERROR('Model inputs'!B19=1),'Model inputs'!B19=1,IF('Model inputs'!B19="","",'Model inputs'!B19=1))="",'Model inputs'!B238=""),"",AND(IF(ISERROR('Model inputs'!B19=1),'Model inputs'!B19=1,IF('Model inputs'!B19="","",'Model inputs'!B19=1)),'Model inputs'!B238))))),IF('Model inputs'!B46="","",'Model inputs'!B46),IF('Model inputs'!B36="","",'Model inputs'!B36))</f>
        <v>0.24</v>
      </c>
      <c r="V179" s="11">
        <f>IF(IF(IF(IFERROR(IF(ISERROR('Model inputs'!B19=1),'Model inputs'!B19=1,IF('Model inputs'!B19="","",'Model inputs'!B19=1))=FALSE,FALSE),FALSE,IF(IFERROR('Model inputs'!B239=FALSE,FALSE),FALSE,IF(OR(IF(ISERROR('Model inputs'!B19=1),'Model inputs'!B19=1,IF('Model inputs'!B19="","",'Model inputs'!B19=1))="",'Model inputs'!B239=""),"",AND(IF(ISERROR('Model inputs'!B19=1),'Model inputs'!B19=1,IF('Model inputs'!B19="","",'Model inputs'!B19=1)),'Model inputs'!B239))))="",FALSE,IF(IFERROR(IF(ISERROR('Model inputs'!B19=1),'Model inputs'!B19=1,IF('Model inputs'!B19="","",'Model inputs'!B19=1))=FALSE,FALSE),FALSE,IF(IFERROR('Model inputs'!B239=FALSE,FALSE),FALSE,IF(OR(IF(ISERROR('Model inputs'!B19=1),'Model inputs'!B19=1,IF('Model inputs'!B19="","",'Model inputs'!B19=1))="",'Model inputs'!B239=""),"",AND(IF(ISERROR('Model inputs'!B19=1),'Model inputs'!B19=1,IF('Model inputs'!B19="","",'Model inputs'!B19=1)),'Model inputs'!B239))))),IF('Model inputs'!B46="","",'Model inputs'!B46),IF('Model inputs'!B36="","",'Model inputs'!B36))</f>
        <v>0.24</v>
      </c>
      <c r="W179" s="11">
        <f>IF(IF(IF(IFERROR(IF(ISERROR('Model inputs'!B19=1),'Model inputs'!B19=1,IF('Model inputs'!B19="","",'Model inputs'!B19=1))=FALSE,FALSE),FALSE,IF(IFERROR('Model inputs'!B240=FALSE,FALSE),FALSE,IF(OR(IF(ISERROR('Model inputs'!B19=1),'Model inputs'!B19=1,IF('Model inputs'!B19="","",'Model inputs'!B19=1))="",'Model inputs'!B240=""),"",AND(IF(ISERROR('Model inputs'!B19=1),'Model inputs'!B19=1,IF('Model inputs'!B19="","",'Model inputs'!B19=1)),'Model inputs'!B240))))="",FALSE,IF(IFERROR(IF(ISERROR('Model inputs'!B19=1),'Model inputs'!B19=1,IF('Model inputs'!B19="","",'Model inputs'!B19=1))=FALSE,FALSE),FALSE,IF(IFERROR('Model inputs'!B240=FALSE,FALSE),FALSE,IF(OR(IF(ISERROR('Model inputs'!B19=1),'Model inputs'!B19=1,IF('Model inputs'!B19="","",'Model inputs'!B19=1))="",'Model inputs'!B240=""),"",AND(IF(ISERROR('Model inputs'!B19=1),'Model inputs'!B19=1,IF('Model inputs'!B19="","",'Model inputs'!B19=1)),'Model inputs'!B240))))),IF('Model inputs'!B46="","",'Model inputs'!B46),IF('Model inputs'!B36="","",'Model inputs'!B36))</f>
        <v>0.24</v>
      </c>
      <c r="X179" s="11">
        <f>IF(IF(IF(IFERROR(IF(ISERROR('Model inputs'!B19=1),'Model inputs'!B19=1,IF('Model inputs'!B19="","",'Model inputs'!B19=1))=FALSE,FALSE),FALSE,IF(IFERROR('Model inputs'!B241=FALSE,FALSE),FALSE,IF(OR(IF(ISERROR('Model inputs'!B19=1),'Model inputs'!B19=1,IF('Model inputs'!B19="","",'Model inputs'!B19=1))="",'Model inputs'!B241=""),"",AND(IF(ISERROR('Model inputs'!B19=1),'Model inputs'!B19=1,IF('Model inputs'!B19="","",'Model inputs'!B19=1)),'Model inputs'!B241))))="",FALSE,IF(IFERROR(IF(ISERROR('Model inputs'!B19=1),'Model inputs'!B19=1,IF('Model inputs'!B19="","",'Model inputs'!B19=1))=FALSE,FALSE),FALSE,IF(IFERROR('Model inputs'!B241=FALSE,FALSE),FALSE,IF(OR(IF(ISERROR('Model inputs'!B19=1),'Model inputs'!B19=1,IF('Model inputs'!B19="","",'Model inputs'!B19=1))="",'Model inputs'!B241=""),"",AND(IF(ISERROR('Model inputs'!B19=1),'Model inputs'!B19=1,IF('Model inputs'!B19="","",'Model inputs'!B19=1)),'Model inputs'!B241))))),IF('Model inputs'!B46="","",'Model inputs'!B46),IF('Model inputs'!B36="","",'Model inputs'!B36))</f>
        <v>0.24</v>
      </c>
      <c r="Y179" s="11">
        <f>IF(IF(IF(IFERROR(IF(ISERROR('Model inputs'!B19=1),'Model inputs'!B19=1,IF('Model inputs'!B19="","",'Model inputs'!B19=1))=FALSE,FALSE),FALSE,IF(IFERROR('Model inputs'!B242=FALSE,FALSE),FALSE,IF(OR(IF(ISERROR('Model inputs'!B19=1),'Model inputs'!B19=1,IF('Model inputs'!B19="","",'Model inputs'!B19=1))="",'Model inputs'!B242=""),"",AND(IF(ISERROR('Model inputs'!B19=1),'Model inputs'!B19=1,IF('Model inputs'!B19="","",'Model inputs'!B19=1)),'Model inputs'!B242))))="",FALSE,IF(IFERROR(IF(ISERROR('Model inputs'!B19=1),'Model inputs'!B19=1,IF('Model inputs'!B19="","",'Model inputs'!B19=1))=FALSE,FALSE),FALSE,IF(IFERROR('Model inputs'!B242=FALSE,FALSE),FALSE,IF(OR(IF(ISERROR('Model inputs'!B19=1),'Model inputs'!B19=1,IF('Model inputs'!B19="","",'Model inputs'!B19=1))="",'Model inputs'!B242=""),"",AND(IF(ISERROR('Model inputs'!B19=1),'Model inputs'!B19=1,IF('Model inputs'!B19="","",'Model inputs'!B19=1)),'Model inputs'!B242))))),IF('Model inputs'!B46="","",'Model inputs'!B46),IF('Model inputs'!B36="","",'Model inputs'!B36))</f>
        <v>0.24</v>
      </c>
      <c r="Z179" s="11">
        <f>IF(IF(IF(IFERROR(IF(ISERROR('Model inputs'!B19=1),'Model inputs'!B19=1,IF('Model inputs'!B19="","",'Model inputs'!B19=1))=FALSE,FALSE),FALSE,IF(IFERROR('Model inputs'!B243=FALSE,FALSE),FALSE,IF(OR(IF(ISERROR('Model inputs'!B19=1),'Model inputs'!B19=1,IF('Model inputs'!B19="","",'Model inputs'!B19=1))="",'Model inputs'!B243=""),"",AND(IF(ISERROR('Model inputs'!B19=1),'Model inputs'!B19=1,IF('Model inputs'!B19="","",'Model inputs'!B19=1)),'Model inputs'!B243))))="",FALSE,IF(IFERROR(IF(ISERROR('Model inputs'!B19=1),'Model inputs'!B19=1,IF('Model inputs'!B19="","",'Model inputs'!B19=1))=FALSE,FALSE),FALSE,IF(IFERROR('Model inputs'!B243=FALSE,FALSE),FALSE,IF(OR(IF(ISERROR('Model inputs'!B19=1),'Model inputs'!B19=1,IF('Model inputs'!B19="","",'Model inputs'!B19=1))="",'Model inputs'!B243=""),"",AND(IF(ISERROR('Model inputs'!B19=1),'Model inputs'!B19=1,IF('Model inputs'!B19="","",'Model inputs'!B19=1)),'Model inputs'!B243))))),IF('Model inputs'!B46="","",'Model inputs'!B46),IF('Model inputs'!B36="","",'Model inputs'!B36))</f>
        <v>0.24</v>
      </c>
      <c r="AA179" s="11">
        <f>IF(IF(IF(IFERROR(IF(ISERROR('Model inputs'!B19=1),'Model inputs'!B19=1,IF('Model inputs'!B19="","",'Model inputs'!B19=1))=FALSE,FALSE),FALSE,IF(IFERROR('Model inputs'!B244=FALSE,FALSE),FALSE,IF(OR(IF(ISERROR('Model inputs'!B19=1),'Model inputs'!B19=1,IF('Model inputs'!B19="","",'Model inputs'!B19=1))="",'Model inputs'!B244=""),"",AND(IF(ISERROR('Model inputs'!B19=1),'Model inputs'!B19=1,IF('Model inputs'!B19="","",'Model inputs'!B19=1)),'Model inputs'!B244))))="",FALSE,IF(IFERROR(IF(ISERROR('Model inputs'!B19=1),'Model inputs'!B19=1,IF('Model inputs'!B19="","",'Model inputs'!B19=1))=FALSE,FALSE),FALSE,IF(IFERROR('Model inputs'!B244=FALSE,FALSE),FALSE,IF(OR(IF(ISERROR('Model inputs'!B19=1),'Model inputs'!B19=1,IF('Model inputs'!B19="","",'Model inputs'!B19=1))="",'Model inputs'!B244=""),"",AND(IF(ISERROR('Model inputs'!B19=1),'Model inputs'!B19=1,IF('Model inputs'!B19="","",'Model inputs'!B19=1)),'Model inputs'!B244))))),IF('Model inputs'!B46="","",'Model inputs'!B46),IF('Model inputs'!B36="","",'Model inputs'!B36))</f>
        <v>0.24</v>
      </c>
      <c r="AB179" s="11">
        <f>IF(IF(IF(IFERROR(IF(ISERROR('Model inputs'!B19=1),'Model inputs'!B19=1,IF('Model inputs'!B19="","",'Model inputs'!B19=1))=FALSE,FALSE),FALSE,IF(IFERROR('Model inputs'!B245=FALSE,FALSE),FALSE,IF(OR(IF(ISERROR('Model inputs'!B19=1),'Model inputs'!B19=1,IF('Model inputs'!B19="","",'Model inputs'!B19=1))="",'Model inputs'!B245=""),"",AND(IF(ISERROR('Model inputs'!B19=1),'Model inputs'!B19=1,IF('Model inputs'!B19="","",'Model inputs'!B19=1)),'Model inputs'!B245))))="",FALSE,IF(IFERROR(IF(ISERROR('Model inputs'!B19=1),'Model inputs'!B19=1,IF('Model inputs'!B19="","",'Model inputs'!B19=1))=FALSE,FALSE),FALSE,IF(IFERROR('Model inputs'!B245=FALSE,FALSE),FALSE,IF(OR(IF(ISERROR('Model inputs'!B19=1),'Model inputs'!B19=1,IF('Model inputs'!B19="","",'Model inputs'!B19=1))="",'Model inputs'!B245=""),"",AND(IF(ISERROR('Model inputs'!B19=1),'Model inputs'!B19=1,IF('Model inputs'!B19="","",'Model inputs'!B19=1)),'Model inputs'!B245))))),IF('Model inputs'!B46="","",'Model inputs'!B46),IF('Model inputs'!B36="","",'Model inputs'!B36))</f>
        <v>0.24</v>
      </c>
      <c r="AC179" s="11">
        <f>IF(IF(IF(IFERROR(IF(ISERROR('Model inputs'!B19=1),'Model inputs'!B19=1,IF('Model inputs'!B19="","",'Model inputs'!B19=1))=FALSE,FALSE),FALSE,IF(IFERROR('Model inputs'!B246=FALSE,FALSE),FALSE,IF(OR(IF(ISERROR('Model inputs'!B19=1),'Model inputs'!B19=1,IF('Model inputs'!B19="","",'Model inputs'!B19=1))="",'Model inputs'!B246=""),"",AND(IF(ISERROR('Model inputs'!B19=1),'Model inputs'!B19=1,IF('Model inputs'!B19="","",'Model inputs'!B19=1)),'Model inputs'!B246))))="",FALSE,IF(IFERROR(IF(ISERROR('Model inputs'!B19=1),'Model inputs'!B19=1,IF('Model inputs'!B19="","",'Model inputs'!B19=1))=FALSE,FALSE),FALSE,IF(IFERROR('Model inputs'!B246=FALSE,FALSE),FALSE,IF(OR(IF(ISERROR('Model inputs'!B19=1),'Model inputs'!B19=1,IF('Model inputs'!B19="","",'Model inputs'!B19=1))="",'Model inputs'!B246=""),"",AND(IF(ISERROR('Model inputs'!B19=1),'Model inputs'!B19=1,IF('Model inputs'!B19="","",'Model inputs'!B19=1)),'Model inputs'!B246))))),IF('Model inputs'!B46="","",'Model inputs'!B46),IF('Model inputs'!B36="","",'Model inputs'!B36))</f>
        <v>0.24</v>
      </c>
      <c r="AD179" s="11">
        <f>IF(IF(IF(IFERROR(IF(ISERROR('Model inputs'!B19=1),'Model inputs'!B19=1,IF('Model inputs'!B19="","",'Model inputs'!B19=1))=FALSE,FALSE),FALSE,IF(IFERROR('Model inputs'!B247=FALSE,FALSE),FALSE,IF(OR(IF(ISERROR('Model inputs'!B19=1),'Model inputs'!B19=1,IF('Model inputs'!B19="","",'Model inputs'!B19=1))="",'Model inputs'!B247=""),"",AND(IF(ISERROR('Model inputs'!B19=1),'Model inputs'!B19=1,IF('Model inputs'!B19="","",'Model inputs'!B19=1)),'Model inputs'!B247))))="",FALSE,IF(IFERROR(IF(ISERROR('Model inputs'!B19=1),'Model inputs'!B19=1,IF('Model inputs'!B19="","",'Model inputs'!B19=1))=FALSE,FALSE),FALSE,IF(IFERROR('Model inputs'!B247=FALSE,FALSE),FALSE,IF(OR(IF(ISERROR('Model inputs'!B19=1),'Model inputs'!B19=1,IF('Model inputs'!B19="","",'Model inputs'!B19=1))="",'Model inputs'!B247=""),"",AND(IF(ISERROR('Model inputs'!B19=1),'Model inputs'!B19=1,IF('Model inputs'!B19="","",'Model inputs'!B19=1)),'Model inputs'!B247))))),IF('Model inputs'!B46="","",'Model inputs'!B46),IF('Model inputs'!B36="","",'Model inputs'!B36))</f>
        <v>0.24</v>
      </c>
      <c r="AE179" s="11">
        <f>IF(IF(IF(IFERROR(IF(ISERROR('Model inputs'!B19=1),'Model inputs'!B19=1,IF('Model inputs'!B19="","",'Model inputs'!B19=1))=FALSE,FALSE),FALSE,IF(IFERROR('Model inputs'!B248=FALSE,FALSE),FALSE,IF(OR(IF(ISERROR('Model inputs'!B19=1),'Model inputs'!B19=1,IF('Model inputs'!B19="","",'Model inputs'!B19=1))="",'Model inputs'!B248=""),"",AND(IF(ISERROR('Model inputs'!B19=1),'Model inputs'!B19=1,IF('Model inputs'!B19="","",'Model inputs'!B19=1)),'Model inputs'!B248))))="",FALSE,IF(IFERROR(IF(ISERROR('Model inputs'!B19=1),'Model inputs'!B19=1,IF('Model inputs'!B19="","",'Model inputs'!B19=1))=FALSE,FALSE),FALSE,IF(IFERROR('Model inputs'!B248=FALSE,FALSE),FALSE,IF(OR(IF(ISERROR('Model inputs'!B19=1),'Model inputs'!B19=1,IF('Model inputs'!B19="","",'Model inputs'!B19=1))="",'Model inputs'!B248=""),"",AND(IF(ISERROR('Model inputs'!B19=1),'Model inputs'!B19=1,IF('Model inputs'!B19="","",'Model inputs'!B19=1)),'Model inputs'!B248))))),IF('Model inputs'!B46="","",'Model inputs'!B46),IF('Model inputs'!B36="","",'Model inputs'!B36))</f>
        <v>0.24</v>
      </c>
      <c r="AF179" s="11">
        <f>IF(IF(IF(IFERROR(IF(ISERROR('Model inputs'!B19=1),'Model inputs'!B19=1,IF('Model inputs'!B19="","",'Model inputs'!B19=1))=FALSE,FALSE),FALSE,IF(IFERROR('Model inputs'!B249=FALSE,FALSE),FALSE,IF(OR(IF(ISERROR('Model inputs'!B19=1),'Model inputs'!B19=1,IF('Model inputs'!B19="","",'Model inputs'!B19=1))="",'Model inputs'!B249=""),"",AND(IF(ISERROR('Model inputs'!B19=1),'Model inputs'!B19=1,IF('Model inputs'!B19="","",'Model inputs'!B19=1)),'Model inputs'!B249))))="",FALSE,IF(IFERROR(IF(ISERROR('Model inputs'!B19=1),'Model inputs'!B19=1,IF('Model inputs'!B19="","",'Model inputs'!B19=1))=FALSE,FALSE),FALSE,IF(IFERROR('Model inputs'!B249=FALSE,FALSE),FALSE,IF(OR(IF(ISERROR('Model inputs'!B19=1),'Model inputs'!B19=1,IF('Model inputs'!B19="","",'Model inputs'!B19=1))="",'Model inputs'!B249=""),"",AND(IF(ISERROR('Model inputs'!B19=1),'Model inputs'!B19=1,IF('Model inputs'!B19="","",'Model inputs'!B19=1)),'Model inputs'!B249))))),IF('Model inputs'!B46="","",'Model inputs'!B46),IF('Model inputs'!B36="","",'Model inputs'!B36))</f>
        <v>0.24</v>
      </c>
      <c r="AG179" s="11">
        <f>IF(IF(IF(IFERROR(IF(ISERROR('Model inputs'!B19=1),'Model inputs'!B19=1,IF('Model inputs'!B19="","",'Model inputs'!B19=1))=FALSE,FALSE),FALSE,IF(IFERROR('Model inputs'!B250=FALSE,FALSE),FALSE,IF(OR(IF(ISERROR('Model inputs'!B19=1),'Model inputs'!B19=1,IF('Model inputs'!B19="","",'Model inputs'!B19=1))="",'Model inputs'!B250=""),"",AND(IF(ISERROR('Model inputs'!B19=1),'Model inputs'!B19=1,IF('Model inputs'!B19="","",'Model inputs'!B19=1)),'Model inputs'!B250))))="",FALSE,IF(IFERROR(IF(ISERROR('Model inputs'!B19=1),'Model inputs'!B19=1,IF('Model inputs'!B19="","",'Model inputs'!B19=1))=FALSE,FALSE),FALSE,IF(IFERROR('Model inputs'!B250=FALSE,FALSE),FALSE,IF(OR(IF(ISERROR('Model inputs'!B19=1),'Model inputs'!B19=1,IF('Model inputs'!B19="","",'Model inputs'!B19=1))="",'Model inputs'!B250=""),"",AND(IF(ISERROR('Model inputs'!B19=1),'Model inputs'!B19=1,IF('Model inputs'!B19="","",'Model inputs'!B19=1)),'Model inputs'!B250))))),IF('Model inputs'!B46="","",'Model inputs'!B46),IF('Model inputs'!B36="","",'Model inputs'!B36))</f>
        <v>0.24</v>
      </c>
    </row>
    <row r="180">
      <c r="A180" t="inlineStr" s="20">
        <is>
          <t xml:space="preserve">Kits generated</t>
        </is>
      </c>
      <c r="C180" s="23">
        <f>IF('Model inputs'!C20="","",'Model inputs'!C20)</f>
        <v>828</v>
      </c>
      <c r="D180" s="23">
        <f>IF('Model inputs'!D20="","",'Model inputs'!D20)</f>
        <v>1368.7916666666665</v>
      </c>
      <c r="E180" s="23">
        <f>IF('Model inputs'!E20="","",'Model inputs'!E20)</f>
        <v>1826.121059722222</v>
      </c>
      <c r="F180" s="23">
        <f>IF('Model inputs'!F20="","",'Model inputs'!F20)</f>
        <v>2307.5384331400464</v>
      </c>
      <c r="G180" s="23">
        <f>IF('Model inputs'!G20="","",'Model inputs'!G20)</f>
        <v>2815.60018657172</v>
      </c>
      <c r="H180" s="23">
        <f>IF('Model inputs'!H20="","",'Model inputs'!H20)</f>
        <v>3353.0799466515737</v>
      </c>
      <c r="I180" s="23">
        <f>IF('Model inputs'!I20="","",'Model inputs'!I20)</f>
        <v>3922.9894035737357</v>
      </c>
      <c r="J180" s="23">
        <f>IF('Model inputs'!J20="","",'Model inputs'!J20)</f>
        <v>4528.601033265272</v>
      </c>
      <c r="K180" s="23">
        <f>IF('Model inputs'!K20="","",'Model inputs'!K20)</f>
        <v>5173.472886027722</v>
      </c>
      <c r="L180" s="23">
        <f>IF('Model inputs'!L20="","",'Model inputs'!L20)</f>
        <v>5830.4219865033065</v>
      </c>
      <c r="M180" s="23">
        <f>IF('Model inputs'!M20="","",'Model inputs'!M20)</f>
        <v>6500.301380559953</v>
      </c>
      <c r="N180" s="23">
        <f>IF('Model inputs'!N20="","",'Model inputs'!N20)</f>
        <v>7183.982147804838</v>
      </c>
      <c r="O180" s="23">
        <f>IF('Model inputs'!O20="","",'Model inputs'!O20)</f>
        <v>7882.355052921401</v>
      </c>
      <c r="P180" s="23">
        <f>IF('Model inputs'!P20="","",'Model inputs'!P20)</f>
        <v>8596.332203674476</v>
      </c>
      <c r="Q180" s="23">
        <f>IF('Model inputs'!Q20="","",'Model inputs'!Q20)</f>
        <v>9326.848719753849</v>
      </c>
      <c r="R180" s="23">
        <f>IF('Model inputs'!R20="","",'Model inputs'!R20)</f>
        <v>10074.864416534487</v>
      </c>
      <c r="S180" s="23">
        <f>IF('Model inputs'!S20="","",'Model inputs'!S20)</f>
        <v>10841.365507753188</v>
      </c>
      <c r="T180" s="23">
        <f>IF('Model inputs'!T20="","",'Model inputs'!T20)</f>
        <v>11627.366331035839</v>
      </c>
      <c r="U180" s="23">
        <f>SUM('Model inputs'!U181,'Model inputs'!U182,'Model inputs'!U183)</f>
        <v>0</v>
      </c>
      <c r="V180" s="23">
        <f>SUM('Model inputs'!V181,'Model inputs'!V182,'Model inputs'!V183)</f>
        <v>0</v>
      </c>
      <c r="W180" s="23">
        <f>SUM('Model inputs'!W181,'Model inputs'!W182,'Model inputs'!W183)</f>
        <v>0</v>
      </c>
      <c r="X180" s="23">
        <f>SUM('Model inputs'!X181,'Model inputs'!X182,'Model inputs'!X183)</f>
        <v>0</v>
      </c>
      <c r="Y180" s="23">
        <f>SUM('Model inputs'!Y181,'Model inputs'!Y182,'Model inputs'!Y183)</f>
        <v>0</v>
      </c>
      <c r="Z180" s="23">
        <f>SUM('Model inputs'!Z181,'Model inputs'!Z182,'Model inputs'!Z183)</f>
        <v>0</v>
      </c>
      <c r="AA180" s="23">
        <f>SUM('Model inputs'!AA181,'Model inputs'!AA182,'Model inputs'!AA183)</f>
        <v>0</v>
      </c>
      <c r="AB180" s="23">
        <f>SUM('Model inputs'!AB181,'Model inputs'!AB182,'Model inputs'!AB183)</f>
        <v>0</v>
      </c>
      <c r="AC180" s="23">
        <f>SUM('Model inputs'!AC181,'Model inputs'!AC182,'Model inputs'!AC183)</f>
        <v>0</v>
      </c>
      <c r="AD180" s="23">
        <f>SUM('Model inputs'!AD181,'Model inputs'!AD182,'Model inputs'!AD183)</f>
        <v>0</v>
      </c>
      <c r="AE180" s="23">
        <f>SUM('Model inputs'!AE181,'Model inputs'!AE182,'Model inputs'!AE183)</f>
        <v>0</v>
      </c>
      <c r="AF180" s="23">
        <f>SUM('Model inputs'!AF181,'Model inputs'!AF182,'Model inputs'!AF183)</f>
        <v>0</v>
      </c>
      <c r="AG180" s="23">
        <f>SUM('Model inputs'!AG181,'Model inputs'!AG182,'Model inputs'!AG183)</f>
        <v>0</v>
      </c>
    </row>
    <row r="181" outlineLevel="1">
      <c r="A181" t="inlineStr" s="21">
        <is>
          <t xml:space="preserve">Kits generated &gt; Indie</t>
        </is>
      </c>
      <c r="C181" s="22">
        <f>IF('Model inputs'!C21="","",'Model inputs'!C21)</f>
        <v>340</v>
      </c>
      <c r="D181" s="22">
        <f>IF('Model inputs'!D21="","",'Model inputs'!D21)</f>
        <v>631.8333333333333</v>
      </c>
      <c r="E181" s="22">
        <f>IF('Model inputs'!E21="","",'Model inputs'!E21)</f>
        <v>819.2111111111111</v>
      </c>
      <c r="F181" s="22">
        <f>IF('Model inputs'!F21="","",'Model inputs'!F21)</f>
        <v>1012.4570370370371</v>
      </c>
      <c r="G181" s="22">
        <f>IF('Model inputs'!G21="","",'Model inputs'!G21)</f>
        <v>1212.648701234568</v>
      </c>
      <c r="H181" s="22">
        <f>IF('Model inputs'!H21="","",'Model inputs'!H21)</f>
        <v>1420.9093584855968</v>
      </c>
      <c r="I181" s="22">
        <f>IF('Model inputs'!I21="","",'Model inputs'!I21)</f>
        <v>1638.4142842398905</v>
      </c>
      <c r="J181" s="22">
        <f>IF('Model inputs'!J21="","",'Model inputs'!J21)</f>
        <v>1866.3974589161646</v>
      </c>
      <c r="K181" s="22">
        <f>IF('Model inputs'!K21="","",'Model inputs'!K21)</f>
        <v>2106.158618770735</v>
      </c>
      <c r="L181" s="22">
        <f>IF('Model inputs'!L21="","",'Model inputs'!L21)</f>
        <v>2344.5032075862937</v>
      </c>
      <c r="M181" s="22">
        <f>IF('Model inputs'!M21="","",'Model inputs'!M21)</f>
        <v>2582.108363683493</v>
      </c>
      <c r="N181" s="22">
        <f>IF('Model inputs'!N21="","",'Model inputs'!N21)</f>
        <v>2819.62939083833</v>
      </c>
      <c r="O181" s="22">
        <f>IF('Model inputs'!O21="","",'Model inputs'!O21)</f>
        <v>3057.7021462388607</v>
      </c>
      <c r="P181" s="22">
        <f>IF('Model inputs'!P21="","",'Model inputs'!P21)</f>
        <v>3296.945306537613</v>
      </c>
      <c r="Q181" s="22">
        <f>IF('Model inputs'!Q21="","",'Model inputs'!Q21)</f>
        <v>3537.9625216183686</v>
      </c>
      <c r="R181" s="22">
        <f>IF('Model inputs'!R21="","",'Model inputs'!R21)</f>
        <v>3781.3444651144046</v>
      </c>
      <c r="S181" s="22">
        <f>IF('Model inputs'!S21="","",'Model inputs'!S21)</f>
        <v>4027.6707901748623</v>
      </c>
      <c r="T181" s="22">
        <f>IF('Model inputs'!T21="","",'Model inputs'!T21)</f>
        <v>4277.511998474012</v>
      </c>
      <c r="U181" s="22">
        <f>'Model inputs'!U90*('Model inputs'!B100+'Model inputs'!B131)</f>
        <v>0</v>
      </c>
      <c r="V181" s="22">
        <f>'Model inputs'!V90*('Model inputs'!B100+'Model inputs'!B131)</f>
        <v>0</v>
      </c>
      <c r="W181" s="22">
        <f>'Model inputs'!W90*('Model inputs'!B100+'Model inputs'!B131)</f>
        <v>0</v>
      </c>
      <c r="X181" s="22">
        <f>'Model inputs'!X90*('Model inputs'!B100+'Model inputs'!B131)</f>
        <v>0</v>
      </c>
      <c r="Y181" s="22">
        <f>'Model inputs'!Y90*('Model inputs'!B100+'Model inputs'!B131)</f>
        <v>0</v>
      </c>
      <c r="Z181" s="22">
        <f>'Model inputs'!Z90*('Model inputs'!B100+'Model inputs'!B131)</f>
        <v>0</v>
      </c>
      <c r="AA181" s="22">
        <f>'Model inputs'!AA90*('Model inputs'!B100+'Model inputs'!B131)</f>
        <v>0</v>
      </c>
      <c r="AB181" s="22">
        <f>'Model inputs'!AB90*('Model inputs'!B100+'Model inputs'!B131)</f>
        <v>0</v>
      </c>
      <c r="AC181" s="22">
        <f>'Model inputs'!AC90*('Model inputs'!B100+'Model inputs'!B131)</f>
        <v>0</v>
      </c>
      <c r="AD181" s="22">
        <f>'Model inputs'!AD90*('Model inputs'!B100+'Model inputs'!B131)</f>
        <v>0</v>
      </c>
      <c r="AE181" s="22">
        <f>'Model inputs'!AE90*('Model inputs'!B100+'Model inputs'!B131)</f>
        <v>0</v>
      </c>
      <c r="AF181" s="22">
        <f>'Model inputs'!AF90*('Model inputs'!B100+'Model inputs'!B131)</f>
        <v>0</v>
      </c>
      <c r="AG181" s="22">
        <f>'Model inputs'!AG90*('Model inputs'!B100+'Model inputs'!B131)</f>
        <v>0</v>
      </c>
    </row>
    <row r="182" outlineLevel="1">
      <c r="A182" t="inlineStr" s="21">
        <is>
          <t xml:space="preserve">Kits generated &gt; Launch</t>
        </is>
      </c>
      <c r="C182" s="22">
        <f>IF('Model inputs'!C22="","",'Model inputs'!C22)</f>
        <v>206</v>
      </c>
      <c r="D182" s="22">
        <f>IF('Model inputs'!D22="","",'Model inputs'!D22)</f>
        <v>311.06</v>
      </c>
      <c r="E182" s="22">
        <f>IF('Model inputs'!E22="","",'Model inputs'!E22)</f>
        <v>417.17203055555547</v>
      </c>
      <c r="F182" s="22">
        <f>IF('Model inputs'!F22="","",'Model inputs'!F22)</f>
        <v>524.6844865439813</v>
      </c>
      <c r="G182" s="22">
        <f>IF('Model inputs'!G22="","",'Model inputs'!G22)</f>
        <v>633.883524509045</v>
      </c>
      <c r="H182" s="22">
        <f>IF('Model inputs'!H22="","",'Model inputs'!H22)</f>
        <v>745.0727893657524</v>
      </c>
      <c r="I182" s="22">
        <f>IF('Model inputs'!I22="","",'Model inputs'!I22)</f>
        <v>858.5759658366885</v>
      </c>
      <c r="J182" s="22">
        <f>IF('Model inputs'!J22="","",'Model inputs'!J22)</f>
        <v>974.7395094715155</v>
      </c>
      <c r="K182" s="22">
        <f>IF('Model inputs'!K22="","",'Model inputs'!K22)</f>
        <v>1093.9355797163917</v>
      </c>
      <c r="L182" s="22">
        <f>IF('Model inputs'!L22="","",'Model inputs'!L22)</f>
        <v>1216.5651993569368</v>
      </c>
      <c r="M182" s="22">
        <f>IF('Model inputs'!M22="","",'Model inputs'!M22)</f>
        <v>1342.7605899294706</v>
      </c>
      <c r="N182" s="22">
        <f>IF('Model inputs'!N22="","",'Model inputs'!N22)</f>
        <v>1472.6527874591704</v>
      </c>
      <c r="O182" s="22">
        <f>IF('Model inputs'!O22="","",'Model inputs'!O22)</f>
        <v>1606.3724099840306</v>
      </c>
      <c r="P182" s="22">
        <f>IF('Model inputs'!P22="","",'Model inputs'!P22)</f>
        <v>1744.050386096672</v>
      </c>
      <c r="Q182" s="22">
        <f>IF('Model inputs'!Q22="","",'Model inputs'!Q22)</f>
        <v>1885.8186481486862</v>
      </c>
      <c r="R182" s="22">
        <f>IF('Model inputs'!R22="","",'Model inputs'!R22)</f>
        <v>2031.810793541463</v>
      </c>
      <c r="S182" s="22">
        <f>IF('Model inputs'!S22="","",'Model inputs'!S22)</f>
        <v>2182.1627173230036</v>
      </c>
      <c r="T182" s="22">
        <f>IF('Model inputs'!T22="","",'Model inputs'!T22)</f>
        <v>2337.013219121013</v>
      </c>
      <c r="U182" s="22">
        <f>'Model inputs'!U91*('Model inputs'!B101+'Model inputs'!B132)</f>
        <v>0</v>
      </c>
      <c r="V182" s="22">
        <f>'Model inputs'!V91*('Model inputs'!B101+'Model inputs'!B132)</f>
        <v>0</v>
      </c>
      <c r="W182" s="22">
        <f>'Model inputs'!W91*('Model inputs'!B101+'Model inputs'!B132)</f>
        <v>0</v>
      </c>
      <c r="X182" s="22">
        <f>'Model inputs'!X91*('Model inputs'!B101+'Model inputs'!B132)</f>
        <v>0</v>
      </c>
      <c r="Y182" s="22">
        <f>'Model inputs'!Y91*('Model inputs'!B101+'Model inputs'!B132)</f>
        <v>0</v>
      </c>
      <c r="Z182" s="22">
        <f>'Model inputs'!Z91*('Model inputs'!B101+'Model inputs'!B132)</f>
        <v>0</v>
      </c>
      <c r="AA182" s="22">
        <f>'Model inputs'!AA91*('Model inputs'!B101+'Model inputs'!B132)</f>
        <v>0</v>
      </c>
      <c r="AB182" s="22">
        <f>'Model inputs'!AB91*('Model inputs'!B101+'Model inputs'!B132)</f>
        <v>0</v>
      </c>
      <c r="AC182" s="22">
        <f>'Model inputs'!AC91*('Model inputs'!B101+'Model inputs'!B132)</f>
        <v>0</v>
      </c>
      <c r="AD182" s="22">
        <f>'Model inputs'!AD91*('Model inputs'!B101+'Model inputs'!B132)</f>
        <v>0</v>
      </c>
      <c r="AE182" s="22">
        <f>'Model inputs'!AE91*('Model inputs'!B101+'Model inputs'!B132)</f>
        <v>0</v>
      </c>
      <c r="AF182" s="22">
        <f>'Model inputs'!AF91*('Model inputs'!B101+'Model inputs'!B132)</f>
        <v>0</v>
      </c>
      <c r="AG182" s="22">
        <f>'Model inputs'!AG91*('Model inputs'!B101+'Model inputs'!B132)</f>
        <v>0</v>
      </c>
    </row>
    <row r="183" outlineLevel="1">
      <c r="A183" t="inlineStr" s="21">
        <is>
          <t xml:space="preserve">Kits generated &gt; Team</t>
        </is>
      </c>
      <c r="C183" s="22">
        <f>IF('Model inputs'!C23="","",'Model inputs'!C23)</f>
        <v>282</v>
      </c>
      <c r="D183" s="22">
        <f>IF('Model inputs'!D23="","",'Model inputs'!D23)</f>
        <v>425.89833333333337</v>
      </c>
      <c r="E183" s="22">
        <f>IF('Model inputs'!E23="","",'Model inputs'!E23)</f>
        <v>589.7379180555556</v>
      </c>
      <c r="F183" s="22">
        <f>IF('Model inputs'!F23="","",'Model inputs'!F23)</f>
        <v>770.3969095590278</v>
      </c>
      <c r="G183" s="22">
        <f>IF('Model inputs'!G23="","",'Model inputs'!G23)</f>
        <v>969.0679608281067</v>
      </c>
      <c r="H183" s="22">
        <f>IF('Model inputs'!H23="","",'Model inputs'!H23)</f>
        <v>1187.0977988002246</v>
      </c>
      <c r="I183" s="22">
        <f>IF('Model inputs'!I23="","",'Model inputs'!I23)</f>
        <v>1425.9991534971566</v>
      </c>
      <c r="J183" s="22">
        <f>IF('Model inputs'!J23="","",'Model inputs'!J23)</f>
        <v>1687.464064877592</v>
      </c>
      <c r="K183" s="22">
        <f>IF('Model inputs'!K23="","",'Model inputs'!K23)</f>
        <v>1973.3786875405954</v>
      </c>
      <c r="L183" s="22">
        <f>IF('Model inputs'!L23="","",'Model inputs'!L23)</f>
        <v>2269.3535795600765</v>
      </c>
      <c r="M183" s="22">
        <f>IF('Model inputs'!M23="","",'Model inputs'!M23)</f>
        <v>2575.4324269469894</v>
      </c>
      <c r="N183" s="22">
        <f>IF('Model inputs'!N23="","",'Model inputs'!N23)</f>
        <v>2891.6999695073378</v>
      </c>
      <c r="O183" s="22">
        <f>IF('Model inputs'!O23="","",'Model inputs'!O23)</f>
        <v>3218.28049669851</v>
      </c>
      <c r="P183" s="22">
        <f>IF('Model inputs'!P23="","",'Model inputs'!P23)</f>
        <v>3555.336511040191</v>
      </c>
      <c r="Q183" s="22">
        <f>IF('Model inputs'!Q23="","",'Model inputs'!Q23)</f>
        <v>3903.0675499867943</v>
      </c>
      <c r="R183" s="22">
        <f>IF('Model inputs'!R23="","",'Model inputs'!R23)</f>
        <v>4261.709157878619</v>
      </c>
      <c r="S183" s="22">
        <f>IF('Model inputs'!S23="","",'Model inputs'!S23)</f>
        <v>4631.532000255323</v>
      </c>
      <c r="T183" s="22">
        <f>IF('Model inputs'!T23="","",'Model inputs'!T23)</f>
        <v>5012.841113440814</v>
      </c>
      <c r="U183" s="22">
        <f>'Model inputs'!U92*('Model inputs'!B102+'Model inputs'!B133)</f>
        <v>0</v>
      </c>
      <c r="V183" s="22">
        <f>'Model inputs'!V92*('Model inputs'!B102+'Model inputs'!B133)</f>
        <v>0</v>
      </c>
      <c r="W183" s="22">
        <f>'Model inputs'!W92*('Model inputs'!B102+'Model inputs'!B133)</f>
        <v>0</v>
      </c>
      <c r="X183" s="22">
        <f>'Model inputs'!X92*('Model inputs'!B102+'Model inputs'!B133)</f>
        <v>0</v>
      </c>
      <c r="Y183" s="22">
        <f>'Model inputs'!Y92*('Model inputs'!B102+'Model inputs'!B133)</f>
        <v>0</v>
      </c>
      <c r="Z183" s="22">
        <f>'Model inputs'!Z92*('Model inputs'!B102+'Model inputs'!B133)</f>
        <v>0</v>
      </c>
      <c r="AA183" s="22">
        <f>'Model inputs'!AA92*('Model inputs'!B102+'Model inputs'!B133)</f>
        <v>0</v>
      </c>
      <c r="AB183" s="22">
        <f>'Model inputs'!AB92*('Model inputs'!B102+'Model inputs'!B133)</f>
        <v>0</v>
      </c>
      <c r="AC183" s="22">
        <f>'Model inputs'!AC92*('Model inputs'!B102+'Model inputs'!B133)</f>
        <v>0</v>
      </c>
      <c r="AD183" s="22">
        <f>'Model inputs'!AD92*('Model inputs'!B102+'Model inputs'!B133)</f>
        <v>0</v>
      </c>
      <c r="AE183" s="22">
        <f>'Model inputs'!AE92*('Model inputs'!B102+'Model inputs'!B133)</f>
        <v>0</v>
      </c>
      <c r="AF183" s="22">
        <f>'Model inputs'!AF92*('Model inputs'!B102+'Model inputs'!B133)</f>
        <v>0</v>
      </c>
      <c r="AG183" s="22">
        <f>'Model inputs'!AG92*('Model inputs'!B102+'Model inputs'!B133)</f>
        <v>0</v>
      </c>
    </row>
    <row r="184">
      <c r="A184" t="inlineStr" s="20">
        <is>
          <t xml:space="preserve">Long-trailer add-on price · Long-trailer revenue</t>
        </is>
      </c>
      <c r="B184" s="11">
        <f>0.4</f>
        <v>0.4</v>
      </c>
    </row>
    <row r="185">
      <c r="A185" t="inlineStr" s="20">
        <is>
          <t xml:space="preserve">Long-trailer share of kits · Long-trailer revenue</t>
        </is>
      </c>
      <c r="B185" s="25">
        <f>0.15</f>
        <v>0.15</v>
      </c>
    </row>
    <row r="186">
      <c r="A186" t="inlineStr" s="20">
        <is>
          <t xml:space="preserve">Monthly payers</t>
        </is>
      </c>
      <c r="C186" s="7">
        <f>SUM('Model inputs'!C187,'Model inputs'!C188,'Model inputs'!C189)</f>
        <v>47</v>
      </c>
      <c r="D186" s="7">
        <f>SUM('Model inputs'!D187,'Model inputs'!D188,'Model inputs'!D189)</f>
        <v>84.28831944444444</v>
      </c>
      <c r="E186" s="7">
        <f>SUM('Model inputs'!E187,'Model inputs'!E188,'Model inputs'!E189)</f>
        <v>109.25034907407408</v>
      </c>
      <c r="F186" s="7">
        <f>SUM('Model inputs'!F187,'Model inputs'!F188,'Model inputs'!F189)</f>
        <v>134.7368020271412</v>
      </c>
      <c r="G186" s="7">
        <f>SUM('Model inputs'!G187,'Model inputs'!G188,'Model inputs'!G189)</f>
        <v>160.83115808675663</v>
      </c>
      <c r="H186" s="7">
        <f>SUM('Model inputs'!H187,'Model inputs'!H188,'Model inputs'!H189)</f>
        <v>187.61840642148002</v>
      </c>
      <c r="I186" s="7">
        <f>SUM('Model inputs'!I187,'Model inputs'!I188,'Model inputs'!I189)</f>
        <v>215.18498548540106</v>
      </c>
      <c r="J186" s="7">
        <f>SUM('Model inputs'!J187,'Model inputs'!J188,'Model inputs'!J189)</f>
        <v>245.98907499409157</v>
      </c>
      <c r="K186" s="7">
        <f>SUM('Model inputs'!K187,'Model inputs'!K188,'Model inputs'!K189)</f>
        <v>278.52651277477236</v>
      </c>
      <c r="L186" s="7">
        <f>SUM('Model inputs'!L187,'Model inputs'!L188,'Model inputs'!L189)</f>
        <v>311.0472605388994</v>
      </c>
      <c r="M186" s="7">
        <f>SUM('Model inputs'!M187,'Model inputs'!M188,'Model inputs'!M189)</f>
        <v>343.6320029904277</v>
      </c>
      <c r="N186" s="7">
        <f>SUM('Model inputs'!N187,'Model inputs'!N188,'Model inputs'!N189)</f>
        <v>376.35942008791267</v>
      </c>
      <c r="O186" s="7">
        <f>SUM('Model inputs'!O187,'Model inputs'!O188,'Model inputs'!O189)</f>
        <v>409.3064496004066</v>
      </c>
      <c r="P186" s="7">
        <f>SUM('Model inputs'!P187,'Model inputs'!P188,'Model inputs'!P189)</f>
        <v>442.54853751591446</v>
      </c>
      <c r="Q186" s="7">
        <f>SUM('Model inputs'!Q187,'Model inputs'!Q188,'Model inputs'!Q189)</f>
        <v>476.15987731976287</v>
      </c>
      <c r="R186" s="7">
        <f>SUM('Model inputs'!R187,'Model inputs'!R188,'Model inputs'!R189)</f>
        <v>510.21363910094044</v>
      </c>
      <c r="S186" s="7">
        <f>SUM('Model inputs'!S187,'Model inputs'!S188,'Model inputs'!S189)</f>
        <v>544.7821893894609</v>
      </c>
      <c r="T186" s="7">
        <f>SUM('Model inputs'!T187,'Model inputs'!T188,'Model inputs'!T189)</f>
        <v>579.9373025768048</v>
      </c>
      <c r="U186" s="7">
        <f>SUM('Model inputs'!U187,'Model inputs'!U188,'Model inputs'!U189)</f>
        <v>0</v>
      </c>
      <c r="V186" s="7">
        <f>SUM('Model inputs'!V187,'Model inputs'!V188,'Model inputs'!V189)</f>
        <v>0</v>
      </c>
      <c r="W186" s="7">
        <f>SUM('Model inputs'!W187,'Model inputs'!W188,'Model inputs'!W189)</f>
        <v>0</v>
      </c>
      <c r="X186" s="7">
        <f>SUM('Model inputs'!X187,'Model inputs'!X188,'Model inputs'!X189)</f>
        <v>0</v>
      </c>
      <c r="Y186" s="7">
        <f>SUM('Model inputs'!Y187,'Model inputs'!Y188,'Model inputs'!Y189)</f>
        <v>0</v>
      </c>
      <c r="Z186" s="7">
        <f>SUM('Model inputs'!Z187,'Model inputs'!Z188,'Model inputs'!Z189)</f>
        <v>0</v>
      </c>
      <c r="AA186" s="7">
        <f>SUM('Model inputs'!AA187,'Model inputs'!AA188,'Model inputs'!AA189)</f>
        <v>0</v>
      </c>
      <c r="AB186" s="7">
        <f>SUM('Model inputs'!AB187,'Model inputs'!AB188,'Model inputs'!AB189)</f>
        <v>0</v>
      </c>
      <c r="AC186" s="7">
        <f>SUM('Model inputs'!AC187,'Model inputs'!AC188,'Model inputs'!AC189)</f>
        <v>0</v>
      </c>
      <c r="AD186" s="7">
        <f>SUM('Model inputs'!AD187,'Model inputs'!AD188,'Model inputs'!AD189)</f>
        <v>0</v>
      </c>
      <c r="AE186" s="7">
        <f>SUM('Model inputs'!AE187,'Model inputs'!AE188,'Model inputs'!AE189)</f>
        <v>0</v>
      </c>
      <c r="AF186" s="7">
        <f>SUM('Model inputs'!AF187,'Model inputs'!AF188,'Model inputs'!AF189)</f>
        <v>0</v>
      </c>
      <c r="AG186" s="7">
        <f>SUM('Model inputs'!AG187,'Model inputs'!AG188,'Model inputs'!AG189)</f>
        <v>0</v>
      </c>
    </row>
    <row r="187" outlineLevel="1">
      <c r="A187" t="inlineStr" s="21">
        <is>
          <t xml:space="preserve">Monthly payers &gt; Indie</t>
        </is>
      </c>
      <c r="C187" s="9">
        <f>'Model inputs'!C72-'Model inputs'!C164</f>
        <v>40</v>
      </c>
      <c r="D187" s="9">
        <f>'Model inputs'!D72-'Model inputs'!D164</f>
        <v>74.33333333333333</v>
      </c>
      <c r="E187" s="9">
        <f>'Model inputs'!E72-'Model inputs'!E164</f>
        <v>96.37777777777778</v>
      </c>
      <c r="F187" s="9">
        <f>'Model inputs'!F72-'Model inputs'!F164</f>
        <v>119.1125925925926</v>
      </c>
      <c r="G187" s="9">
        <f>'Model inputs'!G72-'Model inputs'!G164</f>
        <v>142.66455308641977</v>
      </c>
      <c r="H187" s="9">
        <f>'Model inputs'!H72-'Model inputs'!H164</f>
        <v>167.16580688065847</v>
      </c>
      <c r="I187" s="9">
        <f>'Model inputs'!I72-'Model inputs'!I164</f>
        <v>192.75462167528124</v>
      </c>
      <c r="J187" s="9">
        <f>'Model inputs'!J72-'Model inputs'!J164</f>
        <v>219.57617163719584</v>
      </c>
      <c r="K187" s="9">
        <f>'Model inputs'!K72-'Model inputs'!K164</f>
        <v>247.78336691420412</v>
      </c>
      <c r="L187" s="9">
        <f>'Model inputs'!L72-'Model inputs'!L164</f>
        <v>275.8239067748581</v>
      </c>
      <c r="M187" s="9">
        <f>'Model inputs'!M72-'Model inputs'!M164</f>
        <v>303.77745455099915</v>
      </c>
      <c r="N187" s="9">
        <f>'Model inputs'!N72-'Model inputs'!N164</f>
        <v>331.7211048045094</v>
      </c>
      <c r="O187" s="9">
        <f>'Model inputs'!O72-'Model inputs'!O164</f>
        <v>359.72966426339536</v>
      </c>
      <c r="P187" s="9">
        <f>'Model inputs'!P72-'Model inputs'!P164</f>
        <v>387.87591841618973</v>
      </c>
      <c r="Q187" s="9">
        <f>'Model inputs'!Q72-'Model inputs'!Q164</f>
        <v>416.23088489627867</v>
      </c>
      <c r="R187" s="9">
        <f>'Model inputs'!R72-'Model inputs'!R164</f>
        <v>444.8640547193417</v>
      </c>
      <c r="S187" s="9">
        <f>'Model inputs'!S72-'Model inputs'!S164</f>
        <v>473.8436223735132</v>
      </c>
      <c r="T187" s="9">
        <f>'Model inputs'!T72-'Model inputs'!T164</f>
        <v>503.23670570282496</v>
      </c>
      <c r="U187" s="9">
        <f>'Model inputs'!U90-'Model inputs'!U164</f>
        <v>0</v>
      </c>
      <c r="V187" s="9">
        <f>'Model inputs'!V90-'Model inputs'!V164</f>
        <v>0</v>
      </c>
      <c r="W187" s="9">
        <f>'Model inputs'!W90-'Model inputs'!W164</f>
        <v>0</v>
      </c>
      <c r="X187" s="9">
        <f>'Model inputs'!X90-'Model inputs'!X164</f>
        <v>0</v>
      </c>
      <c r="Y187" s="9">
        <f>'Model inputs'!Y90-'Model inputs'!Y164</f>
        <v>0</v>
      </c>
      <c r="Z187" s="9">
        <f>'Model inputs'!Z90-'Model inputs'!Z164</f>
        <v>0</v>
      </c>
      <c r="AA187" s="9">
        <f>'Model inputs'!AA90-'Model inputs'!AA164</f>
        <v>0</v>
      </c>
      <c r="AB187" s="9">
        <f>'Model inputs'!AB90-'Model inputs'!AB164</f>
        <v>0</v>
      </c>
      <c r="AC187" s="9">
        <f>'Model inputs'!AC90-'Model inputs'!AC164</f>
        <v>0</v>
      </c>
      <c r="AD187" s="9">
        <f>'Model inputs'!AD90-'Model inputs'!AD164</f>
        <v>0</v>
      </c>
      <c r="AE187" s="9">
        <f>'Model inputs'!AE90-'Model inputs'!AE164</f>
        <v>0</v>
      </c>
      <c r="AF187" s="9">
        <f>'Model inputs'!AF90-'Model inputs'!AF164</f>
        <v>0</v>
      </c>
      <c r="AG187" s="9">
        <f>'Model inputs'!AG90-'Model inputs'!AG164</f>
        <v>0</v>
      </c>
    </row>
    <row r="188" outlineLevel="1">
      <c r="A188" t="inlineStr" s="21">
        <is>
          <t xml:space="preserve">Monthly payers &gt; Launch</t>
        </is>
      </c>
      <c r="C188" s="9">
        <f>'Model inputs'!C73-'Model inputs'!C165</f>
        <v>1</v>
      </c>
      <c r="D188" s="9">
        <f>'Model inputs'!D73-'Model inputs'!D165</f>
        <v>1.4219166666666667</v>
      </c>
      <c r="E188" s="9">
        <f>'Model inputs'!E73-'Model inputs'!E165</f>
        <v>1.7888444675925923</v>
      </c>
      <c r="F188" s="9">
        <f>'Model inputs'!F73-'Model inputs'!F165</f>
        <v>2.101284958246527</v>
      </c>
      <c r="G188" s="9">
        <f>'Model inputs'!G73-'Model inputs'!G165</f>
        <v>2.3591134407294554</v>
      </c>
      <c r="H188" s="9">
        <f>'Model inputs'!H73-'Model inputs'!H165</f>
        <v>2.5619412255699414</v>
      </c>
      <c r="I188" s="9">
        <f>'Model inputs'!I73-'Model inputs'!I165</f>
        <v>2.709098921329357</v>
      </c>
      <c r="J188" s="9">
        <f>'Model inputs'!J73-'Model inputs'!J165</f>
        <v>3.075634374546044</v>
      </c>
      <c r="K188" s="9">
        <f>'Model inputs'!K73-'Model inputs'!K165</f>
        <v>3.4517384796876436</v>
      </c>
      <c r="L188" s="9">
        <f>'Model inputs'!L73-'Model inputs'!L165</f>
        <v>3.838676599912665</v>
      </c>
      <c r="M188" s="9">
        <f>'Model inputs'!M73-'Model inputs'!M165</f>
        <v>4.236865939097845</v>
      </c>
      <c r="N188" s="9">
        <f>'Model inputs'!N73-'Model inputs'!N165</f>
        <v>4.646719960429421</v>
      </c>
      <c r="O188" s="9">
        <f>'Model inputs'!O73-'Model inputs'!O165</f>
        <v>5.0686508082020385</v>
      </c>
      <c r="P188" s="9">
        <f>'Model inputs'!P73-'Model inputs'!P165</f>
        <v>5.503071606615713</v>
      </c>
      <c r="Q188" s="9">
        <f>'Model inputs'!Q73-'Model inputs'!Q165</f>
        <v>5.950398647071097</v>
      </c>
      <c r="R188" s="9">
        <f>'Model inputs'!R73-'Model inputs'!R165</f>
        <v>6.411053474766752</v>
      </c>
      <c r="S188" s="9">
        <f>'Model inputs'!S73-'Model inputs'!S165</f>
        <v>6.8854648847570505</v>
      </c>
      <c r="T188" s="9">
        <f>'Model inputs'!T73-'Model inputs'!T165</f>
        <v>7.374070837032322</v>
      </c>
      <c r="U188" s="9">
        <f>'Model inputs'!U91-'Model inputs'!U165</f>
        <v>0</v>
      </c>
      <c r="V188" s="9">
        <f>'Model inputs'!V91-'Model inputs'!V165</f>
        <v>0</v>
      </c>
      <c r="W188" s="9">
        <f>'Model inputs'!W91-'Model inputs'!W165</f>
        <v>0</v>
      </c>
      <c r="X188" s="9">
        <f>'Model inputs'!X91-'Model inputs'!X165</f>
        <v>0</v>
      </c>
      <c r="Y188" s="9">
        <f>'Model inputs'!Y91-'Model inputs'!Y165</f>
        <v>0</v>
      </c>
      <c r="Z188" s="9">
        <f>'Model inputs'!Z91-'Model inputs'!Z165</f>
        <v>0</v>
      </c>
      <c r="AA188" s="9">
        <f>'Model inputs'!AA91-'Model inputs'!AA165</f>
        <v>0</v>
      </c>
      <c r="AB188" s="9">
        <f>'Model inputs'!AB91-'Model inputs'!AB165</f>
        <v>0</v>
      </c>
      <c r="AC188" s="9">
        <f>'Model inputs'!AC91-'Model inputs'!AC165</f>
        <v>0</v>
      </c>
      <c r="AD188" s="9">
        <f>'Model inputs'!AD91-'Model inputs'!AD165</f>
        <v>0</v>
      </c>
      <c r="AE188" s="9">
        <f>'Model inputs'!AE91-'Model inputs'!AE165</f>
        <v>0</v>
      </c>
      <c r="AF188" s="9">
        <f>'Model inputs'!AF91-'Model inputs'!AF165</f>
        <v>0</v>
      </c>
      <c r="AG188" s="9">
        <f>'Model inputs'!AG91-'Model inputs'!AG165</f>
        <v>0</v>
      </c>
    </row>
    <row r="189" outlineLevel="1">
      <c r="A189" t="inlineStr" s="21">
        <is>
          <t xml:space="preserve">Monthly payers &gt; Team</t>
        </is>
      </c>
      <c r="C189" s="9">
        <f>'Model inputs'!C74-'Model inputs'!C166</f>
        <v>6</v>
      </c>
      <c r="D189" s="9">
        <f>'Model inputs'!D74-'Model inputs'!D166</f>
        <v>8.533069444444445</v>
      </c>
      <c r="E189" s="9">
        <f>'Model inputs'!E74-'Model inputs'!E166</f>
        <v>11.083726828703703</v>
      </c>
      <c r="F189" s="9">
        <f>'Model inputs'!F74-'Model inputs'!F166</f>
        <v>13.522924476302084</v>
      </c>
      <c r="G189" s="9">
        <f>'Model inputs'!G74-'Model inputs'!G166</f>
        <v>15.807491559607413</v>
      </c>
      <c r="H189" s="9">
        <f>'Model inputs'!H74-'Model inputs'!H166</f>
        <v>17.890658315251613</v>
      </c>
      <c r="I189" s="9">
        <f>'Model inputs'!I74-'Model inputs'!I166</f>
        <v>19.721264888790465</v>
      </c>
      <c r="J189" s="9">
        <f>'Model inputs'!J74-'Model inputs'!J166</f>
        <v>23.337268982349677</v>
      </c>
      <c r="K189" s="9">
        <f>'Model inputs'!K74-'Model inputs'!K166</f>
        <v>27.291407380880578</v>
      </c>
      <c r="L189" s="9">
        <f>'Model inputs'!L74-'Model inputs'!L166</f>
        <v>31.384677164128714</v>
      </c>
      <c r="M189" s="9">
        <f>'Model inputs'!M74-'Model inputs'!M166</f>
        <v>35.6176825003307</v>
      </c>
      <c r="N189" s="9">
        <f>'Model inputs'!N74-'Model inputs'!N166</f>
        <v>39.99159532297382</v>
      </c>
      <c r="O189" s="9">
        <f>'Model inputs'!O74-'Model inputs'!O166</f>
        <v>44.50813452880918</v>
      </c>
      <c r="P189" s="9">
        <f>'Model inputs'!P74-'Model inputs'!P166</f>
        <v>49.16954749310902</v>
      </c>
      <c r="Q189" s="9">
        <f>'Model inputs'!Q74-'Model inputs'!Q166</f>
        <v>53.97859377641311</v>
      </c>
      <c r="R189" s="9">
        <f>'Model inputs'!R74-'Model inputs'!R166</f>
        <v>58.93853090683197</v>
      </c>
      <c r="S189" s="9">
        <f>'Model inputs'!S74-'Model inputs'!S166</f>
        <v>64.05310213119063</v>
      </c>
      <c r="T189" s="9">
        <f>'Model inputs'!T74-'Model inputs'!T166</f>
        <v>69.32652603694743</v>
      </c>
      <c r="U189" s="9">
        <f>'Model inputs'!U92-'Model inputs'!U166</f>
        <v>0</v>
      </c>
      <c r="V189" s="9">
        <f>'Model inputs'!V92-'Model inputs'!V166</f>
        <v>0</v>
      </c>
      <c r="W189" s="9">
        <f>'Model inputs'!W92-'Model inputs'!W166</f>
        <v>0</v>
      </c>
      <c r="X189" s="9">
        <f>'Model inputs'!X92-'Model inputs'!X166</f>
        <v>0</v>
      </c>
      <c r="Y189" s="9">
        <f>'Model inputs'!Y92-'Model inputs'!Y166</f>
        <v>0</v>
      </c>
      <c r="Z189" s="9">
        <f>'Model inputs'!Z92-'Model inputs'!Z166</f>
        <v>0</v>
      </c>
      <c r="AA189" s="9">
        <f>'Model inputs'!AA92-'Model inputs'!AA166</f>
        <v>0</v>
      </c>
      <c r="AB189" s="9">
        <f>'Model inputs'!AB92-'Model inputs'!AB166</f>
        <v>0</v>
      </c>
      <c r="AC189" s="9">
        <f>'Model inputs'!AC92-'Model inputs'!AC166</f>
        <v>0</v>
      </c>
      <c r="AD189" s="9">
        <f>'Model inputs'!AD92-'Model inputs'!AD166</f>
        <v>0</v>
      </c>
      <c r="AE189" s="9">
        <f>'Model inputs'!AE92-'Model inputs'!AE166</f>
        <v>0</v>
      </c>
      <c r="AF189" s="9">
        <f>'Model inputs'!AF92-'Model inputs'!AF166</f>
        <v>0</v>
      </c>
      <c r="AG189" s="9">
        <f>'Model inputs'!AG92-'Model inputs'!AG166</f>
        <v>0</v>
      </c>
    </row>
    <row r="190">
      <c r="A190" t="inlineStr" s="20">
        <is>
          <t xml:space="preserve">Monthly price</t>
        </is>
      </c>
      <c r="B190" s="15">
        <v>0</v>
      </c>
    </row>
    <row r="191" outlineLevel="1">
      <c r="A191" t="inlineStr" s="21">
        <is>
          <t xml:space="preserve">Monthly price &gt; Indie</t>
        </is>
      </c>
      <c r="B191" s="16">
        <f>29</f>
        <v>29</v>
      </c>
    </row>
    <row r="192" outlineLevel="1">
      <c r="A192" t="inlineStr" s="21">
        <is>
          <t xml:space="preserve">Monthly price &gt; Launch</t>
        </is>
      </c>
      <c r="B192" s="16">
        <f>499</f>
        <v>499</v>
      </c>
    </row>
    <row r="193" outlineLevel="1">
      <c r="A193" t="inlineStr" s="21">
        <is>
          <t xml:space="preserve">Monthly price &gt; Team</t>
        </is>
      </c>
      <c r="B193" s="16">
        <f>149</f>
        <v>149</v>
      </c>
    </row>
    <row r="194">
      <c r="A194" t="inlineStr" s="20">
        <is>
          <t xml:space="preserve">New annual prepayments</t>
        </is>
      </c>
      <c r="C194" s="7">
        <f>SUM('Model inputs'!C195,'Model inputs'!C196,'Model inputs'!C197)</f>
        <v>0</v>
      </c>
      <c r="D194" s="7">
        <f>SUM('Model inputs'!D195,'Model inputs'!D196,'Model inputs'!D197)</f>
        <v>0.6166805555555555</v>
      </c>
      <c r="E194" s="7">
        <f>SUM('Model inputs'!E195,'Model inputs'!E196,'Model inputs'!E197)</f>
        <v>1.100649537037037</v>
      </c>
      <c r="F194" s="7">
        <f>SUM('Model inputs'!F195,'Model inputs'!F196,'Model inputs'!F197)</f>
        <v>1.6615359083912034</v>
      </c>
      <c r="G194" s="7">
        <f>SUM('Model inputs'!G195,'Model inputs'!G196,'Model inputs'!G197)</f>
        <v>2.3074813761662645</v>
      </c>
      <c r="H194" s="7">
        <f>SUM('Model inputs'!H195,'Model inputs'!H196,'Model inputs'!H197)</f>
        <v>3.0477910316922854</v>
      </c>
      <c r="I194" s="7">
        <f>SUM('Model inputs'!I195,'Model inputs'!I196,'Model inputs'!I197)</f>
        <v>3.893055575398357</v>
      </c>
      <c r="J194" s="7">
        <f>SUM('Model inputs'!J195,'Model inputs'!J196,'Model inputs'!J197)</f>
        <v>2.4848998339089894</v>
      </c>
      <c r="K194" s="7">
        <f>SUM('Model inputs'!K195,'Model inputs'!K196,'Model inputs'!K197)</f>
        <v>2.733497355486792</v>
      </c>
      <c r="L194" s="7">
        <f>SUM('Model inputs'!L195,'Model inputs'!L196,'Model inputs'!L197)</f>
        <v>2.881160262666482</v>
      </c>
      <c r="M194" s="7">
        <f>SUM('Model inputs'!M195,'Model inputs'!M196,'Model inputs'!M197)</f>
        <v>3.0317081519360025</v>
      </c>
      <c r="N194" s="7">
        <f>SUM('Model inputs'!N195,'Model inputs'!N196,'Model inputs'!N197)</f>
        <v>3.1854578581921253</v>
      </c>
      <c r="O194" s="7">
        <f>SUM('Model inputs'!O195,'Model inputs'!O196,'Model inputs'!O197)</f>
        <v>3.3427254606865704</v>
      </c>
      <c r="P194" s="7">
        <f>SUM('Model inputs'!P195,'Model inputs'!P196,'Model inputs'!P197)</f>
        <v>3.503827148069677</v>
      </c>
      <c r="Q194" s="7">
        <f>SUM('Model inputs'!Q195,'Model inputs'!Q196,'Model inputs'!Q197)</f>
        <v>3.6690800583510628</v>
      </c>
      <c r="R194" s="7">
        <f>SUM('Model inputs'!R195,'Model inputs'!R196,'Model inputs'!R197)</f>
        <v>3.838803096753139</v>
      </c>
      <c r="S194" s="7">
        <f>SUM('Model inputs'!S195,'Model inputs'!S196,'Model inputs'!S197)</f>
        <v>4.013317734286764</v>
      </c>
      <c r="T194" s="7">
        <f>SUM('Model inputs'!T195,'Model inputs'!T196,'Model inputs'!T197)</f>
        <v>4.192948789744163</v>
      </c>
      <c r="U194" s="7">
        <f>SUM('Model inputs'!U195,'Model inputs'!U196,'Model inputs'!U197)</f>
        <v>0</v>
      </c>
      <c r="V194" s="7">
        <f>SUM('Model inputs'!V195,'Model inputs'!V196,'Model inputs'!V197)</f>
        <v>0</v>
      </c>
      <c r="W194" s="7">
        <f>SUM('Model inputs'!W195,'Model inputs'!W196,'Model inputs'!W197)</f>
        <v>0</v>
      </c>
      <c r="X194" s="7">
        <f>SUM('Model inputs'!X195,'Model inputs'!X196,'Model inputs'!X197)</f>
        <v>0</v>
      </c>
      <c r="Y194" s="7">
        <f>SUM('Model inputs'!Y195,'Model inputs'!Y196,'Model inputs'!Y197)</f>
        <v>0</v>
      </c>
      <c r="Z194" s="7">
        <f>SUM('Model inputs'!Z195,'Model inputs'!Z196,'Model inputs'!Z197)</f>
        <v>0</v>
      </c>
      <c r="AA194" s="7">
        <f>SUM('Model inputs'!AA195,'Model inputs'!AA196,'Model inputs'!AA197)</f>
        <v>0</v>
      </c>
      <c r="AB194" s="7">
        <f>SUM('Model inputs'!AB195,'Model inputs'!AB196,'Model inputs'!AB197)</f>
        <v>0</v>
      </c>
      <c r="AC194" s="7">
        <f>SUM('Model inputs'!AC195,'Model inputs'!AC196,'Model inputs'!AC197)</f>
        <v>0</v>
      </c>
      <c r="AD194" s="7">
        <f>SUM('Model inputs'!AD195,'Model inputs'!AD196,'Model inputs'!AD197)</f>
        <v>0</v>
      </c>
      <c r="AE194" s="7">
        <f>SUM('Model inputs'!AE195,'Model inputs'!AE196,'Model inputs'!AE197)</f>
        <v>0</v>
      </c>
      <c r="AF194" s="7">
        <f>SUM('Model inputs'!AF195,'Model inputs'!AF196,'Model inputs'!AF197)</f>
        <v>0</v>
      </c>
      <c r="AG194" s="7">
        <f>SUM('Model inputs'!AG195,'Model inputs'!AG196,'Model inputs'!AG197)</f>
        <v>0</v>
      </c>
    </row>
    <row r="195" outlineLevel="1">
      <c r="A195" t="inlineStr" s="21">
        <is>
          <t xml:space="preserve">New annual prepayments &gt; Indie</t>
        </is>
      </c>
      <c r="C195" s="9">
        <f>IF(IF(IF(ISERROR('Model inputs'!C37&lt;1),'Model inputs'!C37&lt;1,IF('Model inputs'!C37="","",'Model inputs'!C37&lt;1))="",FALSE,IF(ISERROR('Model inputs'!C37&lt;1),'Model inputs'!C37&lt;1,IF('Model inputs'!C37="","",'Model inputs'!C37&lt;1))),0,MAX('Model inputs'!C164-'Model inputs'!AG164*(1-'Model inputs'!B39),0))</f>
        <v>0</v>
      </c>
      <c r="D195" s="9">
        <f>IF(IF(IF(ISERROR('Model inputs'!D37&lt;1),'Model inputs'!D37&lt;1,IF('Model inputs'!D37="","",'Model inputs'!D37&lt;1))="",FALSE,IF(ISERROR('Model inputs'!D37&lt;1),'Model inputs'!D37&lt;1,IF('Model inputs'!D37="","",'Model inputs'!D37&lt;1))),0,MAX('Model inputs'!D164-'Model inputs'!C164*(1-'Model inputs'!B39),0))</f>
        <v>0</v>
      </c>
      <c r="E195" s="9">
        <f>IF(IF(IF(ISERROR('Model inputs'!E37&lt;1),'Model inputs'!E37&lt;1,IF('Model inputs'!E37="","",'Model inputs'!E37&lt;1))="",FALSE,IF(ISERROR('Model inputs'!E37&lt;1),'Model inputs'!E37&lt;1,IF('Model inputs'!E37="","",'Model inputs'!E37&lt;1))),0,MAX('Model inputs'!E164-'Model inputs'!D164*(1-'Model inputs'!B39),0))</f>
        <v>0</v>
      </c>
      <c r="F195" s="9">
        <f>IF(IF(IF(ISERROR('Model inputs'!F37&lt;1),'Model inputs'!F37&lt;1,IF('Model inputs'!F37="","",'Model inputs'!F37&lt;1))="",FALSE,IF(ISERROR('Model inputs'!F37&lt;1),'Model inputs'!F37&lt;1,IF('Model inputs'!F37="","",'Model inputs'!F37&lt;1))),0,MAX('Model inputs'!F164-'Model inputs'!E164*(1-'Model inputs'!B39),0))</f>
        <v>0</v>
      </c>
      <c r="G195" s="9">
        <f>IF(IF(IF(ISERROR('Model inputs'!G37&lt;1),'Model inputs'!G37&lt;1,IF('Model inputs'!G37="","",'Model inputs'!G37&lt;1))="",FALSE,IF(ISERROR('Model inputs'!G37&lt;1),'Model inputs'!G37&lt;1,IF('Model inputs'!G37="","",'Model inputs'!G37&lt;1))),0,MAX('Model inputs'!G164-'Model inputs'!F164*(1-'Model inputs'!B39),0))</f>
        <v>0</v>
      </c>
      <c r="H195" s="9">
        <f>IF(IF(IF(ISERROR('Model inputs'!H37&lt;1),'Model inputs'!H37&lt;1,IF('Model inputs'!H37="","",'Model inputs'!H37&lt;1))="",FALSE,IF(ISERROR('Model inputs'!H37&lt;1),'Model inputs'!H37&lt;1,IF('Model inputs'!H37="","",'Model inputs'!H37&lt;1))),0,MAX('Model inputs'!H164-'Model inputs'!G164*(1-'Model inputs'!B39),0))</f>
        <v>0</v>
      </c>
      <c r="I195" s="9">
        <f>IF(IF(IF(ISERROR('Model inputs'!I37&lt;1),'Model inputs'!I37&lt;1,IF('Model inputs'!I37="","",'Model inputs'!I37&lt;1))="",FALSE,IF(ISERROR('Model inputs'!I37&lt;1),'Model inputs'!I37&lt;1,IF('Model inputs'!I37="","",'Model inputs'!I37&lt;1))),0,MAX('Model inputs'!I164-'Model inputs'!H164*(1-'Model inputs'!B39),0))</f>
        <v>0</v>
      </c>
      <c r="J195" s="9">
        <f>IF(IF(IF(ISERROR('Model inputs'!J37&lt;1),'Model inputs'!J37&lt;1,IF('Model inputs'!J37="","",'Model inputs'!J37&lt;1))="",FALSE,IF(ISERROR('Model inputs'!J37&lt;1),'Model inputs'!J37&lt;1,IF('Model inputs'!J37="","",'Model inputs'!J37&lt;1))),0,MAX('Model inputs'!J164-'Model inputs'!I164*(1-'Model inputs'!B39),0))</f>
        <v>0</v>
      </c>
      <c r="K195" s="9">
        <f>IF(IF(IF(ISERROR('Model inputs'!K37&lt;1),'Model inputs'!K37&lt;1,IF('Model inputs'!K37="","",'Model inputs'!K37&lt;1))="",FALSE,IF(ISERROR('Model inputs'!K37&lt;1),'Model inputs'!K37&lt;1,IF('Model inputs'!K37="","",'Model inputs'!K37&lt;1))),0,MAX('Model inputs'!K164-'Model inputs'!J164*(1-'Model inputs'!B39),0))</f>
        <v>0</v>
      </c>
      <c r="L195" s="9">
        <f>IF(IF(IF(ISERROR('Model inputs'!L37&lt;1),'Model inputs'!L37&lt;1,IF('Model inputs'!L37="","",'Model inputs'!L37&lt;1))="",FALSE,IF(ISERROR('Model inputs'!L37&lt;1),'Model inputs'!L37&lt;1,IF('Model inputs'!L37="","",'Model inputs'!L37&lt;1))),0,MAX('Model inputs'!L164-'Model inputs'!K164*(1-'Model inputs'!B39),0))</f>
        <v>0</v>
      </c>
      <c r="M195" s="9">
        <f>IF(IF(IF(ISERROR('Model inputs'!M37&lt;1),'Model inputs'!M37&lt;1,IF('Model inputs'!M37="","",'Model inputs'!M37&lt;1))="",FALSE,IF(ISERROR('Model inputs'!M37&lt;1),'Model inputs'!M37&lt;1,IF('Model inputs'!M37="","",'Model inputs'!M37&lt;1))),0,MAX('Model inputs'!M164-'Model inputs'!L164*(1-'Model inputs'!B39),0))</f>
        <v>0</v>
      </c>
      <c r="N195" s="9">
        <f>IF(IF(IF(ISERROR('Model inputs'!N37&lt;1),'Model inputs'!N37&lt;1,IF('Model inputs'!N37="","",'Model inputs'!N37&lt;1))="",FALSE,IF(ISERROR('Model inputs'!N37&lt;1),'Model inputs'!N37&lt;1,IF('Model inputs'!N37="","",'Model inputs'!N37&lt;1))),0,MAX('Model inputs'!N164-'Model inputs'!M164*(1-'Model inputs'!B39),0))</f>
        <v>0</v>
      </c>
      <c r="O195" s="9">
        <f>IF(IF(IF(ISERROR('Model inputs'!O37&lt;1),'Model inputs'!O37&lt;1,IF('Model inputs'!O37="","",'Model inputs'!O37&lt;1))="",FALSE,IF(ISERROR('Model inputs'!O37&lt;1),'Model inputs'!O37&lt;1,IF('Model inputs'!O37="","",'Model inputs'!O37&lt;1))),0,MAX('Model inputs'!O164-'Model inputs'!N164*(1-'Model inputs'!B39),0))</f>
        <v>0</v>
      </c>
      <c r="P195" s="9">
        <f>IF(IF(IF(ISERROR('Model inputs'!P37&lt;1),'Model inputs'!P37&lt;1,IF('Model inputs'!P37="","",'Model inputs'!P37&lt;1))="",FALSE,IF(ISERROR('Model inputs'!P37&lt;1),'Model inputs'!P37&lt;1,IF('Model inputs'!P37="","",'Model inputs'!P37&lt;1))),0,MAX('Model inputs'!P164-'Model inputs'!O164*(1-'Model inputs'!B39),0))</f>
        <v>0</v>
      </c>
      <c r="Q195" s="9">
        <f>IF(IF(IF(ISERROR('Model inputs'!Q37&lt;1),'Model inputs'!Q37&lt;1,IF('Model inputs'!Q37="","",'Model inputs'!Q37&lt;1))="",FALSE,IF(ISERROR('Model inputs'!Q37&lt;1),'Model inputs'!Q37&lt;1,IF('Model inputs'!Q37="","",'Model inputs'!Q37&lt;1))),0,MAX('Model inputs'!Q164-'Model inputs'!P164*(1-'Model inputs'!B39),0))</f>
        <v>0</v>
      </c>
      <c r="R195" s="9">
        <f>IF(IF(IF(ISERROR('Model inputs'!R37&lt;1),'Model inputs'!R37&lt;1,IF('Model inputs'!R37="","",'Model inputs'!R37&lt;1))="",FALSE,IF(ISERROR('Model inputs'!R37&lt;1),'Model inputs'!R37&lt;1,IF('Model inputs'!R37="","",'Model inputs'!R37&lt;1))),0,MAX('Model inputs'!R164-'Model inputs'!Q164*(1-'Model inputs'!B39),0))</f>
        <v>0</v>
      </c>
      <c r="S195" s="9">
        <f>IF(IF(IF(ISERROR('Model inputs'!S37&lt;1),'Model inputs'!S37&lt;1,IF('Model inputs'!S37="","",'Model inputs'!S37&lt;1))="",FALSE,IF(ISERROR('Model inputs'!S37&lt;1),'Model inputs'!S37&lt;1,IF('Model inputs'!S37="","",'Model inputs'!S37&lt;1))),0,MAX('Model inputs'!S164-'Model inputs'!R164*(1-'Model inputs'!B39),0))</f>
        <v>0</v>
      </c>
      <c r="T195" s="9">
        <f>IF(IF(IF(ISERROR('Model inputs'!T37&lt;1),'Model inputs'!T37&lt;1,IF('Model inputs'!T37="","",'Model inputs'!T37&lt;1))="",FALSE,IF(ISERROR('Model inputs'!T37&lt;1),'Model inputs'!T37&lt;1,IF('Model inputs'!T37="","",'Model inputs'!T37&lt;1))),0,MAX('Model inputs'!T164-'Model inputs'!S164*(1-'Model inputs'!B39),0))</f>
        <v>0</v>
      </c>
      <c r="U195" s="9">
        <f>IF(IF(IF(ISERROR('Model inputs'!U116&lt;1),'Model inputs'!U116&lt;1,IF('Model inputs'!U116="","",'Model inputs'!U116&lt;1))="",FALSE,IF(ISERROR('Model inputs'!U116&lt;1),'Model inputs'!U116&lt;1,IF('Model inputs'!U116="","",'Model inputs'!U116&lt;1))),0,MAX('Model inputs'!U164-0*(1-'Model inputs'!B39),0))</f>
        <v>0</v>
      </c>
      <c r="V195" s="9">
        <f>IF(IF(IF(ISERROR('Model inputs'!V116&lt;1),'Model inputs'!V116&lt;1,IF('Model inputs'!V116="","",'Model inputs'!V116&lt;1))="",FALSE,IF(ISERROR('Model inputs'!V116&lt;1),'Model inputs'!V116&lt;1,IF('Model inputs'!V116="","",'Model inputs'!V116&lt;1))),0,MAX('Model inputs'!V164-'Model inputs'!U164*(1-'Model inputs'!B39),0))</f>
        <v>0</v>
      </c>
      <c r="W195" s="9">
        <f>IF(IF(IF(ISERROR('Model inputs'!W116&lt;1),'Model inputs'!W116&lt;1,IF('Model inputs'!W116="","",'Model inputs'!W116&lt;1))="",FALSE,IF(ISERROR('Model inputs'!W116&lt;1),'Model inputs'!W116&lt;1,IF('Model inputs'!W116="","",'Model inputs'!W116&lt;1))),0,MAX('Model inputs'!W164-'Model inputs'!V164*(1-'Model inputs'!B39),0))</f>
        <v>0</v>
      </c>
      <c r="X195" s="9">
        <f>IF(IF(IF(ISERROR('Model inputs'!X116&lt;1),'Model inputs'!X116&lt;1,IF('Model inputs'!X116="","",'Model inputs'!X116&lt;1))="",FALSE,IF(ISERROR('Model inputs'!X116&lt;1),'Model inputs'!X116&lt;1,IF('Model inputs'!X116="","",'Model inputs'!X116&lt;1))),0,MAX('Model inputs'!X164-'Model inputs'!W164*(1-'Model inputs'!B39),0))</f>
        <v>0</v>
      </c>
      <c r="Y195" s="9">
        <f>IF(IF(IF(ISERROR('Model inputs'!Y116&lt;1),'Model inputs'!Y116&lt;1,IF('Model inputs'!Y116="","",'Model inputs'!Y116&lt;1))="",FALSE,IF(ISERROR('Model inputs'!Y116&lt;1),'Model inputs'!Y116&lt;1,IF('Model inputs'!Y116="","",'Model inputs'!Y116&lt;1))),0,MAX('Model inputs'!Y164-'Model inputs'!X164*(1-'Model inputs'!B39),0))</f>
        <v>0</v>
      </c>
      <c r="Z195" s="9">
        <f>IF(IF(IF(ISERROR('Model inputs'!Z116&lt;1),'Model inputs'!Z116&lt;1,IF('Model inputs'!Z116="","",'Model inputs'!Z116&lt;1))="",FALSE,IF(ISERROR('Model inputs'!Z116&lt;1),'Model inputs'!Z116&lt;1,IF('Model inputs'!Z116="","",'Model inputs'!Z116&lt;1))),0,MAX('Model inputs'!Z164-'Model inputs'!Y164*(1-'Model inputs'!B39),0))</f>
        <v>0</v>
      </c>
      <c r="AA195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inputs'!AA116&lt;1))),0,MAX('Model inputs'!AA164-'Model inputs'!Z164*(1-'Model inputs'!B39),0))</f>
        <v>0</v>
      </c>
      <c r="AB195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inputs'!AB116&lt;1))),0,MAX('Model inputs'!AB164-'Model inputs'!AA164*(1-'Model inputs'!B39),0))</f>
        <v>0</v>
      </c>
      <c r="AC195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inputs'!AC116&lt;1))),0,MAX('Model inputs'!AC164-'Model inputs'!AB164*(1-'Model inputs'!B39),0))</f>
        <v>0</v>
      </c>
      <c r="AD195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inputs'!AD116&lt;1))),0,MAX('Model inputs'!AD164-'Model inputs'!AC164*(1-'Model inputs'!B39),0))</f>
        <v>0</v>
      </c>
      <c r="AE195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inputs'!AE116&lt;1))),0,MAX('Model inputs'!AE164-'Model inputs'!AD164*(1-'Model inputs'!B39),0))</f>
        <v>0</v>
      </c>
      <c r="AF195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inputs'!AF116&lt;1))),0,MAX('Model inputs'!AF164-'Model inputs'!AE164*(1-'Model inputs'!B39),0))</f>
        <v>0</v>
      </c>
      <c r="AG195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inputs'!AG116&lt;1))),0,MAX('Model inputs'!AG164-'Model inputs'!AF164*(1-'Model inputs'!B39),0))</f>
        <v>0</v>
      </c>
    </row>
    <row r="196" outlineLevel="1">
      <c r="A196" t="inlineStr" s="21">
        <is>
          <t xml:space="preserve">New annual prepayments &gt; Launch</t>
        </is>
      </c>
      <c r="C196" s="9">
        <f>IF(IF(IF(ISERROR('Model inputs'!C37&lt;1),'Model inputs'!C37&lt;1,IF('Model inputs'!C37="","",'Model inputs'!C37&lt;1))="",FALSE,IF(ISERROR('Model inputs'!C37&lt;1),'Model inputs'!C37&lt;1,IF('Model inputs'!C37="","",'Model inputs'!C37&lt;1))),0,MAX('Model inputs'!C165-'Model inputs'!AG165*(1-'Model inputs'!B40),0))</f>
        <v>0</v>
      </c>
      <c r="D196" s="9">
        <f>IF(IF(IF(ISERROR('Model inputs'!D37&lt;1),'Model inputs'!D37&lt;1,IF('Model inputs'!D37="","",'Model inputs'!D37&lt;1))="",FALSE,IF(ISERROR('Model inputs'!D37&lt;1),'Model inputs'!D37&lt;1,IF('Model inputs'!D37="","",'Model inputs'!D37&lt;1))),0,MAX('Model inputs'!D165-'Model inputs'!C165*(1-'Model inputs'!B40),0))</f>
        <v>0.08808333333333332</v>
      </c>
      <c r="E196" s="9">
        <f>IF(IF(IF(ISERROR('Model inputs'!E37&lt;1),'Model inputs'!E37&lt;1,IF('Model inputs'!E37="","",'Model inputs'!E37&lt;1))="",FALSE,IF(ISERROR('Model inputs'!E37&lt;1),'Model inputs'!E37&lt;1,IF('Model inputs'!E37="","",'Model inputs'!E37&lt;1))),0,MAX('Model inputs'!E165-'Model inputs'!D165*(1-'Model inputs'!B40),0))</f>
        <v>0.14950039351851846</v>
      </c>
      <c r="F196" s="9">
        <f>IF(IF(IF(ISERROR('Model inputs'!F37&lt;1),'Model inputs'!F37&lt;1,IF('Model inputs'!F37="","",'Model inputs'!F37&lt;1))="",FALSE,IF(ISERROR('Model inputs'!F37&lt;1),'Model inputs'!F37&lt;1,IF('Model inputs'!F37="","",'Model inputs'!F37&lt;1))),0,MAX('Model inputs'!F165-'Model inputs'!E165*(1-'Model inputs'!B40),0))</f>
        <v>0.21300857265624992</v>
      </c>
      <c r="G196" s="9">
        <f>IF(IF(IF(ISERROR('Model inputs'!G37&lt;1),'Model inputs'!G37&lt;1,IF('Model inputs'!G37="","",'Model inputs'!G37&lt;1))="",FALSE,IF(ISERROR('Model inputs'!G37&lt;1),'Model inputs'!G37&lt;1,IF('Model inputs'!G37="","",'Model inputs'!G37&lt;1))),0,MAX('Model inputs'!G165-'Model inputs'!F165*(1-'Model inputs'!B40),0))</f>
        <v>0.27894984150853586</v>
      </c>
      <c r="H196" s="9">
        <f>IF(IF(IF(ISERROR('Model inputs'!H37&lt;1),'Model inputs'!H37&lt;1,IF('Model inputs'!H37="","",'Model inputs'!H37&lt;1))="",FALSE,IF(ISERROR('Model inputs'!H37&lt;1),'Model inputs'!H37&lt;1,IF('Model inputs'!H37="","",'Model inputs'!H37&lt;1))),0,MAX('Model inputs'!H165-'Model inputs'!G165*(1-'Model inputs'!B40),0))</f>
        <v>0.34769579376382986</v>
      </c>
      <c r="I196" s="9">
        <f>IF(IF(IF(ISERROR('Model inputs'!I37&lt;1),'Model inputs'!I37&lt;1,IF('Model inputs'!I37="","",'Model inputs'!I37&lt;1))="",FALSE,IF(ISERROR('Model inputs'!I37&lt;1),'Model inputs'!I37&lt;1,IF('Model inputs'!I37="","",'Model inputs'!I37&lt;1))),0,MAX('Model inputs'!I165-'Model inputs'!H165*(1-'Model inputs'!B40),0))</f>
        <v>0.41965235241733834</v>
      </c>
      <c r="J196" s="9">
        <f>IF(IF(IF(ISERROR('Model inputs'!J37&lt;1),'Model inputs'!J37&lt;1,IF('Model inputs'!J37="","",'Model inputs'!J37&lt;1))="",FALSE,IF(ISERROR('Model inputs'!J37&lt;1),'Model inputs'!J37&lt;1,IF('Model inputs'!J37="","",'Model inputs'!J37&lt;1))),0,MAX('Model inputs'!J165-'Model inputs'!I165*(1-'Model inputs'!B40),0))</f>
        <v>0.21924642763510693</v>
      </c>
      <c r="K196" s="9">
        <f>IF(IF(IF(ISERROR('Model inputs'!K37&lt;1),'Model inputs'!K37&lt;1,IF('Model inputs'!K37="","",'Model inputs'!K37&lt;1))="",FALSE,IF(ISERROR('Model inputs'!K37&lt;1),'Model inputs'!K37&lt;1,IF('Model inputs'!K37="","",'Model inputs'!K37&lt;1))),0,MAX('Model inputs'!K165-'Model inputs'!J165*(1-'Model inputs'!B40),0))</f>
        <v>0.22735925733219475</v>
      </c>
      <c r="L196" s="9">
        <f>IF(IF(IF(ISERROR('Model inputs'!L37&lt;1),'Model inputs'!L37&lt;1,IF('Model inputs'!L37="","",'Model inputs'!L37&lt;1))="",FALSE,IF(ISERROR('Model inputs'!L37&lt;1),'Model inputs'!L37&lt;1,IF('Model inputs'!L37="","",'Model inputs'!L37&lt;1))),0,MAX('Model inputs'!L165-'Model inputs'!K165*(1-'Model inputs'!B40),0))</f>
        <v>0.23623072168787318</v>
      </c>
      <c r="M196" s="9">
        <f>IF(IF(IF(ISERROR('Model inputs'!M37&lt;1),'Model inputs'!M37&lt;1,IF('Model inputs'!M37="","",'Model inputs'!M37&lt;1))="",FALSE,IF(ISERROR('Model inputs'!M37&lt;1),'Model inputs'!M37&lt;1,IF('Model inputs'!M37="","",'Model inputs'!M37&lt;1))),0,MAX('Model inputs'!M165-'Model inputs'!L165*(1-'Model inputs'!B40),0))</f>
        <v>0.24541433979131444</v>
      </c>
      <c r="N196" s="9">
        <f>IF(IF(IF(ISERROR('Model inputs'!N37&lt;1),'Model inputs'!N37&lt;1,IF('Model inputs'!N37="","",'Model inputs'!N37&lt;1))="",FALSE,IF(ISERROR('Model inputs'!N37&lt;1),'Model inputs'!N37&lt;1,IF('Model inputs'!N37="","",'Model inputs'!N37&lt;1))),0,MAX('Model inputs'!N165-'Model inputs'!M165*(1-'Model inputs'!B40),0))</f>
        <v>0.25491146714817825</v>
      </c>
      <c r="O196" s="9">
        <f>IF(IF(IF(ISERROR('Model inputs'!O37&lt;1),'Model inputs'!O37&lt;1,IF('Model inputs'!O37="","",'Model inputs'!O37&lt;1))="",FALSE,IF(ISERROR('Model inputs'!O37&lt;1),'Model inputs'!O37&lt;1,IF('Model inputs'!O37="","",'Model inputs'!O37&lt;1))),0,MAX('Model inputs'!O165-'Model inputs'!N165*(1-'Model inputs'!B40),0))</f>
        <v>0.26472473309641575</v>
      </c>
      <c r="P196" s="9">
        <f>IF(IF(IF(ISERROR('Model inputs'!P37&lt;1),'Model inputs'!P37&lt;1,IF('Model inputs'!P37="","",'Model inputs'!P37&lt;1))="",FALSE,IF(ISERROR('Model inputs'!P37&lt;1),'Model inputs'!P37&lt;1,IF('Model inputs'!P37="","",'Model inputs'!P37&lt;1))),0,MAX('Model inputs'!P165-'Model inputs'!O165*(1-'Model inputs'!B40),0))</f>
        <v>0.2748579941351488</v>
      </c>
      <c r="Q196" s="9">
        <f>IF(IF(IF(ISERROR('Model inputs'!Q37&lt;1),'Model inputs'!Q37&lt;1,IF('Model inputs'!Q37="","",'Model inputs'!Q37&lt;1))="",FALSE,IF(ISERROR('Model inputs'!Q37&lt;1),'Model inputs'!Q37&lt;1,IF('Model inputs'!Q37="","",'Model inputs'!Q37&lt;1))),0,MAX('Model inputs'!Q165-'Model inputs'!P165*(1-'Model inputs'!B40),0))</f>
        <v>0.2853162924524879</v>
      </c>
      <c r="R196" s="9">
        <f>IF(IF(IF(ISERROR('Model inputs'!R37&lt;1),'Model inputs'!R37&lt;1,IF('Model inputs'!R37="","",'Model inputs'!R37&lt;1))="",FALSE,IF(ISERROR('Model inputs'!R37&lt;1),'Model inputs'!R37&lt;1,IF('Model inputs'!R37="","",'Model inputs'!R37&lt;1))),0,MAX('Model inputs'!R165-'Model inputs'!Q165*(1-'Model inputs'!B40),0))</f>
        <v>0.2961058193701578</v>
      </c>
      <c r="S196" s="9">
        <f>IF(IF(IF(ISERROR('Model inputs'!S37&lt;1),'Model inputs'!S37&lt;1,IF('Model inputs'!S37="","",'Model inputs'!S37&lt;1))="",FALSE,IF(ISERROR('Model inputs'!S37&lt;1),'Model inputs'!S37&lt;1,IF('Model inputs'!S37="","",'Model inputs'!S37&lt;1))),0,MAX('Model inputs'!S165-'Model inputs'!R165*(1-'Model inputs'!B40),0))</f>
        <v>0.3072338834448147</v>
      </c>
      <c r="T196" s="9">
        <f>IF(IF(IF(ISERROR('Model inputs'!T37&lt;1),'Model inputs'!T37&lt;1,IF('Model inputs'!T37="","",'Model inputs'!T37&lt;1))="",FALSE,IF(ISERROR('Model inputs'!T37&lt;1),'Model inputs'!T37&lt;1,IF('Model inputs'!T37="","",'Model inputs'!T37&lt;1))),0,MAX('Model inputs'!T165-'Model inputs'!S165*(1-'Model inputs'!B40),0))</f>
        <v>0.318708882986646</v>
      </c>
      <c r="U196" s="9">
        <f>IF(IF(IF(ISERROR('Model inputs'!U116&lt;1),'Model inputs'!U116&lt;1,IF('Model inputs'!U116="","",'Model inputs'!U116&lt;1))="",FALSE,IF(ISERROR('Model inputs'!U116&lt;1),'Model inputs'!U116&lt;1,IF('Model inputs'!U116="","",'Model inputs'!U116&lt;1))),0,MAX('Model inputs'!U165-0*(1-'Model inputs'!B40),0))</f>
        <v>0</v>
      </c>
      <c r="V196" s="9">
        <f>IF(IF(IF(ISERROR('Model inputs'!V116&lt;1),'Model inputs'!V116&lt;1,IF('Model inputs'!V116="","",'Model inputs'!V116&lt;1))="",FALSE,IF(ISERROR('Model inputs'!V116&lt;1),'Model inputs'!V116&lt;1,IF('Model inputs'!V116="","",'Model inputs'!V116&lt;1))),0,MAX('Model inputs'!V165-'Model inputs'!U165*(1-'Model inputs'!B40),0))</f>
        <v>0</v>
      </c>
      <c r="W196" s="9">
        <f>IF(IF(IF(ISERROR('Model inputs'!W116&lt;1),'Model inputs'!W116&lt;1,IF('Model inputs'!W116="","",'Model inputs'!W116&lt;1))="",FALSE,IF(ISERROR('Model inputs'!W116&lt;1),'Model inputs'!W116&lt;1,IF('Model inputs'!W116="","",'Model inputs'!W116&lt;1))),0,MAX('Model inputs'!W165-'Model inputs'!V165*(1-'Model inputs'!B40),0))</f>
        <v>0</v>
      </c>
      <c r="X196" s="9">
        <f>IF(IF(IF(ISERROR('Model inputs'!X116&lt;1),'Model inputs'!X116&lt;1,IF('Model inputs'!X116="","",'Model inputs'!X116&lt;1))="",FALSE,IF(ISERROR('Model inputs'!X116&lt;1),'Model inputs'!X116&lt;1,IF('Model inputs'!X116="","",'Model inputs'!X116&lt;1))),0,MAX('Model inputs'!X165-'Model inputs'!W165*(1-'Model inputs'!B40),0))</f>
        <v>0</v>
      </c>
      <c r="Y196" s="9">
        <f>IF(IF(IF(ISERROR('Model inputs'!Y116&lt;1),'Model inputs'!Y116&lt;1,IF('Model inputs'!Y116="","",'Model inputs'!Y116&lt;1))="",FALSE,IF(ISERROR('Model inputs'!Y116&lt;1),'Model inputs'!Y116&lt;1,IF('Model inputs'!Y116="","",'Model inputs'!Y116&lt;1))),0,MAX('Model inputs'!Y165-'Model inputs'!X165*(1-'Model inputs'!B40),0))</f>
        <v>0</v>
      </c>
      <c r="Z196" s="9">
        <f>IF(IF(IF(ISERROR('Model inputs'!Z116&lt;1),'Model inputs'!Z116&lt;1,IF('Model inputs'!Z116="","",'Model inputs'!Z116&lt;1))="",FALSE,IF(ISERROR('Model inputs'!Z116&lt;1),'Model inputs'!Z116&lt;1,IF('Model inputs'!Z116="","",'Model inputs'!Z116&lt;1))),0,MAX('Model inputs'!Z165-'Model inputs'!Y165*(1-'Model inputs'!B40),0))</f>
        <v>0</v>
      </c>
      <c r="AA196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inputs'!AA116&lt;1))),0,MAX('Model inputs'!AA165-'Model inputs'!Z165*(1-'Model inputs'!B40),0))</f>
        <v>0</v>
      </c>
      <c r="AB196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inputs'!AB116&lt;1))),0,MAX('Model inputs'!AB165-'Model inputs'!AA165*(1-'Model inputs'!B40),0))</f>
        <v>0</v>
      </c>
      <c r="AC196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inputs'!AC116&lt;1))),0,MAX('Model inputs'!AC165-'Model inputs'!AB165*(1-'Model inputs'!B40),0))</f>
        <v>0</v>
      </c>
      <c r="AD196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inputs'!AD116&lt;1))),0,MAX('Model inputs'!AD165-'Model inputs'!AC165*(1-'Model inputs'!B40),0))</f>
        <v>0</v>
      </c>
      <c r="AE196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inputs'!AE116&lt;1))),0,MAX('Model inputs'!AE165-'Model inputs'!AD165*(1-'Model inputs'!B40),0))</f>
        <v>0</v>
      </c>
      <c r="AF196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inputs'!AF116&lt;1))),0,MAX('Model inputs'!AF165-'Model inputs'!AE165*(1-'Model inputs'!B40),0))</f>
        <v>0</v>
      </c>
      <c r="AG196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inputs'!AG116&lt;1))),0,MAX('Model inputs'!AG165-'Model inputs'!AF165*(1-'Model inputs'!B40),0))</f>
        <v>0</v>
      </c>
    </row>
    <row r="197" outlineLevel="1">
      <c r="A197" t="inlineStr" s="21">
        <is>
          <t xml:space="preserve">New annual prepayments &gt; Team</t>
        </is>
      </c>
      <c r="C197" s="9">
        <f>IF(IF(IF(ISERROR('Model inputs'!C37&lt;1),'Model inputs'!C37&lt;1,IF('Model inputs'!C37="","",'Model inputs'!C37&lt;1))="",FALSE,IF(ISERROR('Model inputs'!C37&lt;1),'Model inputs'!C37&lt;1,IF('Model inputs'!C37="","",'Model inputs'!C37&lt;1))),0,MAX('Model inputs'!C166-'Model inputs'!AG166*(1-'Model inputs'!B41),0))</f>
        <v>0</v>
      </c>
      <c r="D197" s="9">
        <f>IF(IF(IF(ISERROR('Model inputs'!D37&lt;1),'Model inputs'!D37&lt;1,IF('Model inputs'!D37="","",'Model inputs'!D37&lt;1))="",FALSE,IF(ISERROR('Model inputs'!D37&lt;1),'Model inputs'!D37&lt;1,IF('Model inputs'!D37="","",'Model inputs'!D37&lt;1))),0,MAX('Model inputs'!D166-'Model inputs'!C166*(1-'Model inputs'!B41),0))</f>
        <v>0.5285972222222222</v>
      </c>
      <c r="E197" s="9">
        <f>IF(IF(IF(ISERROR('Model inputs'!E37&lt;1),'Model inputs'!E37&lt;1,IF('Model inputs'!E37="","",'Model inputs'!E37&lt;1))="",FALSE,IF(ISERROR('Model inputs'!E37&lt;1),'Model inputs'!E37&lt;1,IF('Model inputs'!E37="","",'Model inputs'!E37&lt;1))),0,MAX('Model inputs'!E166-'Model inputs'!D166*(1-'Model inputs'!B41),0))</f>
        <v>0.9511491435185185</v>
      </c>
      <c r="F197" s="9">
        <f>IF(IF(IF(ISERROR('Model inputs'!F37&lt;1),'Model inputs'!F37&lt;1,IF('Model inputs'!F37="","",'Model inputs'!F37&lt;1))="",FALSE,IF(ISERROR('Model inputs'!F37&lt;1),'Model inputs'!F37&lt;1,IF('Model inputs'!F37="","",'Model inputs'!F37&lt;1))),0,MAX('Model inputs'!F166-'Model inputs'!E166*(1-'Model inputs'!B41),0))</f>
        <v>1.4485273357349535</v>
      </c>
      <c r="G197" s="9">
        <f>IF(IF(IF(ISERROR('Model inputs'!G37&lt;1),'Model inputs'!G37&lt;1,IF('Model inputs'!G37="","",'Model inputs'!G37&lt;1))="",FALSE,IF(ISERROR('Model inputs'!G37&lt;1),'Model inputs'!G37&lt;1,IF('Model inputs'!G37="","",'Model inputs'!G37&lt;1))),0,MAX('Model inputs'!G166-'Model inputs'!F166*(1-'Model inputs'!B41),0))</f>
        <v>2.028531534657729</v>
      </c>
      <c r="H197" s="9">
        <f>IF(IF(IF(ISERROR('Model inputs'!H37&lt;1),'Model inputs'!H37&lt;1,IF('Model inputs'!H37="","",'Model inputs'!H37&lt;1))="",FALSE,IF(ISERROR('Model inputs'!H37&lt;1),'Model inputs'!H37&lt;1,IF('Model inputs'!H37="","",'Model inputs'!H37&lt;1))),0,MAX('Model inputs'!H166-'Model inputs'!G166*(1-'Model inputs'!B41),0))</f>
        <v>2.7000952379284557</v>
      </c>
      <c r="I197" s="9">
        <f>IF(IF(IF(ISERROR('Model inputs'!I37&lt;1),'Model inputs'!I37&lt;1,IF('Model inputs'!I37="","",'Model inputs'!I37&lt;1))="",FALSE,IF(ISERROR('Model inputs'!I37&lt;1),'Model inputs'!I37&lt;1,IF('Model inputs'!I37="","",'Model inputs'!I37&lt;1))),0,MAX('Model inputs'!I166-'Model inputs'!H166*(1-'Model inputs'!B41),0))</f>
        <v>3.473403222981019</v>
      </c>
      <c r="J197" s="9">
        <f>IF(IF(IF(ISERROR('Model inputs'!J37&lt;1),'Model inputs'!J37&lt;1,IF('Model inputs'!J37="","",'Model inputs'!J37&lt;1))="",FALSE,IF(ISERROR('Model inputs'!J37&lt;1),'Model inputs'!J37&lt;1,IF('Model inputs'!J37="","",'Model inputs'!J37&lt;1))),0,MAX('Model inputs'!J166-'Model inputs'!I166*(1-'Model inputs'!B41),0))</f>
        <v>2.2656534062738825</v>
      </c>
      <c r="K197" s="9">
        <f>IF(IF(IF(ISERROR('Model inputs'!K37&lt;1),'Model inputs'!K37&lt;1,IF('Model inputs'!K37="","",'Model inputs'!K37&lt;1))="",FALSE,IF(ISERROR('Model inputs'!K37&lt;1),'Model inputs'!K37&lt;1,IF('Model inputs'!K37="","",'Model inputs'!K37&lt;1))),0,MAX('Model inputs'!K166-'Model inputs'!J166*(1-'Model inputs'!B41),0))</f>
        <v>2.5061380981545973</v>
      </c>
      <c r="L197" s="9">
        <f>IF(IF(IF(ISERROR('Model inputs'!L37&lt;1),'Model inputs'!L37&lt;1,IF('Model inputs'!L37="","",'Model inputs'!L37&lt;1))="",FALSE,IF(ISERROR('Model inputs'!L37&lt;1),'Model inputs'!L37&lt;1,IF('Model inputs'!L37="","",'Model inputs'!L37&lt;1))),0,MAX('Model inputs'!L166-'Model inputs'!K166*(1-'Model inputs'!B41),0))</f>
        <v>2.644929540978609</v>
      </c>
      <c r="M197" s="9">
        <f>IF(IF(IF(ISERROR('Model inputs'!M37&lt;1),'Model inputs'!M37&lt;1,IF('Model inputs'!M37="","",'Model inputs'!M37&lt;1))="",FALSE,IF(ISERROR('Model inputs'!M37&lt;1),'Model inputs'!M37&lt;1,IF('Model inputs'!M37="","",'Model inputs'!M37&lt;1))),0,MAX('Model inputs'!M166-'Model inputs'!L166*(1-'Model inputs'!B41),0))</f>
        <v>2.786293812144688</v>
      </c>
      <c r="N197" s="9">
        <f>IF(IF(IF(ISERROR('Model inputs'!N37&lt;1),'Model inputs'!N37&lt;1,IF('Model inputs'!N37="","",'Model inputs'!N37&lt;1))="",FALSE,IF(ISERROR('Model inputs'!N37&lt;1),'Model inputs'!N37&lt;1,IF('Model inputs'!N37="","",'Model inputs'!N37&lt;1))),0,MAX('Model inputs'!N166-'Model inputs'!M166*(1-'Model inputs'!B41),0))</f>
        <v>2.930546391043947</v>
      </c>
      <c r="O197" s="9">
        <f>IF(IF(IF(ISERROR('Model inputs'!O37&lt;1),'Model inputs'!O37&lt;1,IF('Model inputs'!O37="","",'Model inputs'!O37&lt;1))="",FALSE,IF(ISERROR('Model inputs'!O37&lt;1),'Model inputs'!O37&lt;1,IF('Model inputs'!O37="","",'Model inputs'!O37&lt;1))),0,MAX('Model inputs'!O166-'Model inputs'!N166*(1-'Model inputs'!B41),0))</f>
        <v>3.0780007275901546</v>
      </c>
      <c r="P197" s="9">
        <f>IF(IF(IF(ISERROR('Model inputs'!P37&lt;1),'Model inputs'!P37&lt;1,IF('Model inputs'!P37="","",'Model inputs'!P37&lt;1))="",FALSE,IF(ISERROR('Model inputs'!P37&lt;1),'Model inputs'!P37&lt;1,IF('Model inputs'!P37="","",'Model inputs'!P37&lt;1))),0,MAX('Model inputs'!P166-'Model inputs'!O166*(1-'Model inputs'!B41),0))</f>
        <v>3.2289691539345284</v>
      </c>
      <c r="Q197" s="9">
        <f>IF(IF(IF(ISERROR('Model inputs'!Q37&lt;1),'Model inputs'!Q37&lt;1,IF('Model inputs'!Q37="","",'Model inputs'!Q37&lt;1))="",FALSE,IF(ISERROR('Model inputs'!Q37&lt;1),'Model inputs'!Q37&lt;1,IF('Model inputs'!Q37="","",'Model inputs'!Q37&lt;1))),0,MAX('Model inputs'!Q166-'Model inputs'!P166*(1-'Model inputs'!B41),0))</f>
        <v>3.383763765898575</v>
      </c>
      <c r="R197" s="9">
        <f>IF(IF(IF(ISERROR('Model inputs'!R37&lt;1),'Model inputs'!R37&lt;1,IF('Model inputs'!R37="","",'Model inputs'!R37&lt;1))="",FALSE,IF(ISERROR('Model inputs'!R37&lt;1),'Model inputs'!R37&lt;1,IF('Model inputs'!R37="","",'Model inputs'!R37&lt;1))),0,MAX('Model inputs'!R166-'Model inputs'!Q166*(1-'Model inputs'!B41),0))</f>
        <v>3.542697277382981</v>
      </c>
      <c r="S197" s="9">
        <f>IF(IF(IF(ISERROR('Model inputs'!S37&lt;1),'Model inputs'!S37&lt;1,IF('Model inputs'!S37="","",'Model inputs'!S37&lt;1))="",FALSE,IF(ISERROR('Model inputs'!S37&lt;1),'Model inputs'!S37&lt;1,IF('Model inputs'!S37="","",'Model inputs'!S37&lt;1))),0,MAX('Model inputs'!S166-'Model inputs'!R166*(1-'Model inputs'!B41),0))</f>
        <v>3.7060838508419494</v>
      </c>
      <c r="T197" s="9">
        <f>IF(IF(IF(ISERROR('Model inputs'!T37&lt;1),'Model inputs'!T37&lt;1,IF('Model inputs'!T37="","",'Model inputs'!T37&lt;1))="",FALSE,IF(ISERROR('Model inputs'!T37&lt;1),'Model inputs'!T37&lt;1,IF('Model inputs'!T37="","",'Model inputs'!T37&lt;1))),0,MAX('Model inputs'!T166-'Model inputs'!S166*(1-'Model inputs'!B41),0))</f>
        <v>3.8742399067575164</v>
      </c>
      <c r="U197" s="9">
        <f>IF(IF(IF(ISERROR('Model inputs'!U116&lt;1),'Model inputs'!U116&lt;1,IF('Model inputs'!U116="","",'Model inputs'!U116&lt;1))="",FALSE,IF(ISERROR('Model inputs'!U116&lt;1),'Model inputs'!U116&lt;1,IF('Model inputs'!U116="","",'Model inputs'!U116&lt;1))),0,MAX('Model inputs'!U166-0*(1-'Model inputs'!B41),0))</f>
        <v>0</v>
      </c>
      <c r="V197" s="9">
        <f>IF(IF(IF(ISERROR('Model inputs'!V116&lt;1),'Model inputs'!V116&lt;1,IF('Model inputs'!V116="","",'Model inputs'!V116&lt;1))="",FALSE,IF(ISERROR('Model inputs'!V116&lt;1),'Model inputs'!V116&lt;1,IF('Model inputs'!V116="","",'Model inputs'!V116&lt;1))),0,MAX('Model inputs'!V166-'Model inputs'!U166*(1-'Model inputs'!B41),0))</f>
        <v>0</v>
      </c>
      <c r="W197" s="9">
        <f>IF(IF(IF(ISERROR('Model inputs'!W116&lt;1),'Model inputs'!W116&lt;1,IF('Model inputs'!W116="","",'Model inputs'!W116&lt;1))="",FALSE,IF(ISERROR('Model inputs'!W116&lt;1),'Model inputs'!W116&lt;1,IF('Model inputs'!W116="","",'Model inputs'!W116&lt;1))),0,MAX('Model inputs'!W166-'Model inputs'!V166*(1-'Model inputs'!B41),0))</f>
        <v>0</v>
      </c>
      <c r="X197" s="9">
        <f>IF(IF(IF(ISERROR('Model inputs'!X116&lt;1),'Model inputs'!X116&lt;1,IF('Model inputs'!X116="","",'Model inputs'!X116&lt;1))="",FALSE,IF(ISERROR('Model inputs'!X116&lt;1),'Model inputs'!X116&lt;1,IF('Model inputs'!X116="","",'Model inputs'!X116&lt;1))),0,MAX('Model inputs'!X166-'Model inputs'!W166*(1-'Model inputs'!B41),0))</f>
        <v>0</v>
      </c>
      <c r="Y197" s="9">
        <f>IF(IF(IF(ISERROR('Model inputs'!Y116&lt;1),'Model inputs'!Y116&lt;1,IF('Model inputs'!Y116="","",'Model inputs'!Y116&lt;1))="",FALSE,IF(ISERROR('Model inputs'!Y116&lt;1),'Model inputs'!Y116&lt;1,IF('Model inputs'!Y116="","",'Model inputs'!Y116&lt;1))),0,MAX('Model inputs'!Y166-'Model inputs'!X166*(1-'Model inputs'!B41),0))</f>
        <v>0</v>
      </c>
      <c r="Z197" s="9">
        <f>IF(IF(IF(ISERROR('Model inputs'!Z116&lt;1),'Model inputs'!Z116&lt;1,IF('Model inputs'!Z116="","",'Model inputs'!Z116&lt;1))="",FALSE,IF(ISERROR('Model inputs'!Z116&lt;1),'Model inputs'!Z116&lt;1,IF('Model inputs'!Z116="","",'Model inputs'!Z116&lt;1))),0,MAX('Model inputs'!Z166-'Model inputs'!Y166*(1-'Model inputs'!B41),0))</f>
        <v>0</v>
      </c>
      <c r="AA197" s="9">
        <f>IF(IF(IF(ISERROR('Model inputs'!AA116&lt;1),'Model inputs'!AA116&lt;1,IF('Model inputs'!AA116="","",'Model inputs'!AA116&lt;1))="",FALSE,IF(ISERROR('Model inputs'!AA116&lt;1),'Model inputs'!AA116&lt;1,IF('Model inputs'!AA116="","",'Model inputs'!AA116&lt;1))),0,MAX('Model inputs'!AA166-'Model inputs'!Z166*(1-'Model inputs'!B41),0))</f>
        <v>0</v>
      </c>
      <c r="AB197" s="9">
        <f>IF(IF(IF(ISERROR('Model inputs'!AB116&lt;1),'Model inputs'!AB116&lt;1,IF('Model inputs'!AB116="","",'Model inputs'!AB116&lt;1))="",FALSE,IF(ISERROR('Model inputs'!AB116&lt;1),'Model inputs'!AB116&lt;1,IF('Model inputs'!AB116="","",'Model inputs'!AB116&lt;1))),0,MAX('Model inputs'!AB166-'Model inputs'!AA166*(1-'Model inputs'!B41),0))</f>
        <v>0</v>
      </c>
      <c r="AC197" s="9">
        <f>IF(IF(IF(ISERROR('Model inputs'!AC116&lt;1),'Model inputs'!AC116&lt;1,IF('Model inputs'!AC116="","",'Model inputs'!AC116&lt;1))="",FALSE,IF(ISERROR('Model inputs'!AC116&lt;1),'Model inputs'!AC116&lt;1,IF('Model inputs'!AC116="","",'Model inputs'!AC116&lt;1))),0,MAX('Model inputs'!AC166-'Model inputs'!AB166*(1-'Model inputs'!B41),0))</f>
        <v>0</v>
      </c>
      <c r="AD197" s="9">
        <f>IF(IF(IF(ISERROR('Model inputs'!AD116&lt;1),'Model inputs'!AD116&lt;1,IF('Model inputs'!AD116="","",'Model inputs'!AD116&lt;1))="",FALSE,IF(ISERROR('Model inputs'!AD116&lt;1),'Model inputs'!AD116&lt;1,IF('Model inputs'!AD116="","",'Model inputs'!AD116&lt;1))),0,MAX('Model inputs'!AD166-'Model inputs'!AC166*(1-'Model inputs'!B41),0))</f>
        <v>0</v>
      </c>
      <c r="AE197" s="9">
        <f>IF(IF(IF(ISERROR('Model inputs'!AE116&lt;1),'Model inputs'!AE116&lt;1,IF('Model inputs'!AE116="","",'Model inputs'!AE116&lt;1))="",FALSE,IF(ISERROR('Model inputs'!AE116&lt;1),'Model inputs'!AE116&lt;1,IF('Model inputs'!AE116="","",'Model inputs'!AE116&lt;1))),0,MAX('Model inputs'!AE166-'Model inputs'!AD166*(1-'Model inputs'!B41),0))</f>
        <v>0</v>
      </c>
      <c r="AF197" s="9">
        <f>IF(IF(IF(ISERROR('Model inputs'!AF116&lt;1),'Model inputs'!AF116&lt;1,IF('Model inputs'!AF116="","",'Model inputs'!AF116&lt;1))="",FALSE,IF(ISERROR('Model inputs'!AF116&lt;1),'Model inputs'!AF116&lt;1,IF('Model inputs'!AF116="","",'Model inputs'!AF116&lt;1))),0,MAX('Model inputs'!AF166-'Model inputs'!AE166*(1-'Model inputs'!B41),0))</f>
        <v>0</v>
      </c>
      <c r="AG197" s="9">
        <f>IF(IF(IF(ISERROR('Model inputs'!AG116&lt;1),'Model inputs'!AG116&lt;1,IF('Model inputs'!AG116="","",'Model inputs'!AG116&lt;1))="",FALSE,IF(ISERROR('Model inputs'!AG116&lt;1),'Model inputs'!AG116&lt;1,IF('Model inputs'!AG116="","",'Model inputs'!AG116&lt;1))),0,MAX('Model inputs'!AG166-'Model inputs'!AF166*(1-'Model inputs'!B41),0))</f>
        <v>0</v>
      </c>
    </row>
    <row r="198">
      <c r="A198" t="inlineStr" s="20">
        <is>
          <t xml:space="preserve">Overage price per kit · Overage revenue</t>
        </is>
      </c>
      <c r="B198" s="11">
        <f>2.5</f>
        <v>2.5</v>
      </c>
    </row>
    <row r="199">
      <c r="A199" t="inlineStr" s="20">
        <is>
          <t xml:space="preserve">Annual-pay share</t>
        </is>
      </c>
      <c r="C199" s="24">
        <f>IFERROR('Model inputs'!C163/'Model inputs'!C71,0)</f>
        <v>0</v>
      </c>
      <c r="D199" s="24">
        <f>IFERROR('Model inputs'!D163/'Model inputs'!D71,0)</f>
        <v>0.007263183034633478</v>
      </c>
      <c r="E199" s="24">
        <f>IFERROR('Model inputs'!E163/'Model inputs'!E71,0)</f>
        <v>0.015323508464819228</v>
      </c>
      <c r="F199" s="24">
        <f>IFERROR('Model inputs'!F163/'Model inputs'!F71,0)</f>
        <v>0.02400725503608828</v>
      </c>
      <c r="G199" s="24">
        <f>IFERROR('Model inputs'!G163/'Model inputs'!G71,0)</f>
        <v>0.033234927811073615</v>
      </c>
      <c r="H199" s="24">
        <f>IFERROR('Model inputs'!H163/'Model inputs'!H71,0)</f>
        <v>0.04295886472009173</v>
      </c>
      <c r="I199" s="24">
        <f>IFERROR('Model inputs'!I163/'Model inputs'!I71,0)</f>
        <v>0.053145012246386104</v>
      </c>
      <c r="J199" s="24">
        <f>IFERROR('Model inputs'!J163/'Model inputs'!J71,0)</f>
        <v>0.054656837336832895</v>
      </c>
      <c r="K199" s="24">
        <f>IFERROR('Model inputs'!K163/'Model inputs'!K71,0)</f>
        <v>0.05609994835252925</v>
      </c>
      <c r="L199" s="24">
        <f>IFERROR('Model inputs'!L163/'Model inputs'!L71,0)</f>
        <v>0.05747162103799837</v>
      </c>
      <c r="M199" s="24">
        <f>IFERROR('Model inputs'!M163/'Model inputs'!M71,0)</f>
        <v>0.05878006906791826</v>
      </c>
      <c r="N199" s="24">
        <f>IFERROR('Model inputs'!N163/'Model inputs'!N71,0)</f>
        <v>0.060030694059278696</v>
      </c>
      <c r="O199" s="24">
        <f>IFERROR('Model inputs'!O163/'Model inputs'!O71,0)</f>
        <v>0.06122727428308524</v>
      </c>
      <c r="P199" s="24">
        <f>IFERROR('Model inputs'!P163/'Model inputs'!P71,0)</f>
        <v>0.06237261337059296</v>
      </c>
      <c r="Q199" s="24">
        <f>IFERROR('Model inputs'!Q163/'Model inputs'!Q71,0)</f>
        <v>0.06346891347812103</v>
      </c>
      <c r="R199" s="24">
        <f>IFERROR('Model inputs'!R163/'Model inputs'!R71,0)</f>
        <v>0.06451799899827979</v>
      </c>
      <c r="S199" s="24">
        <f>IFERROR('Model inputs'!S163/'Model inputs'!S71,0)</f>
        <v>0.06552145500483654</v>
      </c>
      <c r="T199" s="24">
        <f>IFERROR('Model inputs'!T163/'Model inputs'!T71,0)</f>
        <v>0.06648071494723815</v>
      </c>
      <c r="U199" s="24">
        <f>IFERROR('Model inputs'!U163/'Model inputs'!U89,0)</f>
        <v>0</v>
      </c>
      <c r="V199" s="24">
        <f>IFERROR('Model inputs'!V163/'Model inputs'!V89,0)</f>
        <v>0</v>
      </c>
      <c r="W199" s="24">
        <f>IFERROR('Model inputs'!W163/'Model inputs'!W89,0)</f>
        <v>0</v>
      </c>
      <c r="X199" s="24">
        <f>IFERROR('Model inputs'!X163/'Model inputs'!X89,0)</f>
        <v>0</v>
      </c>
      <c r="Y199" s="24">
        <f>IFERROR('Model inputs'!Y163/'Model inputs'!Y89,0)</f>
        <v>0</v>
      </c>
      <c r="Z199" s="24">
        <f>IFERROR('Model inputs'!Z163/'Model inputs'!Z89,0)</f>
        <v>0</v>
      </c>
      <c r="AA199" s="24">
        <f>IFERROR('Model inputs'!AA163/'Model inputs'!AA89,0)</f>
        <v>0</v>
      </c>
      <c r="AB199" s="24">
        <f>IFERROR('Model inputs'!AB163/'Model inputs'!AB89,0)</f>
        <v>0</v>
      </c>
      <c r="AC199" s="24">
        <f>IFERROR('Model inputs'!AC163/'Model inputs'!AC89,0)</f>
        <v>0</v>
      </c>
      <c r="AD199" s="24">
        <f>IFERROR('Model inputs'!AD163/'Model inputs'!AD89,0)</f>
        <v>0</v>
      </c>
      <c r="AE199" s="24">
        <f>IFERROR('Model inputs'!AE163/'Model inputs'!AE89,0)</f>
        <v>0</v>
      </c>
      <c r="AF199" s="24">
        <f>IFERROR('Model inputs'!AF163/'Model inputs'!AF89,0)</f>
        <v>0</v>
      </c>
      <c r="AG199" s="24">
        <f>IFERROR('Model inputs'!AG163/'Model inputs'!AG89,0)</f>
        <v>0</v>
      </c>
    </row>
    <row r="200" outlineLevel="1">
      <c r="A200" t="inlineStr" s="21">
        <is>
          <t xml:space="preserve">Annual-pay share &gt; Indie</t>
        </is>
      </c>
      <c r="C200" s="25">
        <f>IF(IF(IF(ISERROR('Model inputs'!C37&lt;=0),'Model inputs'!C37&lt;=0,IF('Model inputs'!C37="","",'Model inputs'!C37&lt;=0))="",FALSE,IF(ISERROR('Model inputs'!C37&lt;=0),'Model inputs'!C37&lt;=0,IF('Model inputs'!C37="","",'Model inputs'!C37&lt;=0))),0,'Model inputs'!B205*MIN('Model inputs'!C37/'Model inputs'!B203,1))</f>
        <v>0</v>
      </c>
      <c r="D200" s="25">
        <f>IF(IF(IF(ISERROR('Model inputs'!D37&lt;=0),'Model inputs'!D37&lt;=0,IF('Model inputs'!D37="","",'Model inputs'!D37&lt;=0))="",FALSE,IF(ISERROR('Model inputs'!D37&lt;=0),'Model inputs'!D37&lt;=0,IF('Model inputs'!D37="","",'Model inputs'!D37&lt;=0))),0,'Model inputs'!B205*MIN('Model inputs'!D37/'Model inputs'!B203,1))</f>
        <v>0</v>
      </c>
      <c r="E200" s="25">
        <f>IF(IF(IF(ISERROR('Model inputs'!E37&lt;=0),'Model inputs'!E37&lt;=0,IF('Model inputs'!E37="","",'Model inputs'!E37&lt;=0))="",FALSE,IF(ISERROR('Model inputs'!E37&lt;=0),'Model inputs'!E37&lt;=0,IF('Model inputs'!E37="","",'Model inputs'!E37&lt;=0))),0,'Model inputs'!B205*MIN('Model inputs'!E37/'Model inputs'!B203,1))</f>
        <v>0</v>
      </c>
      <c r="F200" s="25">
        <f>IF(IF(IF(ISERROR('Model inputs'!F37&lt;=0),'Model inputs'!F37&lt;=0,IF('Model inputs'!F37="","",'Model inputs'!F37&lt;=0))="",FALSE,IF(ISERROR('Model inputs'!F37&lt;=0),'Model inputs'!F37&lt;=0,IF('Model inputs'!F37="","",'Model inputs'!F37&lt;=0))),0,'Model inputs'!B205*MIN('Model inputs'!F37/'Model inputs'!B203,1))</f>
        <v>0</v>
      </c>
      <c r="G200" s="25">
        <f>IF(IF(IF(ISERROR('Model inputs'!G37&lt;=0),'Model inputs'!G37&lt;=0,IF('Model inputs'!G37="","",'Model inputs'!G37&lt;=0))="",FALSE,IF(ISERROR('Model inputs'!G37&lt;=0),'Model inputs'!G37&lt;=0,IF('Model inputs'!G37="","",'Model inputs'!G37&lt;=0))),0,'Model inputs'!B205*MIN('Model inputs'!G37/'Model inputs'!B203,1))</f>
        <v>0</v>
      </c>
      <c r="H200" s="25">
        <f>IF(IF(IF(ISERROR('Model inputs'!H37&lt;=0),'Model inputs'!H37&lt;=0,IF('Model inputs'!H37="","",'Model inputs'!H37&lt;=0))="",FALSE,IF(ISERROR('Model inputs'!H37&lt;=0),'Model inputs'!H37&lt;=0,IF('Model inputs'!H37="","",'Model inputs'!H37&lt;=0))),0,'Model inputs'!B205*MIN('Model inputs'!H37/'Model inputs'!B203,1))</f>
        <v>0</v>
      </c>
      <c r="I200" s="25">
        <f>IF(IF(IF(ISERROR('Model inputs'!I37&lt;=0),'Model inputs'!I37&lt;=0,IF('Model inputs'!I37="","",'Model inputs'!I37&lt;=0))="",FALSE,IF(ISERROR('Model inputs'!I37&lt;=0),'Model inputs'!I37&lt;=0,IF('Model inputs'!I37="","",'Model inputs'!I37&lt;=0))),0,'Model inputs'!B205*MIN('Model inputs'!I37/'Model inputs'!B203,1))</f>
        <v>0</v>
      </c>
      <c r="J200" s="25">
        <f>IF(IF(IF(ISERROR('Model inputs'!J37&lt;=0),'Model inputs'!J37&lt;=0,IF('Model inputs'!J37="","",'Model inputs'!J37&lt;=0))="",FALSE,IF(ISERROR('Model inputs'!J37&lt;=0),'Model inputs'!J37&lt;=0,IF('Model inputs'!J37="","",'Model inputs'!J37&lt;=0))),0,'Model inputs'!B205*MIN('Model inputs'!J37/'Model inputs'!B203,1))</f>
        <v>0</v>
      </c>
      <c r="K200" s="25">
        <f>IF(IF(IF(ISERROR('Model inputs'!K37&lt;=0),'Model inputs'!K37&lt;=0,IF('Model inputs'!K37="","",'Model inputs'!K37&lt;=0))="",FALSE,IF(ISERROR('Model inputs'!K37&lt;=0),'Model inputs'!K37&lt;=0,IF('Model inputs'!K37="","",'Model inputs'!K37&lt;=0))),0,'Model inputs'!B205*MIN('Model inputs'!K37/'Model inputs'!B203,1))</f>
        <v>0</v>
      </c>
      <c r="L200" s="25">
        <f>IF(IF(IF(ISERROR('Model inputs'!L37&lt;=0),'Model inputs'!L37&lt;=0,IF('Model inputs'!L37="","",'Model inputs'!L37&lt;=0))="",FALSE,IF(ISERROR('Model inputs'!L37&lt;=0),'Model inputs'!L37&lt;=0,IF('Model inputs'!L37="","",'Model inputs'!L37&lt;=0))),0,'Model inputs'!B205*MIN('Model inputs'!L37/'Model inputs'!B203,1))</f>
        <v>0</v>
      </c>
      <c r="M200" s="25">
        <f>IF(IF(IF(ISERROR('Model inputs'!M37&lt;=0),'Model inputs'!M37&lt;=0,IF('Model inputs'!M37="","",'Model inputs'!M37&lt;=0))="",FALSE,IF(ISERROR('Model inputs'!M37&lt;=0),'Model inputs'!M37&lt;=0,IF('Model inputs'!M37="","",'Model inputs'!M37&lt;=0))),0,'Model inputs'!B205*MIN('Model inputs'!M37/'Model inputs'!B203,1))</f>
        <v>0</v>
      </c>
      <c r="N200" s="25">
        <f>IF(IF(IF(ISERROR('Model inputs'!N37&lt;=0),'Model inputs'!N37&lt;=0,IF('Model inputs'!N37="","",'Model inputs'!N37&lt;=0))="",FALSE,IF(ISERROR('Model inputs'!N37&lt;=0),'Model inputs'!N37&lt;=0,IF('Model inputs'!N37="","",'Model inputs'!N37&lt;=0))),0,'Model inputs'!B205*MIN('Model inputs'!N37/'Model inputs'!B203,1))</f>
        <v>0</v>
      </c>
      <c r="O200" s="25">
        <f>IF(IF(IF(ISERROR('Model inputs'!O37&lt;=0),'Model inputs'!O37&lt;=0,IF('Model inputs'!O37="","",'Model inputs'!O37&lt;=0))="",FALSE,IF(ISERROR('Model inputs'!O37&lt;=0),'Model inputs'!O37&lt;=0,IF('Model inputs'!O37="","",'Model inputs'!O37&lt;=0))),0,'Model inputs'!B205*MIN('Model inputs'!O37/'Model inputs'!B203,1))</f>
        <v>0</v>
      </c>
      <c r="P200" s="25">
        <f>IF(IF(IF(ISERROR('Model inputs'!P37&lt;=0),'Model inputs'!P37&lt;=0,IF('Model inputs'!P37="","",'Model inputs'!P37&lt;=0))="",FALSE,IF(ISERROR('Model inputs'!P37&lt;=0),'Model inputs'!P37&lt;=0,IF('Model inputs'!P37="","",'Model inputs'!P37&lt;=0))),0,'Model inputs'!B205*MIN('Model inputs'!P37/'Model inputs'!B203,1))</f>
        <v>0</v>
      </c>
      <c r="Q200" s="25">
        <f>IF(IF(IF(ISERROR('Model inputs'!Q37&lt;=0),'Model inputs'!Q37&lt;=0,IF('Model inputs'!Q37="","",'Model inputs'!Q37&lt;=0))="",FALSE,IF(ISERROR('Model inputs'!Q37&lt;=0),'Model inputs'!Q37&lt;=0,IF('Model inputs'!Q37="","",'Model inputs'!Q37&lt;=0))),0,'Model inputs'!B205*MIN('Model inputs'!Q37/'Model inputs'!B203,1))</f>
        <v>0</v>
      </c>
      <c r="R200" s="25">
        <f>IF(IF(IF(ISERROR('Model inputs'!R37&lt;=0),'Model inputs'!R37&lt;=0,IF('Model inputs'!R37="","",'Model inputs'!R37&lt;=0))="",FALSE,IF(ISERROR('Model inputs'!R37&lt;=0),'Model inputs'!R37&lt;=0,IF('Model inputs'!R37="","",'Model inputs'!R37&lt;=0))),0,'Model inputs'!B205*MIN('Model inputs'!R37/'Model inputs'!B203,1))</f>
        <v>0</v>
      </c>
      <c r="S200" s="25">
        <f>IF(IF(IF(ISERROR('Model inputs'!S37&lt;=0),'Model inputs'!S37&lt;=0,IF('Model inputs'!S37="","",'Model inputs'!S37&lt;=0))="",FALSE,IF(ISERROR('Model inputs'!S37&lt;=0),'Model inputs'!S37&lt;=0,IF('Model inputs'!S37="","",'Model inputs'!S37&lt;=0))),0,'Model inputs'!B205*MIN('Model inputs'!S37/'Model inputs'!B203,1))</f>
        <v>0</v>
      </c>
      <c r="T200" s="25">
        <f>IF(IF(IF(ISERROR('Model inputs'!T37&lt;=0),'Model inputs'!T37&lt;=0,IF('Model inputs'!T37="","",'Model inputs'!T37&lt;=0))="",FALSE,IF(ISERROR('Model inputs'!T37&lt;=0),'Model inputs'!T37&lt;=0,IF('Model inputs'!T37="","",'Model inputs'!T37&lt;=0))),0,'Model inputs'!B205*MIN('Model inputs'!T37/'Model inputs'!B203,1))</f>
        <v>0</v>
      </c>
      <c r="U200" s="25">
        <f>IF(IF(IF(ISERROR('Model inputs'!U116&lt;=0),'Model inputs'!U116&lt;=0,IF('Model inputs'!U116="","",'Model inputs'!U116&lt;=0))="",FALSE,IF(ISERROR('Model inputs'!U116&lt;=0),'Model inputs'!U116&lt;=0,IF('Model inputs'!U116="","",'Model inputs'!U116&lt;=0))),0,'Model inputs'!B205*MIN('Model inputs'!U116/'Model inputs'!B203,1))</f>
        <v>0</v>
      </c>
      <c r="V200" s="25">
        <f>IF(IF(IF(ISERROR('Model inputs'!V116&lt;=0),'Model inputs'!V116&lt;=0,IF('Model inputs'!V116="","",'Model inputs'!V116&lt;=0))="",FALSE,IF(ISERROR('Model inputs'!V116&lt;=0),'Model inputs'!V116&lt;=0,IF('Model inputs'!V116="","",'Model inputs'!V116&lt;=0))),0,'Model inputs'!B205*MIN('Model inputs'!V116/'Model inputs'!B203,1))</f>
        <v>0</v>
      </c>
      <c r="W200" s="25">
        <f>IF(IF(IF(ISERROR('Model inputs'!W116&lt;=0),'Model inputs'!W116&lt;=0,IF('Model inputs'!W116="","",'Model inputs'!W116&lt;=0))="",FALSE,IF(ISERROR('Model inputs'!W116&lt;=0),'Model inputs'!W116&lt;=0,IF('Model inputs'!W116="","",'Model inputs'!W116&lt;=0))),0,'Model inputs'!B205*MIN('Model inputs'!W116/'Model inputs'!B203,1))</f>
        <v>0</v>
      </c>
      <c r="X200" s="25">
        <f>IF(IF(IF(ISERROR('Model inputs'!X116&lt;=0),'Model inputs'!X116&lt;=0,IF('Model inputs'!X116="","",'Model inputs'!X116&lt;=0))="",FALSE,IF(ISERROR('Model inputs'!X116&lt;=0),'Model inputs'!X116&lt;=0,IF('Model inputs'!X116="","",'Model inputs'!X116&lt;=0))),0,'Model inputs'!B205*MIN('Model inputs'!X116/'Model inputs'!B203,1))</f>
        <v>0</v>
      </c>
      <c r="Y200" s="25">
        <f>IF(IF(IF(ISERROR('Model inputs'!Y116&lt;=0),'Model inputs'!Y116&lt;=0,IF('Model inputs'!Y116="","",'Model inputs'!Y116&lt;=0))="",FALSE,IF(ISERROR('Model inputs'!Y116&lt;=0),'Model inputs'!Y116&lt;=0,IF('Model inputs'!Y116="","",'Model inputs'!Y116&lt;=0))),0,'Model inputs'!B205*MIN('Model inputs'!Y116/'Model inputs'!B203,1))</f>
        <v>0</v>
      </c>
      <c r="Z200" s="25">
        <f>IF(IF(IF(ISERROR('Model inputs'!Z116&lt;=0),'Model inputs'!Z116&lt;=0,IF('Model inputs'!Z116="","",'Model inputs'!Z116&lt;=0))="",FALSE,IF(ISERROR('Model inputs'!Z116&lt;=0),'Model inputs'!Z116&lt;=0,IF('Model inputs'!Z116="","",'Model inputs'!Z116&lt;=0))),0,'Model inputs'!B205*MIN('Model inputs'!Z116/'Model inputs'!B203,1))</f>
        <v>0</v>
      </c>
      <c r="AA200" s="25">
        <f>IF(IF(IF(ISERROR('Model inputs'!AA116&lt;=0),'Model inputs'!AA116&lt;=0,IF('Model inputs'!AA116="","",'Model inputs'!AA116&lt;=0))="",FALSE,IF(ISERROR('Model inputs'!AA116&lt;=0),'Model inputs'!AA116&lt;=0,IF('Model inputs'!AA116="","",'Model inputs'!AA116&lt;=0))),0,'Model inputs'!B205*MIN('Model inputs'!AA116/'Model inputs'!B203,1))</f>
        <v>0</v>
      </c>
      <c r="AB200" s="25">
        <f>IF(IF(IF(ISERROR('Model inputs'!AB116&lt;=0),'Model inputs'!AB116&lt;=0,IF('Model inputs'!AB116="","",'Model inputs'!AB116&lt;=0))="",FALSE,IF(ISERROR('Model inputs'!AB116&lt;=0),'Model inputs'!AB116&lt;=0,IF('Model inputs'!AB116="","",'Model inputs'!AB116&lt;=0))),0,'Model inputs'!B205*MIN('Model inputs'!AB116/'Model inputs'!B203,1))</f>
        <v>0</v>
      </c>
      <c r="AC200" s="25">
        <f>IF(IF(IF(ISERROR('Model inputs'!AC116&lt;=0),'Model inputs'!AC116&lt;=0,IF('Model inputs'!AC116="","",'Model inputs'!AC116&lt;=0))="",FALSE,IF(ISERROR('Model inputs'!AC116&lt;=0),'Model inputs'!AC116&lt;=0,IF('Model inputs'!AC116="","",'Model inputs'!AC116&lt;=0))),0,'Model inputs'!B205*MIN('Model inputs'!AC116/'Model inputs'!B203,1))</f>
        <v>0</v>
      </c>
      <c r="AD200" s="25">
        <f>IF(IF(IF(ISERROR('Model inputs'!AD116&lt;=0),'Model inputs'!AD116&lt;=0,IF('Model inputs'!AD116="","",'Model inputs'!AD116&lt;=0))="",FALSE,IF(ISERROR('Model inputs'!AD116&lt;=0),'Model inputs'!AD116&lt;=0,IF('Model inputs'!AD116="","",'Model inputs'!AD116&lt;=0))),0,'Model inputs'!B205*MIN('Model inputs'!AD116/'Model inputs'!B203,1))</f>
        <v>0</v>
      </c>
      <c r="AE200" s="25">
        <f>IF(IF(IF(ISERROR('Model inputs'!AE116&lt;=0),'Model inputs'!AE116&lt;=0,IF('Model inputs'!AE116="","",'Model inputs'!AE116&lt;=0))="",FALSE,IF(ISERROR('Model inputs'!AE116&lt;=0),'Model inputs'!AE116&lt;=0,IF('Model inputs'!AE116="","",'Model inputs'!AE116&lt;=0))),0,'Model inputs'!B205*MIN('Model inputs'!AE116/'Model inputs'!B203,1))</f>
        <v>0</v>
      </c>
      <c r="AF200" s="25">
        <f>IF(IF(IF(ISERROR('Model inputs'!AF116&lt;=0),'Model inputs'!AF116&lt;=0,IF('Model inputs'!AF116="","",'Model inputs'!AF116&lt;=0))="",FALSE,IF(ISERROR('Model inputs'!AF116&lt;=0),'Model inputs'!AF116&lt;=0,IF('Model inputs'!AF116="","",'Model inputs'!AF116&lt;=0))),0,'Model inputs'!B205*MIN('Model inputs'!AF116/'Model inputs'!B203,1))</f>
        <v>0</v>
      </c>
      <c r="AG200" s="25">
        <f>IF(IF(IF(ISERROR('Model inputs'!AG116&lt;=0),'Model inputs'!AG116&lt;=0,IF('Model inputs'!AG116="","",'Model inputs'!AG116&lt;=0))="",FALSE,IF(ISERROR('Model inputs'!AG116&lt;=0),'Model inputs'!AG116&lt;=0,IF('Model inputs'!AG116="","",'Model inputs'!AG116&lt;=0))),0,'Model inputs'!B205*MIN('Model inputs'!AG116/'Model inputs'!B203,1))</f>
        <v>0</v>
      </c>
    </row>
    <row r="201" outlineLevel="1">
      <c r="A201" t="inlineStr" s="21">
        <is>
          <t xml:space="preserve">Annual-pay share &gt; Launch</t>
        </is>
      </c>
      <c r="C201" s="25">
        <f>IF(IF(IF(ISERROR('Model inputs'!C37&lt;=0),'Model inputs'!C37&lt;=0,IF('Model inputs'!C37="","",'Model inputs'!C37&lt;=0))="",FALSE,IF(ISERROR('Model inputs'!C37&lt;=0),'Model inputs'!C37&lt;=0,IF('Model inputs'!C37="","",'Model inputs'!C37&lt;=0))),0,'Model inputs'!B206*MIN('Model inputs'!C37/'Model inputs'!B203,1))</f>
        <v>0</v>
      </c>
      <c r="D201" s="25">
        <f>IF(IF(IF(ISERROR('Model inputs'!D37&lt;=0),'Model inputs'!D37&lt;=0,IF('Model inputs'!D37="","",'Model inputs'!D37&lt;=0))="",FALSE,IF(ISERROR('Model inputs'!D37&lt;=0),'Model inputs'!D37&lt;=0,IF('Model inputs'!D37="","",'Model inputs'!D37&lt;=0))),0,'Model inputs'!B206*MIN('Model inputs'!D37/'Model inputs'!B203,1))</f>
        <v>0.05833333333333333</v>
      </c>
      <c r="E201" s="25">
        <f>IF(IF(IF(ISERROR('Model inputs'!E37&lt;=0),'Model inputs'!E37&lt;=0,IF('Model inputs'!E37="","",'Model inputs'!E37&lt;=0))="",FALSE,IF(ISERROR('Model inputs'!E37&lt;=0),'Model inputs'!E37&lt;=0,IF('Model inputs'!E37="","",'Model inputs'!E37&lt;=0))),0,'Model inputs'!B206*MIN('Model inputs'!E37/'Model inputs'!B203,1))</f>
        <v>0.11666666666666665</v>
      </c>
      <c r="F201" s="25">
        <f>IF(IF(IF(ISERROR('Model inputs'!F37&lt;=0),'Model inputs'!F37&lt;=0,IF('Model inputs'!F37="","",'Model inputs'!F37&lt;=0))="",FALSE,IF(ISERROR('Model inputs'!F37&lt;=0),'Model inputs'!F37&lt;=0,IF('Model inputs'!F37="","",'Model inputs'!F37&lt;=0))),0,'Model inputs'!B206*MIN('Model inputs'!F37/'Model inputs'!B203,1))</f>
        <v>0.175</v>
      </c>
      <c r="G201" s="25">
        <f>IF(IF(IF(ISERROR('Model inputs'!G37&lt;=0),'Model inputs'!G37&lt;=0,IF('Model inputs'!G37="","",'Model inputs'!G37&lt;=0))="",FALSE,IF(ISERROR('Model inputs'!G37&lt;=0),'Model inputs'!G37&lt;=0,IF('Model inputs'!G37="","",'Model inputs'!G37&lt;=0))),0,'Model inputs'!B206*MIN('Model inputs'!G37/'Model inputs'!B203,1))</f>
        <v>0.2333333333333333</v>
      </c>
      <c r="H201" s="25">
        <f>IF(IF(IF(ISERROR('Model inputs'!H37&lt;=0),'Model inputs'!H37&lt;=0,IF('Model inputs'!H37="","",'Model inputs'!H37&lt;=0))="",FALSE,IF(ISERROR('Model inputs'!H37&lt;=0),'Model inputs'!H37&lt;=0,IF('Model inputs'!H37="","",'Model inputs'!H37&lt;=0))),0,'Model inputs'!B206*MIN('Model inputs'!H37/'Model inputs'!B203,1))</f>
        <v>0.2916666666666667</v>
      </c>
      <c r="I201" s="25">
        <f>IF(IF(IF(ISERROR('Model inputs'!I37&lt;=0),'Model inputs'!I37&lt;=0,IF('Model inputs'!I37="","",'Model inputs'!I37&lt;=0))="",FALSE,IF(ISERROR('Model inputs'!I37&lt;=0),'Model inputs'!I37&lt;=0,IF('Model inputs'!I37="","",'Model inputs'!I37&lt;=0))),0,'Model inputs'!B206*MIN('Model inputs'!I37/'Model inputs'!B203,1))</f>
        <v>0.35</v>
      </c>
      <c r="J201" s="25">
        <f>IF(IF(IF(ISERROR('Model inputs'!J37&lt;=0),'Model inputs'!J37&lt;=0,IF('Model inputs'!J37="","",'Model inputs'!J37&lt;=0))="",FALSE,IF(ISERROR('Model inputs'!J37&lt;=0),'Model inputs'!J37&lt;=0,IF('Model inputs'!J37="","",'Model inputs'!J37&lt;=0))),0,'Model inputs'!B206*MIN('Model inputs'!J37/'Model inputs'!B203,1))</f>
        <v>0.35</v>
      </c>
      <c r="K201" s="25">
        <f>IF(IF(IF(ISERROR('Model inputs'!K37&lt;=0),'Model inputs'!K37&lt;=0,IF('Model inputs'!K37="","",'Model inputs'!K37&lt;=0))="",FALSE,IF(ISERROR('Model inputs'!K37&lt;=0),'Model inputs'!K37&lt;=0,IF('Model inputs'!K37="","",'Model inputs'!K37&lt;=0))),0,'Model inputs'!B206*MIN('Model inputs'!K37/'Model inputs'!B203,1))</f>
        <v>0.35</v>
      </c>
      <c r="L201" s="25">
        <f>IF(IF(IF(ISERROR('Model inputs'!L37&lt;=0),'Model inputs'!L37&lt;=0,IF('Model inputs'!L37="","",'Model inputs'!L37&lt;=0))="",FALSE,IF(ISERROR('Model inputs'!L37&lt;=0),'Model inputs'!L37&lt;=0,IF('Model inputs'!L37="","",'Model inputs'!L37&lt;=0))),0,'Model inputs'!B206*MIN('Model inputs'!L37/'Model inputs'!B203,1))</f>
        <v>0.35</v>
      </c>
      <c r="M201" s="25">
        <f>IF(IF(IF(ISERROR('Model inputs'!M37&lt;=0),'Model inputs'!M37&lt;=0,IF('Model inputs'!M37="","",'Model inputs'!M37&lt;=0))="",FALSE,IF(ISERROR('Model inputs'!M37&lt;=0),'Model inputs'!M37&lt;=0,IF('Model inputs'!M37="","",'Model inputs'!M37&lt;=0))),0,'Model inputs'!B206*MIN('Model inputs'!M37/'Model inputs'!B203,1))</f>
        <v>0.35</v>
      </c>
      <c r="N201" s="25">
        <f>IF(IF(IF(ISERROR('Model inputs'!N37&lt;=0),'Model inputs'!N37&lt;=0,IF('Model inputs'!N37="","",'Model inputs'!N37&lt;=0))="",FALSE,IF(ISERROR('Model inputs'!N37&lt;=0),'Model inputs'!N37&lt;=0,IF('Model inputs'!N37="","",'Model inputs'!N37&lt;=0))),0,'Model inputs'!B206*MIN('Model inputs'!N37/'Model inputs'!B203,1))</f>
        <v>0.35</v>
      </c>
      <c r="O201" s="25">
        <f>IF(IF(IF(ISERROR('Model inputs'!O37&lt;=0),'Model inputs'!O37&lt;=0,IF('Model inputs'!O37="","",'Model inputs'!O37&lt;=0))="",FALSE,IF(ISERROR('Model inputs'!O37&lt;=0),'Model inputs'!O37&lt;=0,IF('Model inputs'!O37="","",'Model inputs'!O37&lt;=0))),0,'Model inputs'!B206*MIN('Model inputs'!O37/'Model inputs'!B203,1))</f>
        <v>0.35</v>
      </c>
      <c r="P201" s="25">
        <f>IF(IF(IF(ISERROR('Model inputs'!P37&lt;=0),'Model inputs'!P37&lt;=0,IF('Model inputs'!P37="","",'Model inputs'!P37&lt;=0))="",FALSE,IF(ISERROR('Model inputs'!P37&lt;=0),'Model inputs'!P37&lt;=0,IF('Model inputs'!P37="","",'Model inputs'!P37&lt;=0))),0,'Model inputs'!B206*MIN('Model inputs'!P37/'Model inputs'!B203,1))</f>
        <v>0.35</v>
      </c>
      <c r="Q201" s="25">
        <f>IF(IF(IF(ISERROR('Model inputs'!Q37&lt;=0),'Model inputs'!Q37&lt;=0,IF('Model inputs'!Q37="","",'Model inputs'!Q37&lt;=0))="",FALSE,IF(ISERROR('Model inputs'!Q37&lt;=0),'Model inputs'!Q37&lt;=0,IF('Model inputs'!Q37="","",'Model inputs'!Q37&lt;=0))),0,'Model inputs'!B206*MIN('Model inputs'!Q37/'Model inputs'!B203,1))</f>
        <v>0.35</v>
      </c>
      <c r="R201" s="25">
        <f>IF(IF(IF(ISERROR('Model inputs'!R37&lt;=0),'Model inputs'!R37&lt;=0,IF('Model inputs'!R37="","",'Model inputs'!R37&lt;=0))="",FALSE,IF(ISERROR('Model inputs'!R37&lt;=0),'Model inputs'!R37&lt;=0,IF('Model inputs'!R37="","",'Model inputs'!R37&lt;=0))),0,'Model inputs'!B206*MIN('Model inputs'!R37/'Model inputs'!B203,1))</f>
        <v>0.35</v>
      </c>
      <c r="S201" s="25">
        <f>IF(IF(IF(ISERROR('Model inputs'!S37&lt;=0),'Model inputs'!S37&lt;=0,IF('Model inputs'!S37="","",'Model inputs'!S37&lt;=0))="",FALSE,IF(ISERROR('Model inputs'!S37&lt;=0),'Model inputs'!S37&lt;=0,IF('Model inputs'!S37="","",'Model inputs'!S37&lt;=0))),0,'Model inputs'!B206*MIN('Model inputs'!S37/'Model inputs'!B203,1))</f>
        <v>0.35</v>
      </c>
      <c r="T201" s="25">
        <f>IF(IF(IF(ISERROR('Model inputs'!T37&lt;=0),'Model inputs'!T37&lt;=0,IF('Model inputs'!T37="","",'Model inputs'!T37&lt;=0))="",FALSE,IF(ISERROR('Model inputs'!T37&lt;=0),'Model inputs'!T37&lt;=0,IF('Model inputs'!T37="","",'Model inputs'!T37&lt;=0))),0,'Model inputs'!B206*MIN('Model inputs'!T37/'Model inputs'!B203,1))</f>
        <v>0.35</v>
      </c>
      <c r="U201" s="25">
        <f>IF(IF(IF(ISERROR('Model inputs'!U116&lt;=0),'Model inputs'!U116&lt;=0,IF('Model inputs'!U116="","",'Model inputs'!U116&lt;=0))="",FALSE,IF(ISERROR('Model inputs'!U116&lt;=0),'Model inputs'!U116&lt;=0,IF('Model inputs'!U116="","",'Model inputs'!U116&lt;=0))),0,'Model inputs'!B206*MIN('Model inputs'!U116/'Model inputs'!B203,1))</f>
        <v>0</v>
      </c>
      <c r="V201" s="25">
        <f>IF(IF(IF(ISERROR('Model inputs'!V116&lt;=0),'Model inputs'!V116&lt;=0,IF('Model inputs'!V116="","",'Model inputs'!V116&lt;=0))="",FALSE,IF(ISERROR('Model inputs'!V116&lt;=0),'Model inputs'!V116&lt;=0,IF('Model inputs'!V116="","",'Model inputs'!V116&lt;=0))),0,'Model inputs'!B206*MIN('Model inputs'!V116/'Model inputs'!B203,1))</f>
        <v>0</v>
      </c>
      <c r="W201" s="25">
        <f>IF(IF(IF(ISERROR('Model inputs'!W116&lt;=0),'Model inputs'!W116&lt;=0,IF('Model inputs'!W116="","",'Model inputs'!W116&lt;=0))="",FALSE,IF(ISERROR('Model inputs'!W116&lt;=0),'Model inputs'!W116&lt;=0,IF('Model inputs'!W116="","",'Model inputs'!W116&lt;=0))),0,'Model inputs'!B206*MIN('Model inputs'!W116/'Model inputs'!B203,1))</f>
        <v>0</v>
      </c>
      <c r="X201" s="25">
        <f>IF(IF(IF(ISERROR('Model inputs'!X116&lt;=0),'Model inputs'!X116&lt;=0,IF('Model inputs'!X116="","",'Model inputs'!X116&lt;=0))="",FALSE,IF(ISERROR('Model inputs'!X116&lt;=0),'Model inputs'!X116&lt;=0,IF('Model inputs'!X116="","",'Model inputs'!X116&lt;=0))),0,'Model inputs'!B206*MIN('Model inputs'!X116/'Model inputs'!B203,1))</f>
        <v>0</v>
      </c>
      <c r="Y201" s="25">
        <f>IF(IF(IF(ISERROR('Model inputs'!Y116&lt;=0),'Model inputs'!Y116&lt;=0,IF('Model inputs'!Y116="","",'Model inputs'!Y116&lt;=0))="",FALSE,IF(ISERROR('Model inputs'!Y116&lt;=0),'Model inputs'!Y116&lt;=0,IF('Model inputs'!Y116="","",'Model inputs'!Y116&lt;=0))),0,'Model inputs'!B206*MIN('Model inputs'!Y116/'Model inputs'!B203,1))</f>
        <v>0</v>
      </c>
      <c r="Z201" s="25">
        <f>IF(IF(IF(ISERROR('Model inputs'!Z116&lt;=0),'Model inputs'!Z116&lt;=0,IF('Model inputs'!Z116="","",'Model inputs'!Z116&lt;=0))="",FALSE,IF(ISERROR('Model inputs'!Z116&lt;=0),'Model inputs'!Z116&lt;=0,IF('Model inputs'!Z116="","",'Model inputs'!Z116&lt;=0))),0,'Model inputs'!B206*MIN('Model inputs'!Z116/'Model inputs'!B203,1))</f>
        <v>0</v>
      </c>
      <c r="AA201" s="25">
        <f>IF(IF(IF(ISERROR('Model inputs'!AA116&lt;=0),'Model inputs'!AA116&lt;=0,IF('Model inputs'!AA116="","",'Model inputs'!AA116&lt;=0))="",FALSE,IF(ISERROR('Model inputs'!AA116&lt;=0),'Model inputs'!AA116&lt;=0,IF('Model inputs'!AA116="","",'Model inputs'!AA116&lt;=0))),0,'Model inputs'!B206*MIN('Model inputs'!AA116/'Model inputs'!B203,1))</f>
        <v>0</v>
      </c>
      <c r="AB201" s="25">
        <f>IF(IF(IF(ISERROR('Model inputs'!AB116&lt;=0),'Model inputs'!AB116&lt;=0,IF('Model inputs'!AB116="","",'Model inputs'!AB116&lt;=0))="",FALSE,IF(ISERROR('Model inputs'!AB116&lt;=0),'Model inputs'!AB116&lt;=0,IF('Model inputs'!AB116="","",'Model inputs'!AB116&lt;=0))),0,'Model inputs'!B206*MIN('Model inputs'!AB116/'Model inputs'!B203,1))</f>
        <v>0</v>
      </c>
      <c r="AC201" s="25">
        <f>IF(IF(IF(ISERROR('Model inputs'!AC116&lt;=0),'Model inputs'!AC116&lt;=0,IF('Model inputs'!AC116="","",'Model inputs'!AC116&lt;=0))="",FALSE,IF(ISERROR('Model inputs'!AC116&lt;=0),'Model inputs'!AC116&lt;=0,IF('Model inputs'!AC116="","",'Model inputs'!AC116&lt;=0))),0,'Model inputs'!B206*MIN('Model inputs'!AC116/'Model inputs'!B203,1))</f>
        <v>0</v>
      </c>
      <c r="AD201" s="25">
        <f>IF(IF(IF(ISERROR('Model inputs'!AD116&lt;=0),'Model inputs'!AD116&lt;=0,IF('Model inputs'!AD116="","",'Model inputs'!AD116&lt;=0))="",FALSE,IF(ISERROR('Model inputs'!AD116&lt;=0),'Model inputs'!AD116&lt;=0,IF('Model inputs'!AD116="","",'Model inputs'!AD116&lt;=0))),0,'Model inputs'!B206*MIN('Model inputs'!AD116/'Model inputs'!B203,1))</f>
        <v>0</v>
      </c>
      <c r="AE201" s="25">
        <f>IF(IF(IF(ISERROR('Model inputs'!AE116&lt;=0),'Model inputs'!AE116&lt;=0,IF('Model inputs'!AE116="","",'Model inputs'!AE116&lt;=0))="",FALSE,IF(ISERROR('Model inputs'!AE116&lt;=0),'Model inputs'!AE116&lt;=0,IF('Model inputs'!AE116="","",'Model inputs'!AE116&lt;=0))),0,'Model inputs'!B206*MIN('Model inputs'!AE116/'Model inputs'!B203,1))</f>
        <v>0</v>
      </c>
      <c r="AF201" s="25">
        <f>IF(IF(IF(ISERROR('Model inputs'!AF116&lt;=0),'Model inputs'!AF116&lt;=0,IF('Model inputs'!AF116="","",'Model inputs'!AF116&lt;=0))="",FALSE,IF(ISERROR('Model inputs'!AF116&lt;=0),'Model inputs'!AF116&lt;=0,IF('Model inputs'!AF116="","",'Model inputs'!AF116&lt;=0))),0,'Model inputs'!B206*MIN('Model inputs'!AF116/'Model inputs'!B203,1))</f>
        <v>0</v>
      </c>
      <c r="AG201" s="25">
        <f>IF(IF(IF(ISERROR('Model inputs'!AG116&lt;=0),'Model inputs'!AG116&lt;=0,IF('Model inputs'!AG116="","",'Model inputs'!AG116&lt;=0))="",FALSE,IF(ISERROR('Model inputs'!AG116&lt;=0),'Model inputs'!AG116&lt;=0,IF('Model inputs'!AG116="","",'Model inputs'!AG116&lt;=0))),0,'Model inputs'!B206*MIN('Model inputs'!AG116/'Model inputs'!B203,1))</f>
        <v>0</v>
      </c>
    </row>
    <row r="202" outlineLevel="1">
      <c r="A202" t="inlineStr" s="21">
        <is>
          <t xml:space="preserve">Annual-pay share &gt; Team</t>
        </is>
      </c>
      <c r="C202" s="25">
        <f>IF(IF(IF(ISERROR('Model inputs'!C37&lt;=0),'Model inputs'!C37&lt;=0,IF('Model inputs'!C37="","",'Model inputs'!C37&lt;=0))="",FALSE,IF(ISERROR('Model inputs'!C37&lt;=0),'Model inputs'!C37&lt;=0,IF('Model inputs'!C37="","",'Model inputs'!C37&lt;=0))),0,'Model inputs'!B207*MIN('Model inputs'!C37/'Model inputs'!B203,1))</f>
        <v>0</v>
      </c>
      <c r="D202" s="25">
        <f>IF(IF(IF(ISERROR('Model inputs'!D37&lt;=0),'Model inputs'!D37&lt;=0,IF('Model inputs'!D37="","",'Model inputs'!D37&lt;=0))="",FALSE,IF(ISERROR('Model inputs'!D37&lt;=0),'Model inputs'!D37&lt;=0,IF('Model inputs'!D37="","",'Model inputs'!D37&lt;=0))),0,'Model inputs'!B207*MIN('Model inputs'!D37/'Model inputs'!B203,1))</f>
        <v>0.05833333333333333</v>
      </c>
      <c r="E202" s="25">
        <f>IF(IF(IF(ISERROR('Model inputs'!E37&lt;=0),'Model inputs'!E37&lt;=0,IF('Model inputs'!E37="","",'Model inputs'!E37&lt;=0))="",FALSE,IF(ISERROR('Model inputs'!E37&lt;=0),'Model inputs'!E37&lt;=0,IF('Model inputs'!E37="","",'Model inputs'!E37&lt;=0))),0,'Model inputs'!B207*MIN('Model inputs'!E37/'Model inputs'!B203,1))</f>
        <v>0.11666666666666665</v>
      </c>
      <c r="F202" s="25">
        <f>IF(IF(IF(ISERROR('Model inputs'!F37&lt;=0),'Model inputs'!F37&lt;=0,IF('Model inputs'!F37="","",'Model inputs'!F37&lt;=0))="",FALSE,IF(ISERROR('Model inputs'!F37&lt;=0),'Model inputs'!F37&lt;=0,IF('Model inputs'!F37="","",'Model inputs'!F37&lt;=0))),0,'Model inputs'!B207*MIN('Model inputs'!F37/'Model inputs'!B203,1))</f>
        <v>0.175</v>
      </c>
      <c r="G202" s="25">
        <f>IF(IF(IF(ISERROR('Model inputs'!G37&lt;=0),'Model inputs'!G37&lt;=0,IF('Model inputs'!G37="","",'Model inputs'!G37&lt;=0))="",FALSE,IF(ISERROR('Model inputs'!G37&lt;=0),'Model inputs'!G37&lt;=0,IF('Model inputs'!G37="","",'Model inputs'!G37&lt;=0))),0,'Model inputs'!B207*MIN('Model inputs'!G37/'Model inputs'!B203,1))</f>
        <v>0.2333333333333333</v>
      </c>
      <c r="H202" s="25">
        <f>IF(IF(IF(ISERROR('Model inputs'!H37&lt;=0),'Model inputs'!H37&lt;=0,IF('Model inputs'!H37="","",'Model inputs'!H37&lt;=0))="",FALSE,IF(ISERROR('Model inputs'!H37&lt;=0),'Model inputs'!H37&lt;=0,IF('Model inputs'!H37="","",'Model inputs'!H37&lt;=0))),0,'Model inputs'!B207*MIN('Model inputs'!H37/'Model inputs'!B203,1))</f>
        <v>0.2916666666666667</v>
      </c>
      <c r="I202" s="25">
        <f>IF(IF(IF(ISERROR('Model inputs'!I37&lt;=0),'Model inputs'!I37&lt;=0,IF('Model inputs'!I37="","",'Model inputs'!I37&lt;=0))="",FALSE,IF(ISERROR('Model inputs'!I37&lt;=0),'Model inputs'!I37&lt;=0,IF('Model inputs'!I37="","",'Model inputs'!I37&lt;=0))),0,'Model inputs'!B207*MIN('Model inputs'!I37/'Model inputs'!B203,1))</f>
        <v>0.35</v>
      </c>
      <c r="J202" s="25">
        <f>IF(IF(IF(ISERROR('Model inputs'!J37&lt;=0),'Model inputs'!J37&lt;=0,IF('Model inputs'!J37="","",'Model inputs'!J37&lt;=0))="",FALSE,IF(ISERROR('Model inputs'!J37&lt;=0),'Model inputs'!J37&lt;=0,IF('Model inputs'!J37="","",'Model inputs'!J37&lt;=0))),0,'Model inputs'!B207*MIN('Model inputs'!J37/'Model inputs'!B203,1))</f>
        <v>0.35</v>
      </c>
      <c r="K202" s="25">
        <f>IF(IF(IF(ISERROR('Model inputs'!K37&lt;=0),'Model inputs'!K37&lt;=0,IF('Model inputs'!K37="","",'Model inputs'!K37&lt;=0))="",FALSE,IF(ISERROR('Model inputs'!K37&lt;=0),'Model inputs'!K37&lt;=0,IF('Model inputs'!K37="","",'Model inputs'!K37&lt;=0))),0,'Model inputs'!B207*MIN('Model inputs'!K37/'Model inputs'!B203,1))</f>
        <v>0.35</v>
      </c>
      <c r="L202" s="25">
        <f>IF(IF(IF(ISERROR('Model inputs'!L37&lt;=0),'Model inputs'!L37&lt;=0,IF('Model inputs'!L37="","",'Model inputs'!L37&lt;=0))="",FALSE,IF(ISERROR('Model inputs'!L37&lt;=0),'Model inputs'!L37&lt;=0,IF('Model inputs'!L37="","",'Model inputs'!L37&lt;=0))),0,'Model inputs'!B207*MIN('Model inputs'!L37/'Model inputs'!B203,1))</f>
        <v>0.35</v>
      </c>
      <c r="M202" s="25">
        <f>IF(IF(IF(ISERROR('Model inputs'!M37&lt;=0),'Model inputs'!M37&lt;=0,IF('Model inputs'!M37="","",'Model inputs'!M37&lt;=0))="",FALSE,IF(ISERROR('Model inputs'!M37&lt;=0),'Model inputs'!M37&lt;=0,IF('Model inputs'!M37="","",'Model inputs'!M37&lt;=0))),0,'Model inputs'!B207*MIN('Model inputs'!M37/'Model inputs'!B203,1))</f>
        <v>0.35</v>
      </c>
      <c r="N202" s="25">
        <f>IF(IF(IF(ISERROR('Model inputs'!N37&lt;=0),'Model inputs'!N37&lt;=0,IF('Model inputs'!N37="","",'Model inputs'!N37&lt;=0))="",FALSE,IF(ISERROR('Model inputs'!N37&lt;=0),'Model inputs'!N37&lt;=0,IF('Model inputs'!N37="","",'Model inputs'!N37&lt;=0))),0,'Model inputs'!B207*MIN('Model inputs'!N37/'Model inputs'!B203,1))</f>
        <v>0.35</v>
      </c>
      <c r="O202" s="25">
        <f>IF(IF(IF(ISERROR('Model inputs'!O37&lt;=0),'Model inputs'!O37&lt;=0,IF('Model inputs'!O37="","",'Model inputs'!O37&lt;=0))="",FALSE,IF(ISERROR('Model inputs'!O37&lt;=0),'Model inputs'!O37&lt;=0,IF('Model inputs'!O37="","",'Model inputs'!O37&lt;=0))),0,'Model inputs'!B207*MIN('Model inputs'!O37/'Model inputs'!B203,1))</f>
        <v>0.35</v>
      </c>
      <c r="P202" s="25">
        <f>IF(IF(IF(ISERROR('Model inputs'!P37&lt;=0),'Model inputs'!P37&lt;=0,IF('Model inputs'!P37="","",'Model inputs'!P37&lt;=0))="",FALSE,IF(ISERROR('Model inputs'!P37&lt;=0),'Model inputs'!P37&lt;=0,IF('Model inputs'!P37="","",'Model inputs'!P37&lt;=0))),0,'Model inputs'!B207*MIN('Model inputs'!P37/'Model inputs'!B203,1))</f>
        <v>0.35</v>
      </c>
      <c r="Q202" s="25">
        <f>IF(IF(IF(ISERROR('Model inputs'!Q37&lt;=0),'Model inputs'!Q37&lt;=0,IF('Model inputs'!Q37="","",'Model inputs'!Q37&lt;=0))="",FALSE,IF(ISERROR('Model inputs'!Q37&lt;=0),'Model inputs'!Q37&lt;=0,IF('Model inputs'!Q37="","",'Model inputs'!Q37&lt;=0))),0,'Model inputs'!B207*MIN('Model inputs'!Q37/'Model inputs'!B203,1))</f>
        <v>0.35</v>
      </c>
      <c r="R202" s="25">
        <f>IF(IF(IF(ISERROR('Model inputs'!R37&lt;=0),'Model inputs'!R37&lt;=0,IF('Model inputs'!R37="","",'Model inputs'!R37&lt;=0))="",FALSE,IF(ISERROR('Model inputs'!R37&lt;=0),'Model inputs'!R37&lt;=0,IF('Model inputs'!R37="","",'Model inputs'!R37&lt;=0))),0,'Model inputs'!B207*MIN('Model inputs'!R37/'Model inputs'!B203,1))</f>
        <v>0.35</v>
      </c>
      <c r="S202" s="25">
        <f>IF(IF(IF(ISERROR('Model inputs'!S37&lt;=0),'Model inputs'!S37&lt;=0,IF('Model inputs'!S37="","",'Model inputs'!S37&lt;=0))="",FALSE,IF(ISERROR('Model inputs'!S37&lt;=0),'Model inputs'!S37&lt;=0,IF('Model inputs'!S37="","",'Model inputs'!S37&lt;=0))),0,'Model inputs'!B207*MIN('Model inputs'!S37/'Model inputs'!B203,1))</f>
        <v>0.35</v>
      </c>
      <c r="T202" s="25">
        <f>IF(IF(IF(ISERROR('Model inputs'!T37&lt;=0),'Model inputs'!T37&lt;=0,IF('Model inputs'!T37="","",'Model inputs'!T37&lt;=0))="",FALSE,IF(ISERROR('Model inputs'!T37&lt;=0),'Model inputs'!T37&lt;=0,IF('Model inputs'!T37="","",'Model inputs'!T37&lt;=0))),0,'Model inputs'!B207*MIN('Model inputs'!T37/'Model inputs'!B203,1))</f>
        <v>0.35</v>
      </c>
      <c r="U202" s="25">
        <f>IF(IF(IF(ISERROR('Model inputs'!U116&lt;=0),'Model inputs'!U116&lt;=0,IF('Model inputs'!U116="","",'Model inputs'!U116&lt;=0))="",FALSE,IF(ISERROR('Model inputs'!U116&lt;=0),'Model inputs'!U116&lt;=0,IF('Model inputs'!U116="","",'Model inputs'!U116&lt;=0))),0,'Model inputs'!B207*MIN('Model inputs'!U116/'Model inputs'!B203,1))</f>
        <v>0</v>
      </c>
      <c r="V202" s="25">
        <f>IF(IF(IF(ISERROR('Model inputs'!V116&lt;=0),'Model inputs'!V116&lt;=0,IF('Model inputs'!V116="","",'Model inputs'!V116&lt;=0))="",FALSE,IF(ISERROR('Model inputs'!V116&lt;=0),'Model inputs'!V116&lt;=0,IF('Model inputs'!V116="","",'Model inputs'!V116&lt;=0))),0,'Model inputs'!B207*MIN('Model inputs'!V116/'Model inputs'!B203,1))</f>
        <v>0</v>
      </c>
      <c r="W202" s="25">
        <f>IF(IF(IF(ISERROR('Model inputs'!W116&lt;=0),'Model inputs'!W116&lt;=0,IF('Model inputs'!W116="","",'Model inputs'!W116&lt;=0))="",FALSE,IF(ISERROR('Model inputs'!W116&lt;=0),'Model inputs'!W116&lt;=0,IF('Model inputs'!W116="","",'Model inputs'!W116&lt;=0))),0,'Model inputs'!B207*MIN('Model inputs'!W116/'Model inputs'!B203,1))</f>
        <v>0</v>
      </c>
      <c r="X202" s="25">
        <f>IF(IF(IF(ISERROR('Model inputs'!X116&lt;=0),'Model inputs'!X116&lt;=0,IF('Model inputs'!X116="","",'Model inputs'!X116&lt;=0))="",FALSE,IF(ISERROR('Model inputs'!X116&lt;=0),'Model inputs'!X116&lt;=0,IF('Model inputs'!X116="","",'Model inputs'!X116&lt;=0))),0,'Model inputs'!B207*MIN('Model inputs'!X116/'Model inputs'!B203,1))</f>
        <v>0</v>
      </c>
      <c r="Y202" s="25">
        <f>IF(IF(IF(ISERROR('Model inputs'!Y116&lt;=0),'Model inputs'!Y116&lt;=0,IF('Model inputs'!Y116="","",'Model inputs'!Y116&lt;=0))="",FALSE,IF(ISERROR('Model inputs'!Y116&lt;=0),'Model inputs'!Y116&lt;=0,IF('Model inputs'!Y116="","",'Model inputs'!Y116&lt;=0))),0,'Model inputs'!B207*MIN('Model inputs'!Y116/'Model inputs'!B203,1))</f>
        <v>0</v>
      </c>
      <c r="Z202" s="25">
        <f>IF(IF(IF(ISERROR('Model inputs'!Z116&lt;=0),'Model inputs'!Z116&lt;=0,IF('Model inputs'!Z116="","",'Model inputs'!Z116&lt;=0))="",FALSE,IF(ISERROR('Model inputs'!Z116&lt;=0),'Model inputs'!Z116&lt;=0,IF('Model inputs'!Z116="","",'Model inputs'!Z116&lt;=0))),0,'Model inputs'!B207*MIN('Model inputs'!Z116/'Model inputs'!B203,1))</f>
        <v>0</v>
      </c>
      <c r="AA202" s="25">
        <f>IF(IF(IF(ISERROR('Model inputs'!AA116&lt;=0),'Model inputs'!AA116&lt;=0,IF('Model inputs'!AA116="","",'Model inputs'!AA116&lt;=0))="",FALSE,IF(ISERROR('Model inputs'!AA116&lt;=0),'Model inputs'!AA116&lt;=0,IF('Model inputs'!AA116="","",'Model inputs'!AA116&lt;=0))),0,'Model inputs'!B207*MIN('Model inputs'!AA116/'Model inputs'!B203,1))</f>
        <v>0</v>
      </c>
      <c r="AB202" s="25">
        <f>IF(IF(IF(ISERROR('Model inputs'!AB116&lt;=0),'Model inputs'!AB116&lt;=0,IF('Model inputs'!AB116="","",'Model inputs'!AB116&lt;=0))="",FALSE,IF(ISERROR('Model inputs'!AB116&lt;=0),'Model inputs'!AB116&lt;=0,IF('Model inputs'!AB116="","",'Model inputs'!AB116&lt;=0))),0,'Model inputs'!B207*MIN('Model inputs'!AB116/'Model inputs'!B203,1))</f>
        <v>0</v>
      </c>
      <c r="AC202" s="25">
        <f>IF(IF(IF(ISERROR('Model inputs'!AC116&lt;=0),'Model inputs'!AC116&lt;=0,IF('Model inputs'!AC116="","",'Model inputs'!AC116&lt;=0))="",FALSE,IF(ISERROR('Model inputs'!AC116&lt;=0),'Model inputs'!AC116&lt;=0,IF('Model inputs'!AC116="","",'Model inputs'!AC116&lt;=0))),0,'Model inputs'!B207*MIN('Model inputs'!AC116/'Model inputs'!B203,1))</f>
        <v>0</v>
      </c>
      <c r="AD202" s="25">
        <f>IF(IF(IF(ISERROR('Model inputs'!AD116&lt;=0),'Model inputs'!AD116&lt;=0,IF('Model inputs'!AD116="","",'Model inputs'!AD116&lt;=0))="",FALSE,IF(ISERROR('Model inputs'!AD116&lt;=0),'Model inputs'!AD116&lt;=0,IF('Model inputs'!AD116="","",'Model inputs'!AD116&lt;=0))),0,'Model inputs'!B207*MIN('Model inputs'!AD116/'Model inputs'!B203,1))</f>
        <v>0</v>
      </c>
      <c r="AE202" s="25">
        <f>IF(IF(IF(ISERROR('Model inputs'!AE116&lt;=0),'Model inputs'!AE116&lt;=0,IF('Model inputs'!AE116="","",'Model inputs'!AE116&lt;=0))="",FALSE,IF(ISERROR('Model inputs'!AE116&lt;=0),'Model inputs'!AE116&lt;=0,IF('Model inputs'!AE116="","",'Model inputs'!AE116&lt;=0))),0,'Model inputs'!B207*MIN('Model inputs'!AE116/'Model inputs'!B203,1))</f>
        <v>0</v>
      </c>
      <c r="AF202" s="25">
        <f>IF(IF(IF(ISERROR('Model inputs'!AF116&lt;=0),'Model inputs'!AF116&lt;=0,IF('Model inputs'!AF116="","",'Model inputs'!AF116&lt;=0))="",FALSE,IF(ISERROR('Model inputs'!AF116&lt;=0),'Model inputs'!AF116&lt;=0,IF('Model inputs'!AF116="","",'Model inputs'!AF116&lt;=0))),0,'Model inputs'!B207*MIN('Model inputs'!AF116/'Model inputs'!B203,1))</f>
        <v>0</v>
      </c>
      <c r="AG202" s="25">
        <f>IF(IF(IF(ISERROR('Model inputs'!AG116&lt;=0),'Model inputs'!AG116&lt;=0,IF('Model inputs'!AG116="","",'Model inputs'!AG116&lt;=0))="",FALSE,IF(ISERROR('Model inputs'!AG116&lt;=0),'Model inputs'!AG116&lt;=0,IF('Model inputs'!AG116="","",'Model inputs'!AG116&lt;=0))),0,'Model inputs'!B207*MIN('Model inputs'!AG116/'Model inputs'!B203,1))</f>
        <v>0</v>
      </c>
    </row>
    <row r="203">
      <c r="A203" t="inlineStr" s="20">
        <is>
          <t xml:space="preserve">Annual-mix ramp months · Annual-pay share · Card charges</t>
        </is>
      </c>
      <c r="B203" s="22">
        <f>6</f>
        <v>6</v>
      </c>
    </row>
    <row r="204">
      <c r="A204" t="inlineStr" s="20">
        <is>
          <t xml:space="preserve">Annual-pay share target</t>
        </is>
      </c>
      <c r="B204" s="24">
        <v>0</v>
      </c>
    </row>
    <row r="205" outlineLevel="1">
      <c r="A205" t="inlineStr" s="21">
        <is>
          <t xml:space="preserve">Annual-pay share target &gt; Indie</t>
        </is>
      </c>
      <c r="B205" s="25">
        <f>0</f>
        <v>0</v>
      </c>
    </row>
    <row r="206" outlineLevel="1">
      <c r="A206" t="inlineStr" s="21">
        <is>
          <t xml:space="preserve">Annual-pay share target &gt; Launch</t>
        </is>
      </c>
      <c r="B206" s="25">
        <f>0.35</f>
        <v>0.35</v>
      </c>
    </row>
    <row r="207" outlineLevel="1">
      <c r="A207" t="inlineStr" s="21">
        <is>
          <t xml:space="preserve">Annual-pay share target &gt; Team</t>
        </is>
      </c>
      <c r="B207" s="25">
        <f>0.35</f>
        <v>0.35</v>
      </c>
    </row>
    <row r="209">
      <c r="A209" t="inlineStr" s="19">
        <is>
          <t xml:space="preserve">Dimensions</t>
        </is>
      </c>
    </row>
    <row r="210">
      <c r="A210" t="inlineStr" s="20">
        <is>
          <t xml:space="preserve">Expense line</t>
        </is>
      </c>
      <c r="B210" t="inlineStr" s="26">
        <is>
          <t xml:space="preserve">Domain, email, extras</t>
        </is>
      </c>
      <c r="C210" t="inlineStr" s="26">
        <is>
          <t xml:space="preserve">Entire cloud workspace</t>
        </is>
      </c>
      <c r="D210" t="inlineStr" s="26">
        <is>
          <t xml:space="preserve">First engineer (loaded)</t>
        </is>
      </c>
      <c r="E210" t="inlineStr" s="26">
        <is>
          <t xml:space="preserve">Founder full-time step-up</t>
        </is>
      </c>
      <c r="F210" t="inlineStr" s="26">
        <is>
          <t xml:space="preserve">Founder salary (0.5 FTE)</t>
        </is>
      </c>
      <c r="G210" t="inlineStr" s="26">
        <is>
          <t xml:space="preserve">Frontend contractor (0.25 FTE)</t>
        </is>
      </c>
      <c r="H210" t="inlineStr" s="26">
        <is>
          <t xml:space="preserve">Hosting (Vercel + storage)</t>
        </is>
      </c>
      <c r="I210" t="inlineStr" s="26">
        <is>
          <t xml:space="preserve">Marketing: always-on</t>
        </is>
      </c>
      <c r="J210" t="inlineStr" s="26">
        <is>
          <t xml:space="preserve">Marketing: launch push</t>
        </is>
      </c>
      <c r="K210" t="inlineStr" s="26">
        <is>
          <t xml:space="preserve">cfo.ai Startup</t>
        </is>
      </c>
      <c r="L210" t="inlineStr" s="26">
        <is>
          <t xml:space="preserve">neatlogs Pro</t>
        </is>
      </c>
    </row>
    <row r="211">
      <c r="A211" t="inlineStr" s="20">
        <is>
          <t xml:space="preserve">Subscription plan</t>
        </is>
      </c>
      <c r="B211" t="inlineStr" s="26">
        <is>
          <t xml:space="preserve">Indie</t>
        </is>
      </c>
      <c r="C211" t="inlineStr" s="26">
        <is>
          <t xml:space="preserve">Launch</t>
        </is>
      </c>
      <c r="D211" t="inlineStr" s="26">
        <is>
          <t xml:space="preserve">Team</t>
        </is>
      </c>
    </row>
    <row r="213">
      <c r="A213" t="inlineStr" s="19">
        <is>
          <t xml:space="preserve">Supporting calculations</t>
        </is>
      </c>
    </row>
    <row r="214">
      <c r="A214" t="inlineStr" s="20">
        <is>
          <t xml:space="preserve">Calculation</t>
        </is>
      </c>
      <c r="B214">
        <f>IF(ISERROR('Model inputs'!C37&gt;='Model inputs'!B18),'Model inputs'!C37&gt;='Model inputs'!B18,IF(OR('Model inputs'!C37="",'Model inputs'!B18=""),"",'Model inputs'!C37&gt;='Model inputs'!B18))</f>
      </c>
    </row>
    <row r="215">
      <c r="A215" t="inlineStr" s="20">
        <is>
          <t xml:space="preserve">Calculation</t>
        </is>
      </c>
      <c r="B215">
        <f>IF(ISERROR('Model inputs'!D37&gt;='Model inputs'!B18),'Model inputs'!D37&gt;='Model inputs'!B18,IF(OR('Model inputs'!D37="",'Model inputs'!B18=""),"",'Model inputs'!D37&gt;='Model inputs'!B18))</f>
      </c>
    </row>
    <row r="216">
      <c r="A216" t="inlineStr" s="20">
        <is>
          <t xml:space="preserve">Calculation</t>
        </is>
      </c>
      <c r="B216">
        <f>IF(ISERROR('Model inputs'!E37&gt;='Model inputs'!B18),'Model inputs'!E37&gt;='Model inputs'!B18,IF(OR('Model inputs'!E37="",'Model inputs'!B18=""),"",'Model inputs'!E37&gt;='Model inputs'!B18))</f>
      </c>
    </row>
    <row r="217">
      <c r="A217" t="inlineStr" s="20">
        <is>
          <t xml:space="preserve">Calculation</t>
        </is>
      </c>
      <c r="B217">
        <f>IF(ISERROR('Model inputs'!F37&gt;='Model inputs'!B18),'Model inputs'!F37&gt;='Model inputs'!B18,IF(OR('Model inputs'!F37="",'Model inputs'!B18=""),"",'Model inputs'!F37&gt;='Model inputs'!B18))</f>
      </c>
    </row>
    <row r="218">
      <c r="A218" t="inlineStr" s="20">
        <is>
          <t xml:space="preserve">Calculation</t>
        </is>
      </c>
      <c r="B218">
        <f>IF(ISERROR('Model inputs'!G37&gt;='Model inputs'!B18),'Model inputs'!G37&gt;='Model inputs'!B18,IF(OR('Model inputs'!G37="",'Model inputs'!B18=""),"",'Model inputs'!G37&gt;='Model inputs'!B18))</f>
      </c>
    </row>
    <row r="219">
      <c r="A219" t="inlineStr" s="20">
        <is>
          <t xml:space="preserve">Calculation</t>
        </is>
      </c>
      <c r="B219">
        <f>IF(ISERROR('Model inputs'!H37&gt;='Model inputs'!B18),'Model inputs'!H37&gt;='Model inputs'!B18,IF(OR('Model inputs'!H37="",'Model inputs'!B18=""),"",'Model inputs'!H37&gt;='Model inputs'!B18))</f>
      </c>
    </row>
    <row r="220">
      <c r="A220" t="inlineStr" s="20">
        <is>
          <t xml:space="preserve">Calculation</t>
        </is>
      </c>
      <c r="B220">
        <f>IF(ISERROR('Model inputs'!I37&gt;='Model inputs'!B18),'Model inputs'!I37&gt;='Model inputs'!B18,IF(OR('Model inputs'!I37="",'Model inputs'!B18=""),"",'Model inputs'!I37&gt;='Model inputs'!B18))</f>
      </c>
    </row>
    <row r="221">
      <c r="A221" t="inlineStr" s="20">
        <is>
          <t xml:space="preserve">Calculation</t>
        </is>
      </c>
      <c r="B221">
        <f>IF(ISERROR('Model inputs'!J37&gt;='Model inputs'!B18),'Model inputs'!J37&gt;='Model inputs'!B18,IF(OR('Model inputs'!J37="",'Model inputs'!B18=""),"",'Model inputs'!J37&gt;='Model inputs'!B18))</f>
      </c>
    </row>
    <row r="222">
      <c r="A222" t="inlineStr" s="20">
        <is>
          <t xml:space="preserve">Calculation</t>
        </is>
      </c>
      <c r="B222">
        <f>IF(ISERROR('Model inputs'!K37&gt;='Model inputs'!B18),'Model inputs'!K37&gt;='Model inputs'!B18,IF(OR('Model inputs'!K37="",'Model inputs'!B18=""),"",'Model inputs'!K37&gt;='Model inputs'!B18))</f>
      </c>
    </row>
    <row r="223">
      <c r="A223" t="inlineStr" s="20">
        <is>
          <t xml:space="preserve">Calculation</t>
        </is>
      </c>
      <c r="B223">
        <f>IF(ISERROR('Model inputs'!L37&gt;='Model inputs'!B18),'Model inputs'!L37&gt;='Model inputs'!B18,IF(OR('Model inputs'!L37="",'Model inputs'!B18=""),"",'Model inputs'!L37&gt;='Model inputs'!B18))</f>
      </c>
    </row>
    <row r="224">
      <c r="A224" t="inlineStr" s="20">
        <is>
          <t xml:space="preserve">Calculation</t>
        </is>
      </c>
      <c r="B224">
        <f>IF(ISERROR('Model inputs'!M37&gt;='Model inputs'!B18),'Model inputs'!M37&gt;='Model inputs'!B18,IF(OR('Model inputs'!M37="",'Model inputs'!B18=""),"",'Model inputs'!M37&gt;='Model inputs'!B18))</f>
      </c>
    </row>
    <row r="225">
      <c r="A225" t="inlineStr" s="20">
        <is>
          <t xml:space="preserve">Calculation</t>
        </is>
      </c>
      <c r="B225">
        <f>IF(ISERROR('Model inputs'!N37&gt;='Model inputs'!B18),'Model inputs'!N37&gt;='Model inputs'!B18,IF(OR('Model inputs'!N37="",'Model inputs'!B18=""),"",'Model inputs'!N37&gt;='Model inputs'!B18))</f>
      </c>
    </row>
    <row r="226">
      <c r="A226" t="inlineStr" s="20">
        <is>
          <t xml:space="preserve">Calculation</t>
        </is>
      </c>
      <c r="B226">
        <f>IF(ISERROR('Model inputs'!O37&gt;='Model inputs'!B18),'Model inputs'!O37&gt;='Model inputs'!B18,IF(OR('Model inputs'!O37="",'Model inputs'!B18=""),"",'Model inputs'!O37&gt;='Model inputs'!B18))</f>
      </c>
    </row>
    <row r="227">
      <c r="A227" t="inlineStr" s="20">
        <is>
          <t xml:space="preserve">Calculation</t>
        </is>
      </c>
      <c r="B227">
        <f>IF(ISERROR('Model inputs'!P37&gt;='Model inputs'!B18),'Model inputs'!P37&gt;='Model inputs'!B18,IF(OR('Model inputs'!P37="",'Model inputs'!B18=""),"",'Model inputs'!P37&gt;='Model inputs'!B18))</f>
      </c>
    </row>
    <row r="228">
      <c r="A228" t="inlineStr" s="20">
        <is>
          <t xml:space="preserve">Calculation</t>
        </is>
      </c>
      <c r="B228">
        <f>IF(ISERROR('Model inputs'!Q37&gt;='Model inputs'!B18),'Model inputs'!Q37&gt;='Model inputs'!B18,IF(OR('Model inputs'!Q37="",'Model inputs'!B18=""),"",'Model inputs'!Q37&gt;='Model inputs'!B18))</f>
      </c>
    </row>
    <row r="229">
      <c r="A229" t="inlineStr" s="20">
        <is>
          <t xml:space="preserve">Calculation</t>
        </is>
      </c>
      <c r="B229">
        <f>IF(ISERROR('Model inputs'!R37&gt;='Model inputs'!B18),'Model inputs'!R37&gt;='Model inputs'!B18,IF(OR('Model inputs'!R37="",'Model inputs'!B18=""),"",'Model inputs'!R37&gt;='Model inputs'!B18))</f>
      </c>
    </row>
    <row r="230">
      <c r="A230" t="inlineStr" s="20">
        <is>
          <t xml:space="preserve">Calculation</t>
        </is>
      </c>
      <c r="B230">
        <f>IF(ISERROR('Model inputs'!S37&gt;='Model inputs'!B18),'Model inputs'!S37&gt;='Model inputs'!B18,IF(OR('Model inputs'!S37="",'Model inputs'!B18=""),"",'Model inputs'!S37&gt;='Model inputs'!B18))</f>
      </c>
    </row>
    <row r="231">
      <c r="A231" t="inlineStr" s="20">
        <is>
          <t xml:space="preserve">Calculation</t>
        </is>
      </c>
      <c r="B231">
        <f>IF(ISERROR('Model inputs'!T37&gt;='Model inputs'!B18),'Model inputs'!T37&gt;='Model inputs'!B18,IF(OR('Model inputs'!T37="",'Model inputs'!B18=""),"",'Model inputs'!T37&gt;='Model inputs'!B18))</f>
      </c>
    </row>
    <row r="232">
      <c r="A232" t="inlineStr" s="20">
        <is>
          <t xml:space="preserve">Calculation</t>
        </is>
      </c>
      <c r="B232">
        <f>IF(IF(EXACT("Indie","")="",FALSE,EXACT("Indie","")),IF('Model inputs'!B39="","",'Model inputs'!B39),"")</f>
      </c>
    </row>
    <row r="233">
      <c r="A233" t="inlineStr" s="20">
        <is>
          <t xml:space="preserve">Calculation</t>
        </is>
      </c>
      <c r="B233">
        <f>IF(IF(EXACT("Launch","")="",FALSE,EXACT("Launch","")),IF('Model inputs'!B40="","",'Model inputs'!B40),"")</f>
      </c>
    </row>
    <row r="234">
      <c r="A234" t="inlineStr" s="20">
        <is>
          <t xml:space="preserve">Calculation</t>
        </is>
      </c>
      <c r="B234">
        <f>IF(IF(EXACT("Team","")="",FALSE,EXACT("Team","")),IF('Model inputs'!B41="","",'Model inputs'!B41),"")</f>
      </c>
    </row>
    <row r="235">
      <c r="A235" t="inlineStr" s="20">
        <is>
          <t xml:space="preserve">Calculation</t>
        </is>
      </c>
      <c r="B235">
        <f>IF(IF(EXACT("Indie","")="",FALSE,EXACT("Indie","")),IF('Model inputs'!B7="","",'Model inputs'!B7),"")</f>
      </c>
    </row>
    <row r="236">
      <c r="A236" t="inlineStr" s="20">
        <is>
          <t xml:space="preserve">Calculation</t>
        </is>
      </c>
      <c r="B236">
        <f>IF(IF(EXACT("Launch","")="",FALSE,EXACT("Launch","")),IF('Model inputs'!B8="","",'Model inputs'!B8),"")</f>
      </c>
    </row>
    <row r="237">
      <c r="A237" t="inlineStr" s="20">
        <is>
          <t xml:space="preserve">Calculation</t>
        </is>
      </c>
      <c r="B237">
        <f>IF(IF(EXACT("Team","")="",FALSE,EXACT("Team","")),IF('Model inputs'!B9="","",'Model inputs'!B9),"")</f>
      </c>
    </row>
    <row r="238">
      <c r="A238" t="inlineStr" s="20">
        <is>
          <t xml:space="preserve">Calculation</t>
        </is>
      </c>
      <c r="B238">
        <f>IF(ISERROR('Model inputs'!U116&gt;='Model inputs'!B18),'Model inputs'!U116&gt;='Model inputs'!B18,IF(OR('Model inputs'!U116="",'Model inputs'!B18=""),"",'Model inputs'!U116&gt;='Model inputs'!B18))</f>
      </c>
    </row>
    <row r="239">
      <c r="A239" t="inlineStr" s="20">
        <is>
          <t xml:space="preserve">Calculation</t>
        </is>
      </c>
      <c r="B239">
        <f>IF(ISERROR('Model inputs'!V116&gt;='Model inputs'!B18),'Model inputs'!V116&gt;='Model inputs'!B18,IF(OR('Model inputs'!V116="",'Model inputs'!B18=""),"",'Model inputs'!V116&gt;='Model inputs'!B18))</f>
      </c>
    </row>
    <row r="240">
      <c r="A240" t="inlineStr" s="20">
        <is>
          <t xml:space="preserve">Calculation</t>
        </is>
      </c>
      <c r="B240">
        <f>IF(ISERROR('Model inputs'!W116&gt;='Model inputs'!B18),'Model inputs'!W116&gt;='Model inputs'!B18,IF(OR('Model inputs'!W116="",'Model inputs'!B18=""),"",'Model inputs'!W116&gt;='Model inputs'!B18))</f>
      </c>
    </row>
    <row r="241">
      <c r="A241" t="inlineStr" s="20">
        <is>
          <t xml:space="preserve">Calculation</t>
        </is>
      </c>
      <c r="B241">
        <f>IF(ISERROR('Model inputs'!X116&gt;='Model inputs'!B18),'Model inputs'!X116&gt;='Model inputs'!B18,IF(OR('Model inputs'!X116="",'Model inputs'!B18=""),"",'Model inputs'!X116&gt;='Model inputs'!B18))</f>
      </c>
    </row>
    <row r="242">
      <c r="A242" t="inlineStr" s="20">
        <is>
          <t xml:space="preserve">Calculation</t>
        </is>
      </c>
      <c r="B242">
        <f>IF(ISERROR('Model inputs'!Y116&gt;='Model inputs'!B18),'Model inputs'!Y116&gt;='Model inputs'!B18,IF(OR('Model inputs'!Y116="",'Model inputs'!B18=""),"",'Model inputs'!Y116&gt;='Model inputs'!B18))</f>
      </c>
    </row>
    <row r="243">
      <c r="A243" t="inlineStr" s="20">
        <is>
          <t xml:space="preserve">Calculation</t>
        </is>
      </c>
      <c r="B243">
        <f>IF(ISERROR('Model inputs'!Z116&gt;='Model inputs'!B18),'Model inputs'!Z116&gt;='Model inputs'!B18,IF(OR('Model inputs'!Z116="",'Model inputs'!B18=""),"",'Model inputs'!Z116&gt;='Model inputs'!B18))</f>
      </c>
    </row>
    <row r="244">
      <c r="A244" t="inlineStr" s="20">
        <is>
          <t xml:space="preserve">Calculation</t>
        </is>
      </c>
      <c r="B244">
        <f>IF(ISERROR('Model inputs'!AA116&gt;='Model inputs'!B18),'Model inputs'!AA116&gt;='Model inputs'!B18,IF(OR('Model inputs'!AA116="",'Model inputs'!B18=""),"",'Model inputs'!AA116&gt;='Model inputs'!B18))</f>
      </c>
    </row>
    <row r="245">
      <c r="A245" t="inlineStr" s="20">
        <is>
          <t xml:space="preserve">Calculation</t>
        </is>
      </c>
      <c r="B245">
        <f>IF(ISERROR('Model inputs'!AB116&gt;='Model inputs'!B18),'Model inputs'!AB116&gt;='Model inputs'!B18,IF(OR('Model inputs'!AB116="",'Model inputs'!B18=""),"",'Model inputs'!AB116&gt;='Model inputs'!B18))</f>
      </c>
    </row>
    <row r="246">
      <c r="A246" t="inlineStr" s="20">
        <is>
          <t xml:space="preserve">Calculation</t>
        </is>
      </c>
      <c r="B246">
        <f>IF(ISERROR('Model inputs'!AC116&gt;='Model inputs'!B18),'Model inputs'!AC116&gt;='Model inputs'!B18,IF(OR('Model inputs'!AC116="",'Model inputs'!B18=""),"",'Model inputs'!AC116&gt;='Model inputs'!B18))</f>
      </c>
    </row>
    <row r="247">
      <c r="A247" t="inlineStr" s="20">
        <is>
          <t xml:space="preserve">Calculation</t>
        </is>
      </c>
      <c r="B247">
        <f>IF(ISERROR('Model inputs'!AD116&gt;='Model inputs'!B18),'Model inputs'!AD116&gt;='Model inputs'!B18,IF(OR('Model inputs'!AD116="",'Model inputs'!B18=""),"",'Model inputs'!AD116&gt;='Model inputs'!B18))</f>
      </c>
    </row>
    <row r="248">
      <c r="A248" t="inlineStr" s="20">
        <is>
          <t xml:space="preserve">Calculation</t>
        </is>
      </c>
      <c r="B248">
        <f>IF(ISERROR('Model inputs'!AE116&gt;='Model inputs'!B18),'Model inputs'!AE116&gt;='Model inputs'!B18,IF(OR('Model inputs'!AE116="",'Model inputs'!B18=""),"",'Model inputs'!AE116&gt;='Model inputs'!B18))</f>
      </c>
    </row>
    <row r="249">
      <c r="A249" t="inlineStr" s="20">
        <is>
          <t xml:space="preserve">Calculation</t>
        </is>
      </c>
      <c r="B249">
        <f>IF(ISERROR('Model inputs'!AF116&gt;='Model inputs'!B18),'Model inputs'!AF116&gt;='Model inputs'!B18,IF(OR('Model inputs'!AF116="",'Model inputs'!B18=""),"",'Model inputs'!AF116&gt;='Model inputs'!B18))</f>
      </c>
    </row>
    <row r="250">
      <c r="A250" t="inlineStr" s="20">
        <is>
          <t xml:space="preserve">Calculation</t>
        </is>
      </c>
      <c r="B250">
        <f>IF(ISERROR('Model inputs'!AG116&gt;='Model inputs'!B18),'Model inputs'!AG116&gt;='Model inputs'!B18,IF(OR('Model inputs'!AG116="",'Model inputs'!B18=""),"",'Model inputs'!AG116&gt;='Model inputs'!B18))</f>
      </c>
    </row>
  </sheetData>
  <mergeCells count="2">
    <mergeCell ref="A1:AG1"/>
    <mergeCell ref="A2:AG2"/>
  </mergeCells>
</worksheet>
</file>